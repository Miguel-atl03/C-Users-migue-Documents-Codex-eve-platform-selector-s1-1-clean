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f562d544894c3d" /></Relationships>
</file>

<file path=xl/workbook.xml><?xml version="1.0" encoding="utf-8"?>
<x:workbook xmlns:x="http://schemas.openxmlformats.org/spreadsheetml/2006/main">
  <x:sheets>
    <x:sheet xmlns:r="http://schemas.openxmlformats.org/officeDocument/2006/relationships" name="00_Resumen" sheetId="1" r:id="R5e12824f5d084a85"/>
    <x:sheet xmlns:r="http://schemas.openxmlformats.org/officeDocument/2006/relationships" name="01_Interacciones_60" sheetId="2" r:id="Rac58386a66d34786"/>
    <x:sheet xmlns:r="http://schemas.openxmlformats.org/officeDocument/2006/relationships" name="02_Slots_170" sheetId="3" r:id="Rf6d863871d314c28"/>
    <x:sheet xmlns:r="http://schemas.openxmlformats.org/officeDocument/2006/relationships" name="03_Bloques_UI" sheetId="4" r:id="R62e02a02826642ad"/>
    <x:sheet xmlns:r="http://schemas.openxmlformats.org/officeDocument/2006/relationships" name="04_Tipos_Control" sheetId="5" r:id="Ra644bd4ddce44bd8"/>
    <x:sheet xmlns:r="http://schemas.openxmlformats.org/officeDocument/2006/relationships" name="05_QA_60" sheetId="6" r:id="R515c301669214372"/>
    <x:sheet xmlns:r="http://schemas.openxmlformats.org/officeDocument/2006/relationships" name="06_Fuentes_Gobierno" sheetId="7" r:id="R1b5c7fee1ffc414f"/>
    <x:sheet xmlns:r="http://schemas.openxmlformats.org/officeDocument/2006/relationships" name="99_Listas" sheetId="8" r:id="R5b881ac736fc41cd"/>
    <x:sheet xmlns:r="http://schemas.openxmlformats.org/officeDocument/2006/relationships" name="07_Contrato_Integracion" sheetId="9" r:id="R9a09284f7f084e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F2937"/>
      <x:name val="Carlito"/>
    </x:font>
    <x:font>
      <x:b/>
      <x:sz val="11"/>
      <x:color rgb="FFFFFFFF"/>
      <x:name val="Carlito"/>
    </x:font>
    <x:font>
      <x:b/>
      <x:sz val="18"/>
      <x:color rgb="FF17324D"/>
      <x:name val="Carlito"/>
    </x:font>
    <x:font>
      <x:b/>
      <x:sz val="11"/>
      <x:color rgb="FF1F2937"/>
      <x:name val="Carlito"/>
    </x:font>
    <x:font>
      <x:sz val="11"/>
      <x:color rgb="FF1F2937"/>
      <x:name val="Carlito"/>
    </x:font>
  </x:fonts>
  <x:fills count="9">
    <x:fill>
      <x:patternFill patternType="none"/>
    </x:fill>
    <x:fill>
      <x:patternFill patternType="gray125"/>
    </x:fill>
    <x:fill>
      <x:patternFill patternType="solid">
        <x:fgColor rgb="FF17324D"/>
      </x:patternFill>
    </x:fill>
    <x:fill>
      <x:patternFill patternType="solid">
        <x:fgColor rgb="FFEAF2F4"/>
      </x:patternFill>
    </x:fill>
    <x:fill>
      <x:patternFill patternType="solid">
        <x:fgColor rgb="FF1F7A78"/>
      </x:patternFill>
    </x:fill>
    <x:fill>
      <x:patternFill patternType="solid">
        <x:fgColor rgb="FFDDEEEE"/>
      </x:patternFill>
    </x:fill>
    <x:fill>
      <x:patternFill patternType="solid">
        <x:fgColor rgb="FFFFF2CC"/>
      </x:patternFill>
    </x:fill>
    <x:fill>
      <x:patternFill patternType="solid">
        <x:fgColor rgb="FFFFFBEA"/>
      </x:patternFill>
    </x:fill>
    <x:fill>
      <x:patternFill patternType="solid">
        <x:fgColor rgb="FFEEF4F7"/>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200" fontId="0" fillId="8" borderId="0" xfId="0" applyNumberFormat="1" applyFont="1" applyFill="1" applyBorder="1" applyAlignment="1">
      <x:alignment vertical="top" wrapText="1"/>
    </x:xf>
    <x:xf numFmtId="200" fontId="0" fillId="8" borderId="1" xfId="0" applyNumberFormat="1" applyFont="1" applyFill="1" applyBorder="1" applyAlignment="1">
      <x:alignment vertical="top" wrapText="1"/>
    </x:xf>
  </x:cellXfs>
  <x:cellStyles count="1">
    <x:cellStyle name="Normal" xfId="0"/>
  </x:cellStyles>
  <x:dxfs count="23">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666666"/>
      </x:font>
      <x:fill>
        <x:patternFill patternType="solid">
          <x:bgColor rgb="FFE7E6E6"/>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e452b463ec45f4" /><Relationship Type="http://schemas.openxmlformats.org/officeDocument/2006/relationships/theme" Target="/xl/theme/theme1.xml" Id="Rb8dd061ce3354e28" /><Relationship Type="http://schemas.openxmlformats.org/officeDocument/2006/relationships/sharedStrings" Target="/xl/sharedStrings.xml" Id="R781eb93c9cd44259" /><Relationship Type="http://schemas.openxmlformats.org/officeDocument/2006/relationships/worksheet" Target="/xl/worksheets/sheet1.xml" Id="R5e12824f5d084a85" /><Relationship Type="http://schemas.openxmlformats.org/officeDocument/2006/relationships/worksheet" Target="/xl/worksheets/sheet2.xml" Id="Rac58386a66d34786" /><Relationship Type="http://schemas.openxmlformats.org/officeDocument/2006/relationships/worksheet" Target="/xl/worksheets/sheet3.xml" Id="Rf6d863871d314c28" /><Relationship Type="http://schemas.openxmlformats.org/officeDocument/2006/relationships/worksheet" Target="/xl/worksheets/sheet4.xml" Id="R62e02a02826642ad" /><Relationship Type="http://schemas.openxmlformats.org/officeDocument/2006/relationships/worksheet" Target="/xl/worksheets/sheet5.xml" Id="Ra644bd4ddce44bd8" /><Relationship Type="http://schemas.openxmlformats.org/officeDocument/2006/relationships/worksheet" Target="/xl/worksheets/sheet6.xml" Id="R515c301669214372" /><Relationship Type="http://schemas.openxmlformats.org/officeDocument/2006/relationships/worksheet" Target="/xl/worksheets/sheet7.xml" Id="R1b5c7fee1ffc414f" /><Relationship Type="http://schemas.openxmlformats.org/officeDocument/2006/relationships/worksheet" Target="/xl/worksheets/sheet8.xml" Id="R5b881ac736fc41cd" /><Relationship Type="http://schemas.openxmlformats.org/officeDocument/2006/relationships/worksheet" Target="/xl/worksheets/sheet9.xml" Id="R9a09284f7f084e9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7231f0c3754aa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Interacciones y slots por bloque</a:t>
            </a:r>
          </a:p>
        </c:rich>
      </c:tx>
    </c:title>
    <c:plotArea>
      <c:barChart>
        <c:barDir val="col"/>
        <c:varyColors val="0"/>
        <c:ser>
          <c:idx val="0"/>
          <c:order val="0"/>
          <c:tx>
            <c:v>Interacciones</c:v>
          </c:tx>
          <c:cat>
            <c:strRef>
              <c:f>'00_Resumen'!$A$16:$A$24</c:f>
              <c:strCache>
                <c:ptCount val="0"/>
              </c:strCache>
            </c:strRef>
          </c:cat>
          <c:val>
            <c:numRef>
              <c:f>'00_Resumen'!$B$16:$B$24</c:f>
              <c:numCache>
                <c:formatCode>General</c:formatCode>
                <c:ptCount val="0"/>
              </c:numCache>
            </c:numRef>
          </c:val>
        </c:ser>
        <c:ser>
          <c:idx val="1"/>
          <c:order val="1"/>
          <c:tx>
            <c:v>Slots</c:v>
          </c:tx>
          <c:cat>
            <c:strRef>
              <c:f>'00_Resumen'!$A$16:$A$24</c:f>
              <c:strCache>
                <c:ptCount val="0"/>
              </c:strCache>
            </c:strRef>
          </c:cat>
          <c:val>
            <c:numRef>
              <c:f>'00_Resumen'!$C$16:$C$24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3</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7231f0c3754aa6"/>
        </a:graphicData>
      </a:graphic>
    </xdr:graphicFrame>
    <xdr:clientData/>
  </xdr:twoCellAnchor>
</xdr:wsDr>
</file>

<file path=xl/tables/table1.xml><?xml version="1.0" encoding="utf-8"?>
<x:table xmlns:x="http://schemas.openxmlformats.org/spreadsheetml/2006/main" id="1" name="Interactions60Table" displayName="Interactions60Table" ref="A1:AH61" headerRowCount="1" totalsRowCount="0" totalsRowShown="0">
  <x:tableColumns count="34">
    <x:tableColumn id="1" name="runtime_interaction_id"/>
    <x:tableColumn id="2" name="interaction_group"/>
    <x:tableColumn id="3" name="block"/>
    <x:tableColumn id="4" name="runtime_order"/>
    <x:tableColumn id="5" name="function"/>
    <x:tableColumn id="6" name="visible_text"/>
    <x:tableColumn id="7" name="runtime_ui_component"/>
    <x:tableColumn id="8" name="subfield_structure"/>
    <x:tableColumn id="9" name="source_codes_literal"/>
    <x:tableColumn id="10" name="source_slot_count"/>
    <x:tableColumn id="11" name="visible_slot_count"/>
    <x:tableColumn id="12" name="conditional_slot_count"/>
    <x:tableColumn id="13" name="confirmation_slot_count"/>
    <x:tableColumn id="14" name="internal_control_count"/>
    <x:tableColumn id="15" name="trigger_condition"/>
    <x:tableColumn id="16" name="confirmation_policy"/>
    <x:tableColumn id="17" name="must_not_infer"/>
    <x:tableColumn id="18" name="acceptance_test"/>
    <x:tableColumn id="19" name="ux_display_rule"/>
    <x:tableColumn id="20" name="ux_storage_rule"/>
    <x:tableColumn id="21" name="risk_if_single_textbox"/>
    <x:tableColumn id="22" name="pantalla_objetivo"/>
    <x:tableColumn id="23" name="ruta_componente_real"/>
    <x:tableColumn id="24" name="estado_desarrollo_ui"/>
    <x:tableColumn id="25" name="estado_renderer_ui"/>
    <x:tableColumn id="26" name="estado_submit_ingest"/>
    <x:tableColumn id="27" name="estado_prueba_qn_qn1"/>
    <x:tableColumn id="28" name="conformance_global"/>
    <x:tableColumn id="29" name="responsable"/>
    <x:tableColumn id="30" name="evidencia_prueba"/>
    <x:tableColumn id="31" name="bloqueador"/>
    <x:tableColumn id="32" name="TR_referencia_principal"/>
    <x:tableColumn id="33" name="fuente_runtime"/>
    <x:tableColumn id="34" name="runtime_xlsx_sha256"/>
  </x:tableColumns>
  <x:tableStyleInfo name="TableStyleMedium2" showFirstColumn="0" showLastColumn="0" showRowStripes="1" showColumnStripes="0"/>
</x:table>
</file>

<file path=xl/tables/table2.xml><?xml version="1.0" encoding="utf-8"?>
<x:table xmlns:x="http://schemas.openxmlformats.org/spreadsheetml/2006/main" id="2" name="Slots170Table" displayName="Slots170Table" ref="A1:AN171" headerRowCount="1" totalsRowCount="0" totalsRowShown="0">
  <x:tableColumns count="40">
    <x:tableColumn id="1" name="runtime_interaction_id"/>
    <x:tableColumn id="2" name="block"/>
    <x:tableColumn id="3" name="interaction_group"/>
    <x:tableColumn id="4" name="runtime_order"/>
    <x:tableColumn id="5" name="ordinal_in_interaction"/>
    <x:tableColumn id="6" name="source_node_id"/>
    <x:tableColumn id="7" name="source_code"/>
    <x:tableColumn id="8" name="source_question_text"/>
    <x:tableColumn id="9" name="help_text"/>
    <x:tableColumn id="10" name="field_type"/>
    <x:tableColumn id="11" name="answer_mode"/>
    <x:tableColumn id="12" name="options"/>
    <x:tableColumn id="13" name="required_rule"/>
    <x:tableColumn id="14" name="visibility_rule"/>
    <x:tableColumn id="15" name="branching_rule"/>
    <x:tableColumn id="16" name="capture_slot_kind"/>
    <x:tableColumn id="17" name="policy_class"/>
    <x:tableColumn id="18" name="canonical_variable_names"/>
    <x:tableColumn id="19" name="provenance_type"/>
    <x:tableColumn id="20" name="source_document"/>
    <x:tableColumn id="21" name="source_document_sha256"/>
    <x:tableColumn id="22" name="control_family"/>
    <x:tableColumn id="23" name="ui_behavior_required"/>
    <x:tableColumn id="24" name="payload_value_shape"/>
    <x:tableColumn id="25" name="options_authority"/>
    <x:tableColumn id="26" name="binding_rule"/>
    <x:tableColumn id="27" name="control_mapping_status"/>
    <x:tableColumn id="28" name="pantalla_objetivo"/>
    <x:tableColumn id="29" name="ruta_componente_real"/>
    <x:tableColumn id="30" name="estado_desarrollo_control"/>
    <x:tableColumn id="31" name="estado_binding_renderer"/>
    <x:tableColumn id="32" name="estado_submit_ingest"/>
    <x:tableColumn id="33" name="estado_prueba"/>
    <x:tableColumn id="34" name="conformance_slot"/>
    <x:tableColumn id="35" name="compatibilidad_runner_R3AT"/>
    <x:tableColumn id="36" name="evidencia_prueba"/>
    <x:tableColumn id="37" name="bloqueador"/>
    <x:tableColumn id="38" name="mapping_authority"/>
    <x:tableColumn id="39" name="TR_refs"/>
    <x:tableColumn id="40" name="notas"/>
  </x:tableColumns>
  <x:tableStyleInfo name="TableStyleMedium2" showFirstColumn="0" showLastColumn="0" showRowStripes="1" showColumnStripes="0"/>
</x:table>
</file>

<file path=xl/tables/table3.xml><?xml version="1.0" encoding="utf-8"?>
<x:table xmlns:x="http://schemas.openxmlformats.org/spreadsheetml/2006/main" id="3" name="BlocksUITable" displayName="BlocksUITable" ref="A1:S10" headerRowCount="1" totalsRowCount="0" totalsRowShown="0">
  <x:tableColumns count="19">
    <x:tableColumn id="1" name="block"/>
    <x:tableColumn id="2" name="pantalla_objetivo"/>
    <x:tableColumn id="3" name="estado_declarado_usuario"/>
    <x:tableColumn id="4" name="ruta_componente_raiz"/>
    <x:tableColumn id="5" name="responsable"/>
    <x:tableColumn id="6" name="interacciones_total"/>
    <x:tableColumn id="7" name="interacciones_base"/>
    <x:tableColumn id="8" name="interacciones_causales"/>
    <x:tableColumn id="9" name="slots_total"/>
    <x:tableColumn id="10" name="slots_visibles"/>
    <x:tableColumn id="11" name="slots_condicionales"/>
    <x:tableColumn id="12" name="slots_confirmacion"/>
    <x:tableColumn id="13" name="slots_internos_control"/>
    <x:tableColumn id="14" name="tipos_control_requeridos"/>
    <x:tableColumn id="15" name="avance_ui"/>
    <x:tableColumn id="16" name="avance_QA"/>
    <x:tableColumn id="17" name="conformance_bloque"/>
    <x:tableColumn id="18" name="bloqueadores"/>
    <x:tableColumn id="19" name="siguiente_gate"/>
  </x:tableColumns>
  <x:tableStyleInfo name="TableStyleMedium2" showFirstColumn="0" showLastColumn="0" showRowStripes="1" showColumnStripes="0"/>
</x:table>
</file>

<file path=xl/tables/table4.xml><?xml version="1.0" encoding="utf-8"?>
<x:table xmlns:x="http://schemas.openxmlformats.org/spreadsheetml/2006/main" id="4" name="ControlTypesTable" displayName="ControlTypesTable" ref="A1:M24" headerRowCount="1" totalsRowCount="0" totalsRowShown="0">
  <x:tableColumns count="13">
    <x:tableColumn id="1" name="field_type"/>
    <x:tableColumn id="2" name="answer_mode"/>
    <x:tableColumn id="3" name="capture_slot_kind"/>
    <x:tableColumn id="4" name="slot_count"/>
    <x:tableColumn id="5" name="control_family"/>
    <x:tableColumn id="6" name="ui_behavior_required"/>
    <x:tableColumn id="7" name="payload_value_shape"/>
    <x:tableColumn id="8" name="options_authority"/>
    <x:tableColumn id="9" name="binding_rule"/>
    <x:tableColumn id="10" name="control_mapping_status"/>
    <x:tableColumn id="11" name="compatibilidad_runner_R3AT"/>
    <x:tableColumn id="12" name="example_source_codes"/>
    <x:tableColumn id="13" name="no_inference_rule"/>
  </x:tableColumns>
  <x:tableStyleInfo name="TableStyleMedium2" showFirstColumn="0" showLastColumn="0" showRowStripes="1" showColumnStripes="0"/>
</x:table>
</file>

<file path=xl/tables/table5.xml><?xml version="1.0" encoding="utf-8"?>
<x:table xmlns:x="http://schemas.openxmlformats.org/spreadsheetml/2006/main" id="5" name="QA60Table" displayName="QA60Table" ref="A1:U61" headerRowCount="1" totalsRowCount="0" totalsRowShown="0">
  <x:tableColumns count="21">
    <x:tableColumn id="1" name="runtime_interaction_id"/>
    <x:tableColumn id="2" name="block"/>
    <x:tableColumn id="3" name="visible_text"/>
    <x:tableColumn id="4" name="pantalla_objetivo"/>
    <x:tableColumn id="5" name="ruta_componente_real"/>
    <x:tableColumn id="6" name="renderer_entrega_interaccion"/>
    <x:tableColumn id="7" name="control_preserva_semantica"/>
    <x:tableColumn id="8" name="help_text_alineado"/>
    <x:tableColumn id="9" name="required_visibility_respetados"/>
    <x:tableColumn id="10" name="slot_ref_server_issued"/>
    <x:tableColumn id="11" name="payload_solo_valores_humanos"/>
    <x:tableColumn id="12" name="semantica_resuelta_server_side"/>
    <x:tableColumn id="13" name="ingest_persiste_slots_exactos"/>
    <x:tableColumn id="14" name="state_advance"/>
    <x:tableColumn id="15" name="siguiente_interaccion_desde_runtime"/>
    <x:tableColumn id="16" name="negativo_wrong_slot"/>
    <x:tableColumn id="17" name="idempotencia"/>
    <x:tableColumn id="18" name="conformance_QA"/>
    <x:tableColumn id="19" name="evidencia"/>
    <x:tableColumn id="20" name="bloqueador"/>
    <x:tableColumn id="21" name="responsable"/>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1:H18" headerRowCount="1" totalsRowCount="0" totalsRowShown="0">
  <x:tableColumns count="8">
    <x:tableColumn id="1" name="source_id"/>
    <x:tableColumn id="2" name="nivel_autoridad"/>
    <x:tableColumn id="3" name="archivo_artefacto"/>
    <x:tableColumn id="4" name="sha256"/>
    <x:tableColumn id="5" name="rol_en_matriz"/>
    <x:tableColumn id="6" name="estado_verificacion"/>
    <x:tableColumn id="7" name="uso"/>
    <x:tableColumn id="8" name="observacion"/>
  </x:tableColumns>
  <x:tableStyleInfo name="TableStyleMedium2" showFirstColumn="0" showLastColumn="0" showRowStripes="1" showColumnStripes="0"/>
</x:table>
</file>

<file path=xl/tables/table7.xml><?xml version="1.0" encoding="utf-8"?>
<x:table xmlns:x="http://schemas.openxmlformats.org/spreadsheetml/2006/main" id="7" name="IntegrationContractTable" displayName="IntegrationContractTable" ref="A1:G19" headerRowCount="1" totalsRowCount="0" totalsRowShown="0">
  <x:tableColumns count="7">
    <x:tableColumn id="1" name="elemento"/>
    <x:tableColumn id="2" name="autoridad"/>
    <x:tableColumn id="3" name="Renderer → UI"/>
    <x:tableColumn id="4" name="UI → BFF"/>
    <x:tableColumn id="5" name="resolución server-side"/>
    <x:tableColumn id="6" name="regla de falla"/>
    <x:tableColumn id="7" name="base rector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ae702360f744323" /></Relationships>
</file>

<file path=xl/worksheets/_rels/sheet2.xml.rels>&#65279;<?xml version="1.0" encoding="utf-8"?><Relationships xmlns="http://schemas.openxmlformats.org/package/2006/relationships"><Relationship Type="http://schemas.openxmlformats.org/officeDocument/2006/relationships/table" Target="/xl/tables/table1.xml" Id="Rc1d93b1190d64366" /></Relationships>
</file>

<file path=xl/worksheets/_rels/sheet3.xml.rels>&#65279;<?xml version="1.0" encoding="utf-8"?><Relationships xmlns="http://schemas.openxmlformats.org/package/2006/relationships"><Relationship Type="http://schemas.openxmlformats.org/officeDocument/2006/relationships/table" Target="/xl/tables/table2.xml" Id="Rb9c5eedaa7624b4e" /></Relationships>
</file>

<file path=xl/worksheets/_rels/sheet4.xml.rels>&#65279;<?xml version="1.0" encoding="utf-8"?><Relationships xmlns="http://schemas.openxmlformats.org/package/2006/relationships"><Relationship Type="http://schemas.openxmlformats.org/officeDocument/2006/relationships/table" Target="/xl/tables/table3.xml" Id="R4d2ba8e49c2e4265" /></Relationships>
</file>

<file path=xl/worksheets/_rels/sheet5.xml.rels>&#65279;<?xml version="1.0" encoding="utf-8"?><Relationships xmlns="http://schemas.openxmlformats.org/package/2006/relationships"><Relationship Type="http://schemas.openxmlformats.org/officeDocument/2006/relationships/table" Target="/xl/tables/table4.xml" Id="Rdfb9b6433e8c4bf4" /></Relationships>
</file>

<file path=xl/worksheets/_rels/sheet6.xml.rels>&#65279;<?xml version="1.0" encoding="utf-8"?><Relationships xmlns="http://schemas.openxmlformats.org/package/2006/relationships"><Relationship Type="http://schemas.openxmlformats.org/officeDocument/2006/relationships/table" Target="/xl/tables/table5.xml" Id="R14ea0c711de34fd0" /></Relationships>
</file>

<file path=xl/worksheets/_rels/sheet7.xml.rels>&#65279;<?xml version="1.0" encoding="utf-8"?><Relationships xmlns="http://schemas.openxmlformats.org/package/2006/relationships"><Relationship Type="http://schemas.openxmlformats.org/officeDocument/2006/relationships/table" Target="/xl/tables/table6.xml" Id="R20cfd41172a548b7" /></Relationships>
</file>

<file path=xl/worksheets/_rels/sheet9.xml.rels>&#65279;<?xml version="1.0" encoding="utf-8"?><Relationships xmlns="http://schemas.openxmlformats.org/package/2006/relationships"><Relationship Type="http://schemas.openxmlformats.org/officeDocument/2006/relationships/table" Target="/xl/tables/table7.xml" Id="R6ac85dd88f0d4eef" /></Relationships>
</file>

<file path=xl/worksheets/sheet1.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8" hidden="0" customWidth="1"/>
  </x:cols>
  <x:sheetData>
    <x:row r="1" ht="32" customHeight="1">
      <x:c r="A1" s="5" t="str">
        <x:v>Matriz de Conformance Runtime 40/20 ↔ UI por Bloque</x:v>
      </x:c>
      <x:c r="B1" s="5"/>
      <x:c r="C1" s="5"/>
      <x:c r="D1" s="5"/>
      <x:c r="E1" s="5"/>
      <x:c r="F1" s="5"/>
      <x:c r="G1" s="5"/>
      <x:c r="H1" s="5"/>
      <x:c r="I1" s="5"/>
      <x:c r="J1" s="5"/>
    </x:row>
    <x:row r="2" ht="28" customHeight="1">
      <x:c r="A2" s="14" t="str">
        <x:v>Artefacto transversal derivado de rectores: conecta 60 interacciones Runtime y 170 slots fuente con las pantallas específicas de B0–B7, sus controles, binding opaco, payload, ingest y QA. No es un nuevo rector.</x:v>
      </x:c>
      <x:c r="B2" s="14"/>
      <x:c r="C2" s="14"/>
      <x:c r="D2" s="14"/>
      <x:c r="E2" s="14"/>
      <x:c r="F2" s="14"/>
      <x:c r="G2" s="14"/>
      <x:c r="H2" s="14"/>
      <x:c r="I2" s="14"/>
      <x:c r="J2" s="14"/>
    </x:row>
    <x:row r="3" ht="28" customHeight="1">
      <x:c r="A3" s="14"/>
      <x:c r="B3" s="14"/>
      <x:c r="C3" s="14"/>
      <x:c r="D3" s="14"/>
      <x:c r="E3" s="14"/>
      <x:c r="F3" s="14"/>
      <x:c r="G3" s="14"/>
      <x:c r="H3" s="14"/>
      <x:c r="I3" s="14"/>
      <x:c r="J3" s="14"/>
    </x:row>
    <x:row r="5">
      <x:c r="A5" s="24" t="str">
        <x:v>Interacciones Runtime</x:v>
      </x:c>
      <x:c r="B5" s="24"/>
      <x:c r="C5" s="24" t="str">
        <x:v>Slots fuente</x:v>
      </x:c>
      <x:c r="D5" s="24"/>
      <x:c r="E5" s="24" t="str">
        <x:v>Interacciones base</x:v>
      </x:c>
      <x:c r="F5" s="24"/>
      <x:c r="G5" s="24" t="str">
        <x:v>Interacciones causales</x:v>
      </x:c>
      <x:c r="H5" s="24"/>
      <x:c r="I5" s="24" t="str">
        <x:v>Bloques</x:v>
      </x:c>
      <x:c r="J5" s="24"/>
    </x:row>
    <x:row r="6">
      <x:c r="A6" s="33" t="n">
        <x:f>COUNTA('01_Interacciones_60'!$A$2:$A$61)</x:f>
        <x:v>60</x:v>
      </x:c>
      <x:c r="B6" s="33"/>
      <x:c r="C6" s="33" t="n">
        <x:f>COUNTA('02_Slots_170'!$G$2:$G$171)</x:f>
        <x:v>170</x:v>
      </x:c>
      <x:c r="D6" s="33"/>
      <x:c r="E6" s="33" t="n">
        <x:f>COUNTIF('01_Interacciones_60'!$B$2:$B$61,"base_40")</x:f>
        <x:v>40</x:v>
      </x:c>
      <x:c r="F6" s="33"/>
      <x:c r="G6" s="33" t="n">
        <x:f>COUNTIF('01_Interacciones_60'!$B$2:$B$61,"causal_20")</x:f>
        <x:v>20</x:v>
      </x:c>
      <x:c r="H6" s="33"/>
      <x:c r="I6" s="33" t="n">
        <x:f>COUNTA('03_Bloques_UI'!$A$2:$A$10)</x:f>
        <x:v>9</x:v>
      </x:c>
      <x:c r="J6" s="33"/>
    </x:row>
    <x:row r="7">
      <x:c r="A7" s="33"/>
      <x:c r="B7" s="33"/>
      <x:c r="C7" s="33"/>
      <x:c r="D7" s="33"/>
      <x:c r="E7" s="33"/>
      <x:c r="F7" s="33"/>
      <x:c r="G7" s="33"/>
      <x:c r="H7" s="33"/>
      <x:c r="I7" s="33"/>
      <x:c r="J7" s="33"/>
    </x:row>
    <x:row r="9">
      <x:c r="A9" s="24" t="str">
        <x:v>Slots visibles</x:v>
      </x:c>
      <x:c r="B9" s="24"/>
      <x:c r="C9" s="24" t="str">
        <x:v>Aclaraciones condicionales</x:v>
      </x:c>
      <x:c r="D9" s="24"/>
      <x:c r="E9" s="24" t="str">
        <x:v>Confirmación/corrección</x:v>
      </x:c>
      <x:c r="F9" s="24"/>
      <x:c r="G9" s="24" t="str">
        <x:v>Internos/control</x:v>
      </x:c>
      <x:c r="H9" s="24"/>
      <x:c r="I9" s="24" t="str">
        <x:v>Reglas UX explícitas</x:v>
      </x:c>
      <x:c r="J9" s="24"/>
    </x:row>
    <x:row r="10">
      <x:c r="A10" s="33" t="n">
        <x:f>COUNTIF('02_Slots_170'!$P$2:$P$171,"visible_capture")</x:f>
        <x:v>134</x:v>
      </x:c>
      <x:c r="B10" s="33"/>
      <x:c r="C10" s="33" t="n">
        <x:f>COUNTIF('02_Slots_170'!$P$2:$P$171,"conditional_clarification")</x:f>
        <x:v>25</x:v>
      </x:c>
      <x:c r="D10" s="33"/>
      <x:c r="E10" s="33" t="n">
        <x:f>COUNTIF('02_Slots_170'!$P$2:$P$171,"confirmation_or_correction")</x:f>
        <x:v>3</x:v>
      </x:c>
      <x:c r="F10" s="33"/>
      <x:c r="G10" s="33" t="n">
        <x:f>COUNTIF('02_Slots_170'!$P$2:$P$171,"internal")+COUNTIF('02_Slots_170'!$P$2:$P$171,"control_metadata")</x:f>
        <x:v>8</x:v>
      </x:c>
      <x:c r="H10" s="33"/>
      <x:c r="I10" s="33" t="n">
        <x:v>17</x:v>
      </x:c>
      <x:c r="J10" s="33"/>
    </x:row>
    <x:row r="11">
      <x:c r="A11" s="33"/>
      <x:c r="B11" s="33"/>
      <x:c r="C11" s="33"/>
      <x:c r="D11" s="33"/>
      <x:c r="E11" s="33"/>
      <x:c r="F11" s="33"/>
      <x:c r="G11" s="33"/>
      <x:c r="H11" s="33"/>
      <x:c r="I11" s="33"/>
      <x:c r="J11" s="33"/>
    </x:row>
    <x:row r="13" ht="38" customHeight="1">
      <x:c r="A13" s="41" t="str">
        <x:v>Regla estructural: la pantalla puede ser específica por bloque, pero la unidad semántica mínima sigue siendo cada source slot. La UI nunca decide secuencia, lineage, provenance, canonicalización, branching ni readiness.</x:v>
      </x:c>
      <x:c r="B13" s="41"/>
      <x:c r="C13" s="41"/>
      <x:c r="D13" s="41"/>
      <x:c r="E13" s="41"/>
      <x:c r="F13" s="41"/>
      <x:c r="G13" s="41"/>
      <x:c r="H13" s="41"/>
      <x:c r="I13" s="41"/>
      <x:c r="J13" s="41"/>
    </x:row>
    <x:row r="15">
      <x:c r="A15" s="49" t="str">
        <x:v>Bloque</x:v>
      </x:c>
      <x:c r="B15" s="49" t="str">
        <x:v>Interacciones</x:v>
      </x:c>
      <x:c r="C15" s="49" t="str">
        <x:v>Slots</x:v>
      </x:c>
      <x:c r="D15" s="49" t="str">
        <x:v>Base</x:v>
      </x:c>
      <x:c r="E15" s="49" t="str">
        <x:v>Causal</x:v>
      </x:c>
      <x:c r="F15" s="49" t="str">
        <x:v>Visibles</x:v>
      </x:c>
      <x:c r="G15" s="49" t="str">
        <x:v>Condicionales</x:v>
      </x:c>
      <x:c r="H15" s="49" t="str">
        <x:v>Confirmación</x:v>
      </x:c>
      <x:c r="I15" s="49" t="str">
        <x:v>Internos/control</x:v>
      </x:c>
      <x:c r="J15" s="49" t="str">
        <x:v>Conformance</x:v>
      </x:c>
    </x:row>
    <x:row r="16">
      <x:c r="A16" s="56" t="str">
        <x:v>0</x:v>
      </x:c>
      <x:c r="B16" s="56" t="n">
        <x:f>'03_Bloques_UI'!F2</x:f>
        <x:v>5</x:v>
      </x:c>
      <x:c r="C16" s="56" t="n">
        <x:f>'03_Bloques_UI'!I2</x:f>
        <x:v>17</x:v>
      </x:c>
      <x:c r="D16" s="56" t="n">
        <x:f>'03_Bloques_UI'!G2</x:f>
        <x:v>4</x:v>
      </x:c>
      <x:c r="E16" s="56" t="n">
        <x:f>'03_Bloques_UI'!H2</x:f>
        <x:v>1</x:v>
      </x:c>
      <x:c r="F16" s="56" t="n">
        <x:f>'03_Bloques_UI'!J2</x:f>
        <x:v>8</x:v>
      </x:c>
      <x:c r="G16" s="56" t="n">
        <x:f>'03_Bloques_UI'!K2</x:f>
        <x:v>4</x:v>
      </x:c>
      <x:c r="H16" s="56" t="n">
        <x:f>'03_Bloques_UI'!L2</x:f>
        <x:v>3</x:v>
      </x:c>
      <x:c r="I16" s="56" t="n">
        <x:f>'03_Bloques_UI'!M2</x:f>
        <x:v>2</x:v>
      </x:c>
      <x:c r="J16" s="56" t="str">
        <x:f>'03_Bloques_UI'!Q2</x:f>
        <x:v>Parcial</x:v>
      </x:c>
    </x:row>
    <x:row r="17">
      <x:c r="A17" s="56" t="str">
        <x:v>0.5</x:v>
      </x:c>
      <x:c r="B17" s="56" t="n">
        <x:f>'03_Bloques_UI'!F3</x:f>
        <x:v>4</x:v>
      </x:c>
      <x:c r="C17" s="56" t="n">
        <x:f>'03_Bloques_UI'!I3</x:f>
        <x:v>13</x:v>
      </x:c>
      <x:c r="D17" s="56" t="n">
        <x:f>'03_Bloques_UI'!G3</x:f>
        <x:v>3</x:v>
      </x:c>
      <x:c r="E17" s="56" t="n">
        <x:f>'03_Bloques_UI'!H3</x:f>
        <x:v>1</x:v>
      </x:c>
      <x:c r="F17" s="56" t="n">
        <x:f>'03_Bloques_UI'!J3</x:f>
        <x:v>10</x:v>
      </x:c>
      <x:c r="G17" s="56" t="n">
        <x:f>'03_Bloques_UI'!K3</x:f>
        <x:v>3</x:v>
      </x:c>
      <x:c r="H17" s="56" t="n">
        <x:f>'03_Bloques_UI'!L3</x:f>
        <x:v>0</x:v>
      </x:c>
      <x:c r="I17" s="56" t="n">
        <x:f>'03_Bloques_UI'!M3</x:f>
        <x:v>0</x:v>
      </x:c>
      <x:c r="J17" s="56" t="str">
        <x:f>'03_Bloques_UI'!Q3</x:f>
        <x:v>Parcial</x:v>
      </x:c>
    </x:row>
    <x:row r="18">
      <x:c r="A18" s="56" t="str">
        <x:v>1</x:v>
      </x:c>
      <x:c r="B18" s="56" t="n">
        <x:f>'03_Bloques_UI'!F4</x:f>
        <x:v>5</x:v>
      </x:c>
      <x:c r="C18" s="56" t="n">
        <x:f>'03_Bloques_UI'!I4</x:f>
        <x:v>11</x:v>
      </x:c>
      <x:c r="D18" s="56" t="n">
        <x:f>'03_Bloques_UI'!G4</x:f>
        <x:v>4</x:v>
      </x:c>
      <x:c r="E18" s="56" t="n">
        <x:f>'03_Bloques_UI'!H4</x:f>
        <x:v>1</x:v>
      </x:c>
      <x:c r="F18" s="56" t="n">
        <x:f>'03_Bloques_UI'!J4</x:f>
        <x:v>8</x:v>
      </x:c>
      <x:c r="G18" s="56" t="n">
        <x:f>'03_Bloques_UI'!K4</x:f>
        <x:v>3</x:v>
      </x:c>
      <x:c r="H18" s="56" t="n">
        <x:f>'03_Bloques_UI'!L4</x:f>
        <x:v>0</x:v>
      </x:c>
      <x:c r="I18" s="56" t="n">
        <x:f>'03_Bloques_UI'!M4</x:f>
        <x:v>0</x:v>
      </x:c>
      <x:c r="J18" s="56" t="str">
        <x:f>'03_Bloques_UI'!Q4</x:f>
        <x:v>Parcial</x:v>
      </x:c>
    </x:row>
    <x:row r="19">
      <x:c r="A19" s="56" t="str">
        <x:v>2</x:v>
      </x:c>
      <x:c r="B19" s="56" t="n">
        <x:f>'03_Bloques_UI'!F5</x:f>
        <x:v>10</x:v>
      </x:c>
      <x:c r="C19" s="56" t="n">
        <x:f>'03_Bloques_UI'!I5</x:f>
        <x:v>26</x:v>
      </x:c>
      <x:c r="D19" s="56" t="n">
        <x:f>'03_Bloques_UI'!G5</x:f>
        <x:v>6</x:v>
      </x:c>
      <x:c r="E19" s="56" t="n">
        <x:f>'03_Bloques_UI'!H5</x:f>
        <x:v>4</x:v>
      </x:c>
      <x:c r="F19" s="56" t="n">
        <x:f>'03_Bloques_UI'!J5</x:f>
        <x:v>23</x:v>
      </x:c>
      <x:c r="G19" s="56" t="n">
        <x:f>'03_Bloques_UI'!K5</x:f>
        <x:v>3</x:v>
      </x:c>
      <x:c r="H19" s="56" t="n">
        <x:f>'03_Bloques_UI'!L5</x:f>
        <x:v>0</x:v>
      </x:c>
      <x:c r="I19" s="56" t="n">
        <x:f>'03_Bloques_UI'!M5</x:f>
        <x:v>0</x:v>
      </x:c>
      <x:c r="J19" s="56" t="str">
        <x:f>'03_Bloques_UI'!Q5</x:f>
        <x:v>Parcial</x:v>
      </x:c>
    </x:row>
    <x:row r="20">
      <x:c r="A20" s="56" t="str">
        <x:v>3</x:v>
      </x:c>
      <x:c r="B20" s="56" t="n">
        <x:f>'03_Bloques_UI'!F6</x:f>
        <x:v>8</x:v>
      </x:c>
      <x:c r="C20" s="56" t="n">
        <x:f>'03_Bloques_UI'!I6</x:f>
        <x:v>19</x:v>
      </x:c>
      <x:c r="D20" s="56" t="n">
        <x:f>'03_Bloques_UI'!G6</x:f>
        <x:v>5</x:v>
      </x:c>
      <x:c r="E20" s="56" t="n">
        <x:f>'03_Bloques_UI'!H6</x:f>
        <x:v>3</x:v>
      </x:c>
      <x:c r="F20" s="56" t="n">
        <x:f>'03_Bloques_UI'!J6</x:f>
        <x:v>16</x:v>
      </x:c>
      <x:c r="G20" s="56" t="n">
        <x:f>'03_Bloques_UI'!K6</x:f>
        <x:v>3</x:v>
      </x:c>
      <x:c r="H20" s="56" t="n">
        <x:f>'03_Bloques_UI'!L6</x:f>
        <x:v>0</x:v>
      </x:c>
      <x:c r="I20" s="56" t="n">
        <x:f>'03_Bloques_UI'!M6</x:f>
        <x:v>0</x:v>
      </x:c>
      <x:c r="J20" s="56" t="str">
        <x:f>'03_Bloques_UI'!Q6</x:f>
        <x:v>Parcial</x:v>
      </x:c>
    </x:row>
    <x:row r="21">
      <x:c r="A21" s="56" t="str">
        <x:v>4</x:v>
      </x:c>
      <x:c r="B21" s="56" t="n">
        <x:f>'03_Bloques_UI'!F7</x:f>
        <x:v>10</x:v>
      </x:c>
      <x:c r="C21" s="56" t="n">
        <x:f>'03_Bloques_UI'!I7</x:f>
        <x:v>21</x:v>
      </x:c>
      <x:c r="D21" s="56" t="n">
        <x:f>'03_Bloques_UI'!G7</x:f>
        <x:v>6</x:v>
      </x:c>
      <x:c r="E21" s="56" t="n">
        <x:f>'03_Bloques_UI'!H7</x:f>
        <x:v>4</x:v>
      </x:c>
      <x:c r="F21" s="56" t="n">
        <x:f>'03_Bloques_UI'!J7</x:f>
        <x:v>18</x:v>
      </x:c>
      <x:c r="G21" s="56" t="n">
        <x:f>'03_Bloques_UI'!K7</x:f>
        <x:v>3</x:v>
      </x:c>
      <x:c r="H21" s="56" t="n">
        <x:f>'03_Bloques_UI'!L7</x:f>
        <x:v>0</x:v>
      </x:c>
      <x:c r="I21" s="56" t="n">
        <x:f>'03_Bloques_UI'!M7</x:f>
        <x:v>0</x:v>
      </x:c>
      <x:c r="J21" s="56" t="str">
        <x:f>'03_Bloques_UI'!Q7</x:f>
        <x:v>Parcial</x:v>
      </x:c>
    </x:row>
    <x:row r="22">
      <x:c r="A22" s="56" t="str">
        <x:v>5</x:v>
      </x:c>
      <x:c r="B22" s="56" t="n">
        <x:f>'03_Bloques_UI'!F8</x:f>
        <x:v>6</x:v>
      </x:c>
      <x:c r="C22" s="56" t="n">
        <x:f>'03_Bloques_UI'!I8</x:f>
        <x:v>20</x:v>
      </x:c>
      <x:c r="D22" s="56" t="n">
        <x:f>'03_Bloques_UI'!G8</x:f>
        <x:v>5</x:v>
      </x:c>
      <x:c r="E22" s="56" t="n">
        <x:f>'03_Bloques_UI'!H8</x:f>
        <x:v>1</x:v>
      </x:c>
      <x:c r="F22" s="56" t="n">
        <x:f>'03_Bloques_UI'!J8</x:f>
        <x:v>15</x:v>
      </x:c>
      <x:c r="G22" s="56" t="n">
        <x:f>'03_Bloques_UI'!K8</x:f>
        <x:v>3</x:v>
      </x:c>
      <x:c r="H22" s="56" t="n">
        <x:f>'03_Bloques_UI'!L8</x:f>
        <x:v>0</x:v>
      </x:c>
      <x:c r="I22" s="56" t="n">
        <x:f>'03_Bloques_UI'!M8</x:f>
        <x:v>2</x:v>
      </x:c>
      <x:c r="J22" s="56" t="str">
        <x:f>'03_Bloques_UI'!Q8</x:f>
        <x:v>Parcial</x:v>
      </x:c>
    </x:row>
    <x:row r="23">
      <x:c r="A23" s="56" t="str">
        <x:v>6</x:v>
      </x:c>
      <x:c r="B23" s="56" t="n">
        <x:f>'03_Bloques_UI'!F9</x:f>
        <x:v>9</x:v>
      </x:c>
      <x:c r="C23" s="56" t="n">
        <x:f>'03_Bloques_UI'!I9</x:f>
        <x:v>29</x:v>
      </x:c>
      <x:c r="D23" s="56" t="n">
        <x:f>'03_Bloques_UI'!G9</x:f>
        <x:v>5</x:v>
      </x:c>
      <x:c r="E23" s="56" t="n">
        <x:f>'03_Bloques_UI'!H9</x:f>
        <x:v>4</x:v>
      </x:c>
      <x:c r="F23" s="56" t="n">
        <x:f>'03_Bloques_UI'!J9</x:f>
        <x:v>26</x:v>
      </x:c>
      <x:c r="G23" s="56" t="n">
        <x:f>'03_Bloques_UI'!K9</x:f>
        <x:v>3</x:v>
      </x:c>
      <x:c r="H23" s="56" t="n">
        <x:f>'03_Bloques_UI'!L9</x:f>
        <x:v>0</x:v>
      </x:c>
      <x:c r="I23" s="56" t="n">
        <x:f>'03_Bloques_UI'!M9</x:f>
        <x:v>0</x:v>
      </x:c>
      <x:c r="J23" s="56" t="str">
        <x:f>'03_Bloques_UI'!Q9</x:f>
        <x:v>Parcial</x:v>
      </x:c>
    </x:row>
    <x:row r="24">
      <x:c r="A24" s="56" t="str">
        <x:v>7</x:v>
      </x:c>
      <x:c r="B24" s="56" t="n">
        <x:f>'03_Bloques_UI'!F10</x:f>
        <x:v>3</x:v>
      </x:c>
      <x:c r="C24" s="56" t="n">
        <x:f>'03_Bloques_UI'!I10</x:f>
        <x:v>14</x:v>
      </x:c>
      <x:c r="D24" s="56" t="n">
        <x:f>'03_Bloques_UI'!G10</x:f>
        <x:v>2</x:v>
      </x:c>
      <x:c r="E24" s="56" t="n">
        <x:f>'03_Bloques_UI'!H10</x:f>
        <x:v>1</x:v>
      </x:c>
      <x:c r="F24" s="56" t="n">
        <x:f>'03_Bloques_UI'!J10</x:f>
        <x:v>10</x:v>
      </x:c>
      <x:c r="G24" s="56" t="n">
        <x:f>'03_Bloques_UI'!K10</x:f>
        <x:v>0</x:v>
      </x:c>
      <x:c r="H24" s="56" t="n">
        <x:f>'03_Bloques_UI'!L10</x:f>
        <x:v>0</x:v>
      </x:c>
      <x:c r="I24" s="56" t="n">
        <x:f>'03_Bloques_UI'!M10</x:f>
        <x:v>4</x:v>
      </x:c>
      <x:c r="J24" s="56" t="str">
        <x:f>'03_Bloques_UI'!Q10</x:f>
        <x:v>Parcial</x:v>
      </x:c>
    </x:row>
    <x:row r="27" ht="28" customHeight="1">
      <x:c r="A27" s="60" t="str">
        <x:v>Cómo usarla: el equipo UI completa rutas/estado en Interacciones_60 y Slots_170; Runtime valida binding y submit; QA registra Qn→Answer→Qn+1 en QA_60. El dashboard se actualiza por fórmula.</x:v>
      </x:c>
      <x:c r="B27" s="60"/>
      <x:c r="C27" s="60"/>
      <x:c r="D27" s="60"/>
      <x:c r="E27" s="60"/>
      <x:c r="F27" s="60"/>
      <x:c r="G27" s="60"/>
      <x:c r="H27" s="60"/>
      <x:c r="I27" s="60"/>
      <x:c r="J27" s="60"/>
    </x:row>
    <x:row r="28" ht="28" customHeight="1">
      <x:c r="A28" s="60"/>
      <x:c r="B28" s="60"/>
      <x:c r="C28" s="60"/>
      <x:c r="D28" s="60"/>
      <x:c r="E28" s="60"/>
      <x:c r="F28" s="60"/>
      <x:c r="G28" s="60"/>
      <x:c r="H28" s="60"/>
      <x:c r="I28" s="60"/>
      <x:c r="J28" s="60"/>
    </x:row>
    <x:row r="30" ht="28" customHeight="1">
      <x:c r="A30" s="41" t="str">
        <x:v>Atención: 2 slots tienen field_type=dynamic y requieren que Renderer entregue metadata suficiente para elegir el control. La pantalla no debe decidir por texto ni hardcodear alternativas.</x:v>
      </x:c>
      <x:c r="B30" s="41"/>
      <x:c r="C30" s="41"/>
      <x:c r="D30" s="41"/>
      <x:c r="E30" s="41"/>
      <x:c r="F30" s="41"/>
      <x:c r="G30" s="41"/>
      <x:c r="H30" s="41"/>
      <x:c r="I30" s="41"/>
      <x:c r="J30" s="41"/>
    </x:row>
    <x:row r="31" ht="28" customHeight="1">
      <x:c r="A31" s="41"/>
      <x:c r="B31" s="41"/>
      <x:c r="C31" s="41"/>
      <x:c r="D31" s="41"/>
      <x:c r="E31" s="41"/>
      <x:c r="F31" s="41"/>
      <x:c r="G31" s="41"/>
      <x:c r="H31" s="41"/>
      <x:c r="I31" s="41"/>
      <x:c r="J31" s="41"/>
    </x:row>
  </x:sheetData>
  <x:mergeCells>
    <x:mergeCell ref="A1:J1"/>
    <x:mergeCell ref="A2:J3"/>
    <x:mergeCell ref="A5:B5"/>
    <x:mergeCell ref="A6:B7"/>
    <x:mergeCell ref="C5:D5"/>
    <x:mergeCell ref="C6:D7"/>
    <x:mergeCell ref="E5:F5"/>
    <x:mergeCell ref="E6:F7"/>
    <x:mergeCell ref="G5:H5"/>
    <x:mergeCell ref="G6:H7"/>
    <x:mergeCell ref="I5:J5"/>
    <x:mergeCell ref="I6:J7"/>
    <x:mergeCell ref="A9:B9"/>
    <x:mergeCell ref="A10:B11"/>
    <x:mergeCell ref="C9:D9"/>
    <x:mergeCell ref="C10:D11"/>
    <x:mergeCell ref="E9:F9"/>
    <x:mergeCell ref="E10:F11"/>
    <x:mergeCell ref="G9:H9"/>
    <x:mergeCell ref="G10:H11"/>
    <x:mergeCell ref="I9:J9"/>
    <x:mergeCell ref="I10:J11"/>
    <x:mergeCell ref="A13:J13"/>
    <x:mergeCell ref="A27:J28"/>
    <x:mergeCell ref="A30:J31"/>
  </x:mergeCells>
  <x:conditionalFormatting sqref="J16:J24">
    <x:cfRule type="expression" dxfId="16" priority="1">
      <x:formula>J16="Conforme"</x:formula>
    </x:cfRule>
    <x:cfRule type="expression" dxfId="17" priority="2">
      <x:formula>J16="Parcial"</x:formula>
    </x:cfRule>
    <x:cfRule type="expression" dxfId="18" priority="3">
      <x:formula>OR(J16="No conforme",J16="Bloqueado")</x:formula>
    </x:cfRule>
    <x:cfRule type="expression" dxfId="19" priority="4">
      <x:formula>J16="No evaluado"</x:formula>
    </x:cfRule>
  </x:conditionalFormatting>
  <x:pageMargins left="0.7" right="0.7" top="0.75" bottom="0.75" header="0.3" footer="0.3"/>
  <x:drawing xmlns:r="http://schemas.openxmlformats.org/officeDocument/2006/relationships" r:id="R4ae702360f744323"/>
</x:worksheet>
</file>

<file path=xl/worksheets/sheet2.xml><?xml version="1.0" encoding="utf-8"?>
<x:worksheet xmlns:x="http://schemas.openxmlformats.org/spreadsheetml/2006/main">
  <x:sheetFormatPr defaultRowHeight="15"/>
  <x:cols>
    <x:col min="1" max="1" width="16" hidden="0" customWidth="1"/>
    <x:col min="2" max="2" width="13" hidden="0" customWidth="1"/>
    <x:col min="3" max="3" width="8" hidden="0" customWidth="1"/>
    <x:col min="4" max="4" width="10" hidden="0" customWidth="1"/>
    <x:col min="5" max="5" width="26" hidden="0" customWidth="1"/>
    <x:col min="6" max="6" width="46" hidden="0" customWidth="1"/>
    <x:col min="7" max="7" width="30" hidden="0" customWidth="1"/>
    <x:col min="8" max="8" width="40" hidden="0" customWidth="1"/>
    <x:col min="9" max="9" width="36" hidden="0" customWidth="1"/>
    <x:col min="10" max="10" width="10" hidden="0" customWidth="1"/>
    <x:col min="11" max="11" width="10" hidden="0" customWidth="1"/>
    <x:col min="12" max="12" width="11" hidden="0" customWidth="1"/>
    <x:col min="13" max="13" width="11" hidden="0" customWidth="1"/>
    <x:col min="14" max="14" width="11" hidden="0" customWidth="1"/>
    <x:col min="15" max="15" width="42" hidden="0" customWidth="1"/>
    <x:col min="16" max="16" width="30" hidden="0" customWidth="1"/>
    <x:col min="17" max="17" width="42" hidden="0" customWidth="1"/>
    <x:col min="18" max="18" width="42" hidden="0" customWidth="1"/>
    <x:col min="19" max="19" width="44" hidden="0" customWidth="1"/>
    <x:col min="20" max="20" width="44" hidden="0" customWidth="1"/>
    <x:col min="21" max="21" width="44" hidden="0" customWidth="1"/>
    <x:col min="22" max="22" width="28" hidden="0" customWidth="1"/>
    <x:col min="23" max="23" width="32" hidden="0" customWidth="1"/>
    <x:col min="24" max="24" width="20" hidden="0" customWidth="1"/>
    <x:col min="25" max="25" width="17" hidden="0" customWidth="1"/>
    <x:col min="26" max="26" width="17" hidden="0" customWidth="1"/>
    <x:col min="27" max="27" width="17" hidden="0" customWidth="1"/>
    <x:col min="28" max="28" width="17" hidden="0" customWidth="1"/>
    <x:col min="29" max="29" width="18" hidden="0" customWidth="1"/>
    <x:col min="30" max="30" width="34" hidden="0" customWidth="1"/>
    <x:col min="31" max="31" width="34" hidden="0" customWidth="1"/>
    <x:col min="32" max="32" width="18" hidden="0" customWidth="1"/>
    <x:col min="33" max="33" width="28" hidden="0" customWidth="1"/>
    <x:col min="34" max="34" width="22" hidden="0" customWidth="1"/>
  </x:cols>
  <x:sheetData>
    <x:row r="1" ht="32" customHeight="1">
      <x:c r="A1" s="49" t="str">
        <x:v>runtime_interaction_id</x:v>
      </x:c>
      <x:c r="B1" s="49" t="str">
        <x:v>interaction_group</x:v>
      </x:c>
      <x:c r="C1" s="49" t="str">
        <x:v>block</x:v>
      </x:c>
      <x:c r="D1" s="49" t="str">
        <x:v>runtime_order</x:v>
      </x:c>
      <x:c r="E1" s="49" t="str">
        <x:v>function</x:v>
      </x:c>
      <x:c r="F1" s="49" t="str">
        <x:v>visible_text</x:v>
      </x:c>
      <x:c r="G1" s="49" t="str">
        <x:v>runtime_ui_component</x:v>
      </x:c>
      <x:c r="H1" s="49" t="str">
        <x:v>subfield_structure</x:v>
      </x:c>
      <x:c r="I1" s="49" t="str">
        <x:v>source_codes_literal</x:v>
      </x:c>
      <x:c r="J1" s="49" t="str">
        <x:v>source_slot_count</x:v>
      </x:c>
      <x:c r="K1" s="49" t="str">
        <x:v>visible_slot_count</x:v>
      </x:c>
      <x:c r="L1" s="49" t="str">
        <x:v>conditional_slot_count</x:v>
      </x:c>
      <x:c r="M1" s="49" t="str">
        <x:v>confirmation_slot_count</x:v>
      </x:c>
      <x:c r="N1" s="49" t="str">
        <x:v>internal_control_count</x:v>
      </x:c>
      <x:c r="O1" s="49" t="str">
        <x:v>trigger_condition</x:v>
      </x:c>
      <x:c r="P1" s="49" t="str">
        <x:v>confirmation_policy</x:v>
      </x:c>
      <x:c r="Q1" s="49" t="str">
        <x:v>must_not_infer</x:v>
      </x:c>
      <x:c r="R1" s="49" t="str">
        <x:v>acceptance_test</x:v>
      </x:c>
      <x:c r="S1" s="49" t="str">
        <x:v>ux_display_rule</x:v>
      </x:c>
      <x:c r="T1" s="49" t="str">
        <x:v>ux_storage_rule</x:v>
      </x:c>
      <x:c r="U1" s="49" t="str">
        <x:v>risk_if_single_textbox</x:v>
      </x:c>
      <x:c r="V1" s="49" t="str">
        <x:v>pantalla_objetivo</x:v>
      </x:c>
      <x:c r="W1" s="49" t="str">
        <x:v>ruta_componente_real</x:v>
      </x:c>
      <x:c r="X1" s="49" t="str">
        <x:v>estado_desarrollo_ui</x:v>
      </x:c>
      <x:c r="Y1" s="49" t="str">
        <x:v>estado_renderer_ui</x:v>
      </x:c>
      <x:c r="Z1" s="49" t="str">
        <x:v>estado_submit_ingest</x:v>
      </x:c>
      <x:c r="AA1" s="49" t="str">
        <x:v>estado_prueba_qn_qn1</x:v>
      </x:c>
      <x:c r="AB1" s="49" t="str">
        <x:v>conformance_global</x:v>
      </x:c>
      <x:c r="AC1" s="49" t="str">
        <x:v>responsable</x:v>
      </x:c>
      <x:c r="AD1" s="49" t="str">
        <x:v>evidencia_prueba</x:v>
      </x:c>
      <x:c r="AE1" s="49" t="str">
        <x:v>bloqueador</x:v>
      </x:c>
      <x:c r="AF1" s="49" t="str">
        <x:v>TR_referencia_principal</x:v>
      </x:c>
      <x:c r="AG1" s="49" t="str">
        <x:v>fuente_runtime</x:v>
      </x:c>
      <x:c r="AH1" s="49" t="str">
        <x:v>runtime_xlsx_sha256</x:v>
      </x:c>
    </x:row>
    <x:row r="2" ht="62" customHeight="1">
      <x:c r="A2" s="56" t="str">
        <x:v>B0-Q01</x:v>
      </x:c>
      <x:c r="B2" s="56" t="str">
        <x:v>base_40</x:v>
      </x:c>
      <x:c r="C2" s="56" t="str">
        <x:v>0</x:v>
      </x:c>
      <x:c r="D2" s="56" t="n">
        <x:v>1</x:v>
      </x:c>
      <x:c r="E2" s="56" t="str">
        <x:v>Confirmación o corrección de actividad</x:v>
      </x:c>
      <x:c r="F2" s="56" t="str">
        <x:v>Esto es lo que entendimos de esta actividad. ¿Está correcto? Si no, corrígelo para que diga qué haces, sobre qué trabajas y qué queda listo.</x:v>
      </x:c>
      <x:c r="G2" s="56" t="str">
        <x:v>confirmation_card_with_correction</x:v>
      </x:c>
      <x:c r="H2" s="56" t="str">
        <x:v>action_verb; input_or_object; procedure_or_standard; output_or_result; user_correction_note</x:v>
      </x:c>
      <x:c r="I2" s="56" t="str">
        <x:v>0.0, 0.1, 0.1a, 0.D, block0_entry_control</x:v>
      </x:c>
      <x:c r="J2" s="56" t="n">
        <x:v>5</x:v>
      </x:c>
      <x:c r="K2" s="56" t="n">
        <x:v>1</x:v>
      </x:c>
      <x:c r="L2" s="56" t="n">
        <x:v>1</x:v>
      </x:c>
      <x:c r="M2" s="56" t="n">
        <x:v>1</x:v>
      </x:c>
      <x:c r="N2" s="56" t="n">
        <x:v>2</x:v>
      </x:c>
      <x:c r="O2" s="56" t="str">
        <x:v>Siempre al abrir actividad. Si llega de WorkMapIntake, se prellena; si llega incompleta, se reconstruye sin inventar.</x:v>
      </x:c>
      <x:c r="P2" s="56" t="str">
        <x:v>confirmar siempre</x:v>
      </x:c>
      <x:c r="Q2" s="56" t="str">
        <x:v>No convertir texto libre o inferencia IA en hecho estructural sin ruta canónica y estado epistemológico.</x:v>
      </x:c>
      <x:c r="R2" s="56" t="str">
        <x:v>Pasa si variables requeridas quedan capturadas/confirmadas, sin contradicción y con trazabilidad a nodos fuente.</x:v>
      </x:c>
      <x:c r="S2" s="56" t="str">
        <x:v>Mostrar como tarjeta de confirmación editable con subcampos separados para qué haces, sobre qué trabajas, cómo o bajo qué regla, qué queda listo y corrección libre.</x:v>
      </x:c>
      <x:c r="T2" s="56" t="str">
        <x:v>Persistir cada subcampo como variable separable con su provenance y timestamp; no guardar la corrección solo como texto plano.</x:v>
      </x:c>
      <x:c r="U2" s="56" t="str">
        <x:v>Se puede perder la estructura semántica de la actividad y contaminar el anclaje de Bloque 0; la IA podría inferir componentes no confirmados.</x:v>
      </x:c>
      <x:c r="V2" s="56" t="str">
        <x:v>Pantalla específica Bloque 0</x:v>
      </x:c>
      <x:c r="W2" s="66" t="str"/>
      <x:c r="X2" s="66" t="str">
        <x:v>Existente / por verificar</x:v>
      </x:c>
      <x:c r="Y2" s="66" t="str">
        <x:v>No evaluado</x:v>
      </x:c>
      <x:c r="Z2" s="66" t="str">
        <x:v>No evaluado</x:v>
      </x:c>
      <x:c r="AA2" s="66" t="str">
        <x:v>No ejecutado</x:v>
      </x:c>
      <x:c r="AB2" s="68" t="str">
        <x:f>IF(AND(X2="No evaluado",Y2="No evaluado",Z2="No evaluado",AA2="No ejecutado"),"No evaluado",IF(OR(X2="Bloqueado",Y2="Bloqueado",Z2="Bloqueado",AA2="Bloqueado"),"Bloqueado",IF(OR(Y2="No conforme",Z2="No conforme",AA2="Falló"),"No conforme",IF(AND(OR(X2="Implementado",X2="No aplica"),OR(Y2="Conforme",Y2="No aplica"),OR(Z2="Conforme",Z2="No aplica"),OR(AA2="Pasó",AA2="No aplica")),"Conforme","Parcial"))))</x:f>
        <x:v>Parcial</x:v>
      </x:c>
      <x:c r="AC2" s="66" t="str"/>
      <x:c r="AD2" s="66" t="str"/>
      <x:c r="AE2" s="66" t="str"/>
      <x:c r="AF2" s="56" t="str">
        <x:v>TR-002</x:v>
      </x:c>
      <x:c r="AG2" s="56" t="str">
        <x:v>Runtime_Interactions_Base_40!2</x:v>
      </x:c>
      <x:c r="AH2" s="56" t="str">
        <x:v>5be7bd2ed510c5f54ab0490535d11685f0ae981505575fdec38de8e4cdd3b2e0</x:v>
      </x:c>
    </x:row>
    <x:row r="3" ht="62" customHeight="1">
      <x:c r="A3" s="56" t="str">
        <x:v>B0-Q02</x:v>
      </x:c>
      <x:c r="B3" s="56" t="str">
        <x:v>base_40</x:v>
      </x:c>
      <x:c r="C3" s="56" t="str">
        <x:v>0</x:v>
      </x:c>
      <x:c r="D3" s="56" t="n">
        <x:v>2</x:v>
      </x:c>
      <x:c r="E3" s="56" t="str">
        <x:v>Descripción operativa mínima</x:v>
      </x:c>
      <x:c r="F3" s="56" t="str">
        <x:v>En tus palabras, ¿qué ocurre cuando haces esta actividad?</x:v>
      </x:c>
      <x:c r="G3" s="56" t="str">
        <x:v>guided_textarea_or_choice_plus_text</x:v>
      </x:c>
      <x:c r="H3" s="56" t="str">
        <x:v>single_answer</x:v>
      </x:c>
      <x:c r="I3" s="56" t="str">
        <x:v>0.2, 0.A, 0.C</x:v>
      </x:c>
      <x:c r="J3" s="56" t="n">
        <x:v>3</x:v>
      </x:c>
      <x:c r="K3" s="56" t="n">
        <x:v>1</x:v>
      </x:c>
      <x:c r="L3" s="56" t="n">
        <x:v>2</x:v>
      </x:c>
      <x:c r="M3" s="56" t="n">
        <x:v>0</x:v>
      </x:c>
      <x:c r="N3" s="56" t="n">
        <x:v>0</x:v>
      </x:c>
      <x:c r="O3" s="56" t="str">
        <x:v>Siempre, salvo que la descripción previa tenga alta confianza y el usuario la confirme.</x:v>
      </x:c>
      <x:c r="P3" s="56" t="str">
        <x:v>captura directa; confirmar si se deriva de preload</x:v>
      </x:c>
      <x:c r="Q3" s="56" t="str">
        <x:v>No convertir texto libre o inferencia IA en hecho estructural sin ruta canónica y estado epistemológico.</x:v>
      </x:c>
      <x:c r="R3" s="56" t="str">
        <x:v>Pasa si variables requeridas quedan capturadas/confirmadas, sin contradicción y con trazabilidad a nodos fuente.</x:v>
      </x:c>
      <x:c r="S3" s="56" t="str"/>
      <x:c r="T3" s="56" t="str"/>
      <x:c r="U3" s="56" t="str"/>
      <x:c r="V3" s="56" t="str">
        <x:v>Pantalla específica Bloque 0</x:v>
      </x:c>
      <x:c r="W3" s="66" t="str"/>
      <x:c r="X3" s="66" t="str">
        <x:v>Existente / por verificar</x:v>
      </x:c>
      <x:c r="Y3" s="66" t="str">
        <x:v>No evaluado</x:v>
      </x:c>
      <x:c r="Z3" s="66" t="str">
        <x:v>No evaluado</x:v>
      </x:c>
      <x:c r="AA3" s="66" t="str">
        <x:v>No ejecutado</x:v>
      </x:c>
      <x:c r="AB3" s="68" t="str">
        <x:f>IF(AND(X3="No evaluado",Y3="No evaluado",Z3="No evaluado",AA3="No ejecutado"),"No evaluado",IF(OR(X3="Bloqueado",Y3="Bloqueado",Z3="Bloqueado",AA3="Bloqueado"),"Bloqueado",IF(OR(Y3="No conforme",Z3="No conforme",AA3="Falló"),"No conforme",IF(AND(OR(X3="Implementado",X3="No aplica"),OR(Y3="Conforme",Y3="No aplica"),OR(Z3="Conforme",Z3="No aplica"),OR(AA3="Pasó",AA3="No aplica")),"Conforme","Parcial"))))</x:f>
        <x:v>Parcial</x:v>
      </x:c>
      <x:c r="AC3" s="66" t="str"/>
      <x:c r="AD3" s="66" t="str"/>
      <x:c r="AE3" s="66" t="str"/>
      <x:c r="AF3" s="56" t="str">
        <x:v>TR-002</x:v>
      </x:c>
      <x:c r="AG3" s="56" t="str">
        <x:v>Runtime_Interactions_Base_40!3</x:v>
      </x:c>
      <x:c r="AH3" s="56" t="str">
        <x:v>5be7bd2ed510c5f54ab0490535d11685f0ae981505575fdec38de8e4cdd3b2e0</x:v>
      </x:c>
    </x:row>
    <x:row r="4" ht="62" customHeight="1">
      <x:c r="A4" s="56" t="str">
        <x:v>B0-Q03</x:v>
      </x:c>
      <x:c r="B4" s="56" t="str">
        <x:v>base_40</x:v>
      </x:c>
      <x:c r="C4" s="56" t="str">
        <x:v>0</x:v>
      </x:c>
      <x:c r="D4" s="56" t="n">
        <x:v>3</x:v>
      </x:c>
      <x:c r="E4" s="56" t="str">
        <x:v>Frecuencia, contexto y actor inmediato</x:v>
      </x:c>
      <x:c r="F4" s="56" t="str">
        <x:v>¿Con qué frecuencia aparece, en qué situación suele ocurrir y sobre quién recae directamente?</x:v>
      </x:c>
      <x:c r="G4" s="56" t="str">
        <x:v>compound_card_with_separable_subfields</x:v>
      </x:c>
      <x:c r="H4" s="56" t="str">
        <x:v>frequency_base; typical_context; primary_actor_scope</x:v>
      </x:c>
      <x:c r="I4" s="56" t="str">
        <x:v>0.3, 0.4, 0.5_actor_scope</x:v>
      </x:c>
      <x:c r="J4" s="56" t="n">
        <x:v>3</x:v>
      </x:c>
      <x:c r="K4" s="56" t="n">
        <x:v>3</x:v>
      </x:c>
      <x:c r="L4" s="56" t="n">
        <x:v>0</x:v>
      </x:c>
      <x:c r="M4" s="56" t="n">
        <x:v>0</x:v>
      </x:c>
      <x:c r="N4" s="56" t="n">
        <x:v>0</x:v>
      </x:c>
      <x:c r="O4" s="56" t="str">
        <x:v>Siempre; permite estimar carga plausible sin convertir B0 en medición de capacidad.</x:v>
      </x:c>
      <x:c r="P4" s="56" t="str">
        <x:v>captura directa; confirmar si se deriva de preload</x:v>
      </x:c>
      <x:c r="Q4" s="56" t="str">
        <x:v>No convertir texto libre o inferencia IA en hecho estructural sin ruta canónica y estado epistemológico.</x:v>
      </x:c>
      <x:c r="R4" s="56" t="str">
        <x:v>Pasa si variables requeridas quedan capturadas/confirmadas, sin contradicción y con trazabilidad a nodos fuente.</x:v>
      </x:c>
      <x:c r="S4" s="56" t="str">
        <x:v>Mostrar como una tarjeta única con subcampos editables/chips; no como caja de texto indiferenciada.</x:v>
      </x:c>
      <x:c r="T4" s="56" t="str">
        <x:v>Persistir cada subcampo como variable separable con su provenance y confidence.</x:v>
      </x:c>
      <x:c r="U4" s="56" t="str">
        <x:v>La carga visible parece menor, pero se oculta ambigüedad y se pierde trazabilidad.</x:v>
      </x:c>
      <x:c r="V4" s="56" t="str">
        <x:v>Pantalla específica Bloque 0</x:v>
      </x:c>
      <x:c r="W4" s="66" t="str"/>
      <x:c r="X4" s="66" t="str">
        <x:v>Existente / por verificar</x:v>
      </x:c>
      <x:c r="Y4" s="66" t="str">
        <x:v>No evaluado</x:v>
      </x:c>
      <x:c r="Z4" s="66" t="str">
        <x:v>No evaluado</x:v>
      </x:c>
      <x:c r="AA4" s="66" t="str">
        <x:v>No ejecutado</x:v>
      </x:c>
      <x:c r="AB4" s="68" t="str">
        <x:f>IF(AND(X4="No evaluado",Y4="No evaluado",Z4="No evaluado",AA4="No ejecutado"),"No evaluado",IF(OR(X4="Bloqueado",Y4="Bloqueado",Z4="Bloqueado",AA4="Bloqueado"),"Bloqueado",IF(OR(Y4="No conforme",Z4="No conforme",AA4="Falló"),"No conforme",IF(AND(OR(X4="Implementado",X4="No aplica"),OR(Y4="Conforme",Y4="No aplica"),OR(Z4="Conforme",Z4="No aplica"),OR(AA4="Pasó",AA4="No aplica")),"Conforme","Parcial"))))</x:f>
        <x:v>Parcial</x:v>
      </x:c>
      <x:c r="AC4" s="66" t="str"/>
      <x:c r="AD4" s="66" t="str"/>
      <x:c r="AE4" s="66" t="str"/>
      <x:c r="AF4" s="56" t="str">
        <x:v>TR-002</x:v>
      </x:c>
      <x:c r="AG4" s="56" t="str">
        <x:v>Runtime_Interactions_Base_40!4</x:v>
      </x:c>
      <x:c r="AH4" s="56" t="str">
        <x:v>5be7bd2ed510c5f54ab0490535d11685f0ae981505575fdec38de8e4cdd3b2e0</x:v>
      </x:c>
    </x:row>
    <x:row r="5" ht="62" customHeight="1">
      <x:c r="A5" s="56" t="str">
        <x:v>B0-Q04</x:v>
      </x:c>
      <x:c r="B5" s="56" t="str">
        <x:v>base_40</x:v>
      </x:c>
      <x:c r="C5" s="56" t="str">
        <x:v>0</x:v>
      </x:c>
      <x:c r="D5" s="56" t="n">
        <x:v>4</x:v>
      </x:c>
      <x:c r="E5" s="56" t="str">
        <x:v>Inicio y cierre de la actividad</x:v>
      </x:c>
      <x:c r="F5" s="56" t="str">
        <x:v>¿Qué recibes, ves o necesitas para empezar, y qué queda listo para darla por terminada?</x:v>
      </x:c>
      <x:c r="G5" s="56" t="str">
        <x:v>guided_textarea_or_choice_plus_text</x:v>
      </x:c>
      <x:c r="H5" s="56" t="str">
        <x:v>single_answer</x:v>
      </x:c>
      <x:c r="I5" s="56" t="str">
        <x:v>0.6, 0.7, 0.B</x:v>
      </x:c>
      <x:c r="J5" s="56" t="n">
        <x:v>3</x:v>
      </x:c>
      <x:c r="K5" s="56" t="n">
        <x:v>0</x:v>
      </x:c>
      <x:c r="L5" s="56" t="n">
        <x:v>1</x:v>
      </x:c>
      <x:c r="M5" s="56" t="n">
        <x:v>2</x:v>
      </x:c>
      <x:c r="N5" s="56" t="n">
        <x:v>0</x:v>
      </x:c>
      <x:c r="O5" s="56" t="str">
        <x:v>Siempre; si inicio y cierre se mezclan, dispara aclaración B0.B.</x:v>
      </x:c>
      <x:c r="P5" s="56" t="str">
        <x:v>captura directa; confirmar si se deriva de preload</x:v>
      </x:c>
      <x:c r="Q5" s="56" t="str">
        <x:v>No convertir texto libre o inferencia IA en hecho estructural sin ruta canónica y estado epistemológico.</x:v>
      </x:c>
      <x:c r="R5" s="56" t="str">
        <x:v>Pasa si variables requeridas quedan capturadas/confirmadas, sin contradicción y con trazabilidad a nodos fuente.</x:v>
      </x:c>
      <x:c r="S5" s="56" t="str"/>
      <x:c r="T5" s="56" t="str"/>
      <x:c r="U5" s="56" t="str"/>
      <x:c r="V5" s="56" t="str">
        <x:v>Pantalla específica Bloque 0</x:v>
      </x:c>
      <x:c r="W5" s="66" t="str"/>
      <x:c r="X5" s="66" t="str">
        <x:v>Existente / por verificar</x:v>
      </x:c>
      <x:c r="Y5" s="66" t="str">
        <x:v>No evaluado</x:v>
      </x:c>
      <x:c r="Z5" s="66" t="str">
        <x:v>No evaluado</x:v>
      </x:c>
      <x:c r="AA5" s="66" t="str">
        <x:v>No ejecutado</x:v>
      </x:c>
      <x:c r="AB5" s="68" t="str">
        <x:f>IF(AND(X5="No evaluado",Y5="No evaluado",Z5="No evaluado",AA5="No ejecutado"),"No evaluado",IF(OR(X5="Bloqueado",Y5="Bloqueado",Z5="Bloqueado",AA5="Bloqueado"),"Bloqueado",IF(OR(Y5="No conforme",Z5="No conforme",AA5="Falló"),"No conforme",IF(AND(OR(X5="Implementado",X5="No aplica"),OR(Y5="Conforme",Y5="No aplica"),OR(Z5="Conforme",Z5="No aplica"),OR(AA5="Pasó",AA5="No aplica")),"Conforme","Parcial"))))</x:f>
        <x:v>Parcial</x:v>
      </x:c>
      <x:c r="AC5" s="66" t="str"/>
      <x:c r="AD5" s="66" t="str"/>
      <x:c r="AE5" s="66" t="str"/>
      <x:c r="AF5" s="56" t="str">
        <x:v>TR-002</x:v>
      </x:c>
      <x:c r="AG5" s="56" t="str">
        <x:v>Runtime_Interactions_Base_40!5</x:v>
      </x:c>
      <x:c r="AH5" s="56" t="str">
        <x:v>5be7bd2ed510c5f54ab0490535d11685f0ae981505575fdec38de8e4cdd3b2e0</x:v>
      </x:c>
    </x:row>
    <x:row r="6" ht="62" customHeight="1">
      <x:c r="A6" s="56" t="str">
        <x:v>B05-Q05</x:v>
      </x:c>
      <x:c r="B6" s="56" t="str">
        <x:v>base_40</x:v>
      </x:c>
      <x:c r="C6" s="56" t="str">
        <x:v>0.5</x:v>
      </x:c>
      <x:c r="D6" s="56" t="n">
        <x:v>5</x:v>
      </x:c>
      <x:c r="E6" s="56" t="str">
        <x:v>Beneficiario funcional y actor afectado</x:v>
      </x:c>
      <x:c r="F6" s="56" t="str">
        <x:v>Independientemente de a quién entregues directamente, ¿quién se beneficia si sale bien y quién sufre si sale mal?</x:v>
      </x:c>
      <x:c r="G6" s="56" t="str">
        <x:v>guided_textarea_or_choice_plus_text</x:v>
      </x:c>
      <x:c r="H6" s="56" t="str">
        <x:v>single_answer</x:v>
      </x:c>
      <x:c r="I6" s="56" t="str">
        <x:v>0.5.1, 0.5.1a, 0.5.1_rel, 0.5.1c, 0.5.1d</x:v>
      </x:c>
      <x:c r="J6" s="56" t="n">
        <x:v>5</x:v>
      </x:c>
      <x:c r="K6" s="56" t="n">
        <x:v>5</x:v>
      </x:c>
      <x:c r="L6" s="56" t="n">
        <x:v>0</x:v>
      </x:c>
      <x:c r="M6" s="56" t="n">
        <x:v>0</x:v>
      </x:c>
      <x:c r="N6" s="56" t="n">
        <x:v>0</x:v>
      </x:c>
      <x:c r="O6" s="56" t="str">
        <x:v>Siempre; bloquea PM si no hay cliente funcional o actor afectado razonablemente claros.</x:v>
      </x:c>
      <x:c r="P6" s="56" t="str">
        <x:v>captura directa; confirmar si se deriva de preload</x:v>
      </x:c>
      <x:c r="Q6" s="56" t="str">
        <x:v>No convertir texto libre o inferencia IA en hecho estructural sin ruta canónica y estado epistemológico.</x:v>
      </x:c>
      <x:c r="R6" s="56" t="str">
        <x:v>Pasa si variables requeridas quedan capturadas/confirmadas, sin contradicción y con trazabilidad a nodos fuente.</x:v>
      </x:c>
      <x:c r="S6" s="56" t="str"/>
      <x:c r="T6" s="56" t="str"/>
      <x:c r="U6" s="56" t="str"/>
      <x:c r="V6" s="56" t="str">
        <x:v>Pantalla específica Bloque 0.5</x:v>
      </x:c>
      <x:c r="W6" s="66" t="str"/>
      <x:c r="X6" s="66" t="str">
        <x:v>En desarrollo</x:v>
      </x:c>
      <x:c r="Y6" s="66" t="str">
        <x:v>No evaluado</x:v>
      </x:c>
      <x:c r="Z6" s="66" t="str">
        <x:v>No evaluado</x:v>
      </x:c>
      <x:c r="AA6" s="66" t="str">
        <x:v>No ejecutado</x:v>
      </x:c>
      <x:c r="AB6" s="68" t="str">
        <x:f>IF(AND(X6="No evaluado",Y6="No evaluado",Z6="No evaluado",AA6="No ejecutado"),"No evaluado",IF(OR(X6="Bloqueado",Y6="Bloqueado",Z6="Bloqueado",AA6="Bloqueado"),"Bloqueado",IF(OR(Y6="No conforme",Z6="No conforme",AA6="Falló"),"No conforme",IF(AND(OR(X6="Implementado",X6="No aplica"),OR(Y6="Conforme",Y6="No aplica"),OR(Z6="Conforme",Z6="No aplica"),OR(AA6="Pasó",AA6="No aplica")),"Conforme","Parcial"))))</x:f>
        <x:v>Parcial</x:v>
      </x:c>
      <x:c r="AC6" s="66" t="str"/>
      <x:c r="AD6" s="66" t="str"/>
      <x:c r="AE6" s="66" t="str"/>
      <x:c r="AF6" s="56" t="str">
        <x:v>TR-002</x:v>
      </x:c>
      <x:c r="AG6" s="56" t="str">
        <x:v>Runtime_Interactions_Base_40!6</x:v>
      </x:c>
      <x:c r="AH6" s="56" t="str">
        <x:v>5be7bd2ed510c5f54ab0490535d11685f0ae981505575fdec38de8e4cdd3b2e0</x:v>
      </x:c>
    </x:row>
    <x:row r="7" ht="62" customHeight="1">
      <x:c r="A7" s="56" t="str">
        <x:v>B05-Q06</x:v>
      </x:c>
      <x:c r="B7" s="56" t="str">
        <x:v>base_40</x:v>
      </x:c>
      <x:c r="C7" s="56" t="str">
        <x:v>0.5</x:v>
      </x:c>
      <x:c r="D7" s="56" t="n">
        <x:v>6</x:v>
      </x:c>
      <x:c r="E7" s="56" t="str">
        <x:v>Proceso contenedor</x:v>
      </x:c>
      <x:c r="F7" s="56" t="str">
        <x:v>¿A qué gran proceso de la empresa pertenece esta actividad?</x:v>
      </x:c>
      <x:c r="G7" s="56" t="str">
        <x:v>guided_textarea_or_choice_plus_text</x:v>
      </x:c>
      <x:c r="H7" s="56" t="str">
        <x:v>single_answer</x:v>
      </x:c>
      <x:c r="I7" s="56" t="str">
        <x:v>0.5.2, 0.5.B</x:v>
      </x:c>
      <x:c r="J7" s="56" t="n">
        <x:v>2</x:v>
      </x:c>
      <x:c r="K7" s="56" t="n">
        <x:v>1</x:v>
      </x:c>
      <x:c r="L7" s="56" t="n">
        <x:v>1</x:v>
      </x:c>
      <x:c r="M7" s="56" t="n">
        <x:v>0</x:v>
      </x:c>
      <x:c r="N7" s="56" t="n">
        <x:v>0</x:v>
      </x:c>
      <x:c r="O7" s="56" t="str">
        <x:v>Siempre; si queda demasiado amplio o pegado a tarea, reentra por aclaración.</x:v>
      </x:c>
      <x:c r="P7" s="56" t="str">
        <x:v>captura directa; confirmar si se deriva de preload</x:v>
      </x:c>
      <x:c r="Q7" s="56" t="str">
        <x:v>No convertir texto libre o inferencia IA en hecho estructural sin ruta canónica y estado epistemológico.</x:v>
      </x:c>
      <x:c r="R7" s="56" t="str">
        <x:v>Pasa si variables requeridas quedan capturadas/confirmadas, sin contradicción y con trazabilidad a nodos fuente.</x:v>
      </x:c>
      <x:c r="S7" s="56" t="str"/>
      <x:c r="T7" s="56" t="str"/>
      <x:c r="U7" s="56" t="str"/>
      <x:c r="V7" s="56" t="str">
        <x:v>Pantalla específica Bloque 0.5</x:v>
      </x:c>
      <x:c r="W7" s="66" t="str"/>
      <x:c r="X7" s="66" t="str">
        <x:v>En desarrollo</x:v>
      </x:c>
      <x:c r="Y7" s="66" t="str">
        <x:v>No evaluado</x:v>
      </x:c>
      <x:c r="Z7" s="66" t="str">
        <x:v>No evaluado</x:v>
      </x:c>
      <x:c r="AA7" s="66" t="str">
        <x:v>No ejecutado</x:v>
      </x:c>
      <x:c r="AB7" s="68" t="str">
        <x:f>IF(AND(X7="No evaluado",Y7="No evaluado",Z7="No evaluado",AA7="No ejecutado"),"No evaluado",IF(OR(X7="Bloqueado",Y7="Bloqueado",Z7="Bloqueado",AA7="Bloqueado"),"Bloqueado",IF(OR(Y7="No conforme",Z7="No conforme",AA7="Falló"),"No conforme",IF(AND(OR(X7="Implementado",X7="No aplica"),OR(Y7="Conforme",Y7="No aplica"),OR(Z7="Conforme",Z7="No aplica"),OR(AA7="Pasó",AA7="No aplica")),"Conforme","Parcial"))))</x:f>
        <x:v>Parcial</x:v>
      </x:c>
      <x:c r="AC7" s="66" t="str"/>
      <x:c r="AD7" s="66" t="str"/>
      <x:c r="AE7" s="66" t="str"/>
      <x:c r="AF7" s="56" t="str">
        <x:v>TR-002</x:v>
      </x:c>
      <x:c r="AG7" s="56" t="str">
        <x:v>Runtime_Interactions_Base_40!7</x:v>
      </x:c>
      <x:c r="AH7" s="56" t="str">
        <x:v>5be7bd2ed510c5f54ab0490535d11685f0ae981505575fdec38de8e4cdd3b2e0</x:v>
      </x:c>
    </x:row>
    <x:row r="8" ht="62" customHeight="1">
      <x:c r="A8" s="56" t="str">
        <x:v>B05-Q07</x:v>
      </x:c>
      <x:c r="B8" s="56" t="str">
        <x:v>base_40</x:v>
      </x:c>
      <x:c r="C8" s="56" t="str">
        <x:v>0.5</x:v>
      </x:c>
      <x:c r="D8" s="56" t="n">
        <x:v>7</x:v>
      </x:c>
      <x:c r="E8" s="56" t="str">
        <x:v>Hito habilitado y prioridad</x:v>
      </x:c>
      <x:c r="F8" s="56" t="str">
        <x:v>Cuando termina bien, ¿qué hito importante se desbloquea y quién o qué define su prioridad?</x:v>
      </x:c>
      <x:c r="G8" s="56" t="str">
        <x:v>guided_textarea_or_choice_plus_text</x:v>
      </x:c>
      <x:c r="H8" s="56" t="str">
        <x:v>single_answer</x:v>
      </x:c>
      <x:c r="I8" s="56" t="str">
        <x:v>0.5.3, 0.5.4, 0.5.4a</x:v>
      </x:c>
      <x:c r="J8" s="56" t="n">
        <x:v>3</x:v>
      </x:c>
      <x:c r="K8" s="56" t="n">
        <x:v>3</x:v>
      </x:c>
      <x:c r="L8" s="56" t="n">
        <x:v>0</x:v>
      </x:c>
      <x:c r="M8" s="56" t="n">
        <x:v>0</x:v>
      </x:c>
      <x:c r="N8" s="56" t="n">
        <x:v>0</x:v>
      </x:c>
      <x:c r="O8" s="56" t="str">
        <x:v>Siempre; separa objetivo de proceso, urgencia y prioridad real.</x:v>
      </x:c>
      <x:c r="P8" s="56" t="str">
        <x:v>captura directa; confirmar si se deriva de preload</x:v>
      </x:c>
      <x:c r="Q8" s="56" t="str">
        <x:v>No convertir texto libre o inferencia IA en hecho estructural sin ruta canónica y estado epistemológico.</x:v>
      </x:c>
      <x:c r="R8" s="56" t="str">
        <x:v>Pasa si variables requeridas quedan capturadas/confirmadas, sin contradicción y con trazabilidad a nodos fuente.</x:v>
      </x:c>
      <x:c r="S8" s="56" t="str"/>
      <x:c r="T8" s="56" t="str"/>
      <x:c r="U8" s="56" t="str"/>
      <x:c r="V8" s="56" t="str">
        <x:v>Pantalla específica Bloque 0.5</x:v>
      </x:c>
      <x:c r="W8" s="66" t="str"/>
      <x:c r="X8" s="66" t="str">
        <x:v>En desarrollo</x:v>
      </x:c>
      <x:c r="Y8" s="66" t="str">
        <x:v>No evaluado</x:v>
      </x:c>
      <x:c r="Z8" s="66" t="str">
        <x:v>No evaluado</x:v>
      </x:c>
      <x:c r="AA8" s="66" t="str">
        <x:v>No ejecutado</x:v>
      </x:c>
      <x:c r="AB8" s="68" t="str">
        <x:f>IF(AND(X8="No evaluado",Y8="No evaluado",Z8="No evaluado",AA8="No ejecutado"),"No evaluado",IF(OR(X8="Bloqueado",Y8="Bloqueado",Z8="Bloqueado",AA8="Bloqueado"),"Bloqueado",IF(OR(Y8="No conforme",Z8="No conforme",AA8="Falló"),"No conforme",IF(AND(OR(X8="Implementado",X8="No aplica"),OR(Y8="Conforme",Y8="No aplica"),OR(Z8="Conforme",Z8="No aplica"),OR(AA8="Pasó",AA8="No aplica")),"Conforme","Parcial"))))</x:f>
        <x:v>Parcial</x:v>
      </x:c>
      <x:c r="AC8" s="66" t="str"/>
      <x:c r="AD8" s="66" t="str"/>
      <x:c r="AE8" s="66" t="str"/>
      <x:c r="AF8" s="56" t="str">
        <x:v>TR-002</x:v>
      </x:c>
      <x:c r="AG8" s="56" t="str">
        <x:v>Runtime_Interactions_Base_40!8</x:v>
      </x:c>
      <x:c r="AH8" s="56" t="str">
        <x:v>5be7bd2ed510c5f54ab0490535d11685f0ae981505575fdec38de8e4cdd3b2e0</x:v>
      </x:c>
    </x:row>
    <x:row r="9" ht="62" customHeight="1">
      <x:c r="A9" s="56" t="str">
        <x:v>B1-Q08</x:v>
      </x:c>
      <x:c r="B9" s="56" t="str">
        <x:v>base_40</x:v>
      </x:c>
      <x:c r="C9" s="56" t="str">
        <x:v>1</x:v>
      </x:c>
      <x:c r="D9" s="56" t="n">
        <x:v>8</x:v>
      </x:c>
      <x:c r="E9" s="56" t="str">
        <x:v>Fuente y canal del disparador</x:v>
      </x:c>
      <x:c r="F9" s="56" t="str">
        <x:v>¿De dónde viene normalmente la señal para empezar y por qué medio llega?</x:v>
      </x:c>
      <x:c r="G9" s="56" t="str">
        <x:v>guided_textarea_or_choice_plus_text</x:v>
      </x:c>
      <x:c r="H9" s="56" t="str">
        <x:v>single_answer</x:v>
      </x:c>
      <x:c r="I9" s="56" t="str">
        <x:v>1.1, 1.5</x:v>
      </x:c>
      <x:c r="J9" s="56" t="n">
        <x:v>2</x:v>
      </x:c>
      <x:c r="K9" s="56" t="n">
        <x:v>2</x:v>
      </x:c>
      <x:c r="L9" s="56" t="n">
        <x:v>0</x:v>
      </x:c>
      <x:c r="M9" s="56" t="n">
        <x:v>0</x:v>
      </x:c>
      <x:c r="N9" s="56" t="n">
        <x:v>0</x:v>
      </x:c>
      <x:c r="O9" s="56" t="str">
        <x:v>Siempre; si hay fuentes contradictorias, puede abrir B1.C.</x:v>
      </x:c>
      <x:c r="P9" s="56" t="str">
        <x:v>captura directa; confirmar si se deriva de preload</x:v>
      </x:c>
      <x:c r="Q9" s="56" t="str">
        <x:v>No convertir texto libre o inferencia IA en hecho estructural sin ruta canónica y estado epistemológico.</x:v>
      </x:c>
      <x:c r="R9" s="56" t="str">
        <x:v>Pasa si variables requeridas quedan capturadas/confirmadas, sin contradicción y con trazabilidad a nodos fuente.</x:v>
      </x:c>
      <x:c r="S9" s="56" t="str"/>
      <x:c r="T9" s="56" t="str"/>
      <x:c r="U9" s="56" t="str"/>
      <x:c r="V9" s="56" t="str">
        <x:v>Pantalla específica Bloque 1</x:v>
      </x:c>
      <x:c r="W9" s="66" t="str"/>
      <x:c r="X9" s="66" t="str">
        <x:v>En desarrollo</x:v>
      </x:c>
      <x:c r="Y9" s="66" t="str">
        <x:v>No evaluado</x:v>
      </x:c>
      <x:c r="Z9" s="66" t="str">
        <x:v>No evaluado</x:v>
      </x:c>
      <x:c r="AA9" s="66" t="str">
        <x:v>No ejecutado</x:v>
      </x:c>
      <x:c r="AB9" s="68" t="str">
        <x:f>IF(AND(X9="No evaluado",Y9="No evaluado",Z9="No evaluado",AA9="No ejecutado"),"No evaluado",IF(OR(X9="Bloqueado",Y9="Bloqueado",Z9="Bloqueado",AA9="Bloqueado"),"Bloqueado",IF(OR(Y9="No conforme",Z9="No conforme",AA9="Falló"),"No conforme",IF(AND(OR(X9="Implementado",X9="No aplica"),OR(Y9="Conforme",Y9="No aplica"),OR(Z9="Conforme",Z9="No aplica"),OR(AA9="Pasó",AA9="No aplica")),"Conforme","Parcial"))))</x:f>
        <x:v>Parcial</x:v>
      </x:c>
      <x:c r="AC9" s="66" t="str"/>
      <x:c r="AD9" s="66" t="str"/>
      <x:c r="AE9" s="66" t="str"/>
      <x:c r="AF9" s="56" t="str">
        <x:v>TR-002</x:v>
      </x:c>
      <x:c r="AG9" s="56" t="str">
        <x:v>Runtime_Interactions_Base_40!9</x:v>
      </x:c>
      <x:c r="AH9" s="56" t="str">
        <x:v>5be7bd2ed510c5f54ab0490535d11685f0ae981505575fdec38de8e4cdd3b2e0</x:v>
      </x:c>
    </x:row>
    <x:row r="10" ht="62" customHeight="1">
      <x:c r="A10" s="56" t="str">
        <x:v>B1-Q09</x:v>
      </x:c>
      <x:c r="B10" s="56" t="str">
        <x:v>base_40</x:v>
      </x:c>
      <x:c r="C10" s="56" t="str">
        <x:v>1</x:v>
      </x:c>
      <x:c r="D10" s="56" t="n">
        <x:v>9</x:v>
      </x:c>
      <x:c r="E10" s="56" t="str">
        <x:v>Tipo y claridad del disparador</x:v>
      </x:c>
      <x:c r="F10" s="56" t="str">
        <x:v>Cuando comienza, ¿es algo esperado o sorpresivo, y está claro que debes empezar?</x:v>
      </x:c>
      <x:c r="G10" s="56" t="str">
        <x:v>guided_textarea_or_choice_plus_text</x:v>
      </x:c>
      <x:c r="H10" s="56" t="str">
        <x:v>single_answer</x:v>
      </x:c>
      <x:c r="I10" s="56" t="str">
        <x:v>1.2, 1.3</x:v>
      </x:c>
      <x:c r="J10" s="56" t="n">
        <x:v>2</x:v>
      </x:c>
      <x:c r="K10" s="56" t="n">
        <x:v>2</x:v>
      </x:c>
      <x:c r="L10" s="56" t="n">
        <x:v>0</x:v>
      </x:c>
      <x:c r="M10" s="56" t="n">
        <x:v>0</x:v>
      </x:c>
      <x:c r="N10" s="56" t="n">
        <x:v>0</x:v>
      </x:c>
      <x:c r="O10" s="56" t="str">
        <x:v>Siempre; si hay ambigüedad, puede abrir B1.A.</x:v>
      </x:c>
      <x:c r="P10" s="56" t="str">
        <x:v>captura directa; confirmar si se deriva de preload</x:v>
      </x:c>
      <x:c r="Q10" s="56" t="str">
        <x:v>No convertir texto libre o inferencia IA en hecho estructural sin ruta canónica y estado epistemológico.</x:v>
      </x:c>
      <x:c r="R10" s="56" t="str">
        <x:v>Pasa si variables requeridas quedan capturadas/confirmadas, sin contradicción y con trazabilidad a nodos fuente.</x:v>
      </x:c>
      <x:c r="S10" s="56" t="str"/>
      <x:c r="T10" s="56" t="str"/>
      <x:c r="U10" s="56" t="str"/>
      <x:c r="V10" s="56" t="str">
        <x:v>Pantalla específica Bloque 1</x:v>
      </x:c>
      <x:c r="W10" s="66" t="str"/>
      <x:c r="X10" s="66" t="str">
        <x:v>En desarrollo</x:v>
      </x:c>
      <x:c r="Y10" s="66" t="str">
        <x:v>No evaluado</x:v>
      </x:c>
      <x:c r="Z10" s="66" t="str">
        <x:v>No evaluado</x:v>
      </x:c>
      <x:c r="AA10" s="66" t="str">
        <x:v>No ejecutado</x:v>
      </x:c>
      <x:c r="AB10" s="68" t="str">
        <x:f>IF(AND(X10="No evaluado",Y10="No evaluado",Z10="No evaluado",AA10="No ejecutado"),"No evaluado",IF(OR(X10="Bloqueado",Y10="Bloqueado",Z10="Bloqueado",AA10="Bloqueado"),"Bloqueado",IF(OR(Y10="No conforme",Z10="No conforme",AA10="Falló"),"No conforme",IF(AND(OR(X10="Implementado",X10="No aplica"),OR(Y10="Conforme",Y10="No aplica"),OR(Z10="Conforme",Z10="No aplica"),OR(AA10="Pasó",AA10="No aplica")),"Conforme","Parcial"))))</x:f>
        <x:v>Parcial</x:v>
      </x:c>
      <x:c r="AC10" s="66" t="str"/>
      <x:c r="AD10" s="66" t="str"/>
      <x:c r="AE10" s="66" t="str"/>
      <x:c r="AF10" s="56" t="str">
        <x:v>TR-002</x:v>
      </x:c>
      <x:c r="AG10" s="56" t="str">
        <x:v>Runtime_Interactions_Base_40!10</x:v>
      </x:c>
      <x:c r="AH10" s="56" t="str">
        <x:v>5be7bd2ed510c5f54ab0490535d11685f0ae981505575fdec38de8e4cdd3b2e0</x:v>
      </x:c>
    </x:row>
    <x:row r="11" ht="62" customHeight="1">
      <x:c r="A11" s="56" t="str">
        <x:v>B1-Q10</x:v>
      </x:c>
      <x:c r="B11" s="56" t="str">
        <x:v>base_40</x:v>
      </x:c>
      <x:c r="C11" s="56" t="str">
        <x:v>1</x:v>
      </x:c>
      <x:c r="D11" s="56" t="n">
        <x:v>10</x:v>
      </x:c>
      <x:c r="E11" s="56" t="str">
        <x:v>Frecuencia y patrón del disparador</x:v>
      </x:c>
      <x:c r="F11" s="56" t="str">
        <x:v>¿Con qué frecuencia ocurre el disparador y hay un patrón predecible?</x:v>
      </x:c>
      <x:c r="G11" s="56" t="str">
        <x:v>guided_textarea_or_choice_plus_text</x:v>
      </x:c>
      <x:c r="H11" s="56" t="str">
        <x:v>single_answer</x:v>
      </x:c>
      <x:c r="I11" s="56" t="str">
        <x:v>1.4</x:v>
      </x:c>
      <x:c r="J11" s="56" t="n">
        <x:v>1</x:v>
      </x:c>
      <x:c r="K11" s="56" t="n">
        <x:v>1</x:v>
      </x:c>
      <x:c r="L11" s="56" t="n">
        <x:v>0</x:v>
      </x:c>
      <x:c r="M11" s="56" t="n">
        <x:v>0</x:v>
      </x:c>
      <x:c r="N11" s="56" t="n">
        <x:v>0</x:v>
      </x:c>
      <x:c r="O11" s="56" t="str">
        <x:v>Siempre; alimenta capacidad y patrón de carga.</x:v>
      </x:c>
      <x:c r="P11" s="56" t="str">
        <x:v>captura directa; confirmar si se deriva de preload</x:v>
      </x:c>
      <x:c r="Q11" s="56" t="str">
        <x:v>No convertir texto libre o inferencia IA en hecho estructural sin ruta canónica y estado epistemológico.</x:v>
      </x:c>
      <x:c r="R11" s="56" t="str">
        <x:v>Pasa si variables requeridas quedan capturadas/confirmadas, sin contradicción y con trazabilidad a nodos fuente.</x:v>
      </x:c>
      <x:c r="S11" s="56" t="str"/>
      <x:c r="T11" s="56" t="str"/>
      <x:c r="U11" s="56" t="str"/>
      <x:c r="V11" s="56" t="str">
        <x:v>Pantalla específica Bloque 1</x:v>
      </x:c>
      <x:c r="W11" s="66" t="str"/>
      <x:c r="X11" s="66" t="str">
        <x:v>En desarrollo</x:v>
      </x:c>
      <x:c r="Y11" s="66" t="str">
        <x:v>No evaluado</x:v>
      </x:c>
      <x:c r="Z11" s="66" t="str">
        <x:v>No evaluado</x:v>
      </x:c>
      <x:c r="AA11" s="66" t="str">
        <x:v>No ejecutado</x:v>
      </x:c>
      <x:c r="AB11" s="68" t="str">
        <x:f>IF(AND(X11="No evaluado",Y11="No evaluado",Z11="No evaluado",AA11="No ejecutado"),"No evaluado",IF(OR(X11="Bloqueado",Y11="Bloqueado",Z11="Bloqueado",AA11="Bloqueado"),"Bloqueado",IF(OR(Y11="No conforme",Z11="No conforme",AA11="Falló"),"No conforme",IF(AND(OR(X11="Implementado",X11="No aplica"),OR(Y11="Conforme",Y11="No aplica"),OR(Z11="Conforme",Z11="No aplica"),OR(AA11="Pasó",AA11="No aplica")),"Conforme","Parcial"))))</x:f>
        <x:v>Parcial</x:v>
      </x:c>
      <x:c r="AC11" s="66" t="str"/>
      <x:c r="AD11" s="66" t="str"/>
      <x:c r="AE11" s="66" t="str"/>
      <x:c r="AF11" s="56" t="str">
        <x:v>TR-002</x:v>
      </x:c>
      <x:c r="AG11" s="56" t="str">
        <x:v>Runtime_Interactions_Base_40!11</x:v>
      </x:c>
      <x:c r="AH11" s="56" t="str">
        <x:v>5be7bd2ed510c5f54ab0490535d11685f0ae981505575fdec38de8e4cdd3b2e0</x:v>
      </x:c>
    </x:row>
    <x:row r="12" ht="62" customHeight="1">
      <x:c r="A12" s="56" t="str">
        <x:v>B1-Q11</x:v>
      </x:c>
      <x:c r="B12" s="56" t="str">
        <x:v>base_40</x:v>
      </x:c>
      <x:c r="C12" s="56" t="str">
        <x:v>1</x:v>
      </x:c>
      <x:c r="D12" s="56" t="n">
        <x:v>11</x:v>
      </x:c>
      <x:c r="E12" s="56" t="str">
        <x:v>Precondiciones y excepción de inicio</x:v>
      </x:c>
      <x:c r="F12" s="56" t="str">
        <x:v>Para que el disparador ocurra, ¿qué debe haber pasado antes? ¿Hay momentos en que debería comenzar pero no comienza?</x:v>
      </x:c>
      <x:c r="G12" s="56" t="str">
        <x:v>guided_textarea_or_choice_plus_text</x:v>
      </x:c>
      <x:c r="H12" s="56" t="str">
        <x:v>single_answer</x:v>
      </x:c>
      <x:c r="I12" s="56" t="str">
        <x:v>1.6, 1.7</x:v>
      </x:c>
      <x:c r="J12" s="56" t="n">
        <x:v>2</x:v>
      </x:c>
      <x:c r="K12" s="56" t="n">
        <x:v>2</x:v>
      </x:c>
      <x:c r="L12" s="56" t="n">
        <x:v>0</x:v>
      </x:c>
      <x:c r="M12" s="56" t="n">
        <x:v>0</x:v>
      </x:c>
      <x:c r="N12" s="56" t="n">
        <x:v>0</x:v>
      </x:c>
      <x:c r="O12" s="56" t="str">
        <x:v>Siempre; si existe excepción de inicio, abre causal B1-C03.</x:v>
      </x:c>
      <x:c r="P12" s="56" t="str">
        <x:v>captura directa; confirmar si se deriva de preload</x:v>
      </x:c>
      <x:c r="Q12" s="56" t="str">
        <x:v>No convertir texto libre o inferencia IA en hecho estructural sin ruta canónica y estado epistemológico.</x:v>
      </x:c>
      <x:c r="R12" s="56" t="str">
        <x:v>Pasa si variables requeridas quedan capturadas/confirmadas, sin contradicción y con trazabilidad a nodos fuente.</x:v>
      </x:c>
      <x:c r="S12" s="56" t="str"/>
      <x:c r="T12" s="56" t="str"/>
      <x:c r="U12" s="56" t="str"/>
      <x:c r="V12" s="56" t="str">
        <x:v>Pantalla específica Bloque 1</x:v>
      </x:c>
      <x:c r="W12" s="66" t="str"/>
      <x:c r="X12" s="66" t="str">
        <x:v>En desarrollo</x:v>
      </x:c>
      <x:c r="Y12" s="66" t="str">
        <x:v>No evaluado</x:v>
      </x:c>
      <x:c r="Z12" s="66" t="str">
        <x:v>No evaluado</x:v>
      </x:c>
      <x:c r="AA12" s="66" t="str">
        <x:v>No ejecutado</x:v>
      </x:c>
      <x:c r="AB12" s="68" t="str">
        <x:f>IF(AND(X12="No evaluado",Y12="No evaluado",Z12="No evaluado",AA12="No ejecutado"),"No evaluado",IF(OR(X12="Bloqueado",Y12="Bloqueado",Z12="Bloqueado",AA12="Bloqueado"),"Bloqueado",IF(OR(Y12="No conforme",Z12="No conforme",AA12="Falló"),"No conforme",IF(AND(OR(X12="Implementado",X12="No aplica"),OR(Y12="Conforme",Y12="No aplica"),OR(Z12="Conforme",Z12="No aplica"),OR(AA12="Pasó",AA12="No aplica")),"Conforme","Parcial"))))</x:f>
        <x:v>Parcial</x:v>
      </x:c>
      <x:c r="AC12" s="66" t="str"/>
      <x:c r="AD12" s="66" t="str"/>
      <x:c r="AE12" s="66" t="str"/>
      <x:c r="AF12" s="56" t="str">
        <x:v>TR-002</x:v>
      </x:c>
      <x:c r="AG12" s="56" t="str">
        <x:v>Runtime_Interactions_Base_40!12</x:v>
      </x:c>
      <x:c r="AH12" s="56" t="str">
        <x:v>5be7bd2ed510c5f54ab0490535d11685f0ae981505575fdec38de8e4cdd3b2e0</x:v>
      </x:c>
    </x:row>
    <x:row r="13" ht="62" customHeight="1">
      <x:c r="A13" s="56" t="str">
        <x:v>B2-Q12</x:v>
      </x:c>
      <x:c r="B13" s="56" t="str">
        <x:v>base_40</x:v>
      </x:c>
      <x:c r="C13" s="56" t="str">
        <x:v>2</x:v>
      </x:c>
      <x:c r="D13" s="56" t="n">
        <x:v>12</x:v>
      </x:c>
      <x:c r="E13" s="56" t="str">
        <x:v>Objeto, sujeto o acción principal</x:v>
      </x:c>
      <x:c r="F13" s="56" t="str">
        <x:v>¿Qué es lo principal que creas, cambias o afectas: objeto, sujeto, acción o combinación? ¿Cuál es concretamente?</x:v>
      </x:c>
      <x:c r="G13" s="56" t="str">
        <x:v>guided_textarea_or_choice_plus_text</x:v>
      </x:c>
      <x:c r="H13" s="56" t="str">
        <x:v>single_answer</x:v>
      </x:c>
      <x:c r="I13" s="56" t="str">
        <x:v>2.1, 2.1a, 2.1b, 2.1c</x:v>
      </x:c>
      <x:c r="J13" s="56" t="n">
        <x:v>4</x:v>
      </x:c>
      <x:c r="K13" s="56" t="n">
        <x:v>4</x:v>
      </x:c>
      <x:c r="L13" s="56" t="n">
        <x:v>0</x:v>
      </x:c>
      <x:c r="M13" s="56" t="n">
        <x:v>0</x:v>
      </x:c>
      <x:c r="N13" s="56" t="n">
        <x:v>0</x:v>
      </x:c>
      <x:c r="O13" s="56" t="str">
        <x:v>Siempre; si hay varias dimensiones, abre causal B2-C04.</x:v>
      </x:c>
      <x:c r="P13" s="56" t="str">
        <x:v>captura directa; confirmar si se deriva de preload</x:v>
      </x:c>
      <x:c r="Q13" s="56" t="str">
        <x:v>No convertir texto libre o inferencia IA en hecho estructural sin ruta canónica y estado epistemológico.</x:v>
      </x:c>
      <x:c r="R13" s="56" t="str">
        <x:v>Pasa si variables requeridas quedan capturadas/confirmadas, sin contradicción y con trazabilidad a nodos fuente.</x:v>
      </x:c>
      <x:c r="S13" s="56" t="str"/>
      <x:c r="T13" s="56" t="str"/>
      <x:c r="U13" s="56" t="str"/>
      <x:c r="V13" s="56" t="str">
        <x:v>Pantalla específica Bloque 2</x:v>
      </x:c>
      <x:c r="W13" s="66" t="str"/>
      <x:c r="X13" s="66" t="str">
        <x:v>En desarrollo</x:v>
      </x:c>
      <x:c r="Y13" s="66" t="str">
        <x:v>No evaluado</x:v>
      </x:c>
      <x:c r="Z13" s="66" t="str">
        <x:v>No evaluado</x:v>
      </x:c>
      <x:c r="AA13" s="66" t="str">
        <x:v>No ejecutado</x:v>
      </x:c>
      <x:c r="AB13" s="68" t="str">
        <x:f>IF(AND(X13="No evaluado",Y13="No evaluado",Z13="No evaluado",AA13="No ejecutado"),"No evaluado",IF(OR(X13="Bloqueado",Y13="Bloqueado",Z13="Bloqueado",AA13="Bloqueado"),"Bloqueado",IF(OR(Y13="No conforme",Z13="No conforme",AA13="Falló"),"No conforme",IF(AND(OR(X13="Implementado",X13="No aplica"),OR(Y13="Conforme",Y13="No aplica"),OR(Z13="Conforme",Z13="No aplica"),OR(AA13="Pasó",AA13="No aplica")),"Conforme","Parcial"))))</x:f>
        <x:v>Parcial</x:v>
      </x:c>
      <x:c r="AC13" s="66" t="str"/>
      <x:c r="AD13" s="66" t="str"/>
      <x:c r="AE13" s="66" t="str"/>
      <x:c r="AF13" s="56" t="str">
        <x:v>TR-002</x:v>
      </x:c>
      <x:c r="AG13" s="56" t="str">
        <x:v>Runtime_Interactions_Base_40!13</x:v>
      </x:c>
      <x:c r="AH13" s="56" t="str">
        <x:v>5be7bd2ed510c5f54ab0490535d11685f0ae981505575fdec38de8e4cdd3b2e0</x:v>
      </x:c>
    </x:row>
    <x:row r="14" ht="62" customHeight="1">
      <x:c r="A14" s="56" t="str">
        <x:v>B2-Q13</x:v>
      </x:c>
      <x:c r="B14" s="56" t="str">
        <x:v>base_40</x:v>
      </x:c>
      <x:c r="C14" s="56" t="str">
        <x:v>2</x:v>
      </x:c>
      <x:c r="D14" s="56" t="n">
        <x:v>13</x:v>
      </x:c>
      <x:c r="E14" s="56" t="str">
        <x:v>Propiedades que cambian</x:v>
      </x:c>
      <x:c r="F14" s="56" t="str">
        <x:v>De lo principal identificado, ¿qué propiedades, características o condiciones cambian?</x:v>
      </x:c>
      <x:c r="G14" s="56" t="str">
        <x:v>guided_textarea_or_choice_plus_text</x:v>
      </x:c>
      <x:c r="H14" s="56" t="str">
        <x:v>single_answer</x:v>
      </x:c>
      <x:c r="I14" s="56" t="str">
        <x:v>2.2_obj, 2.2_suj, 2.2_acc</x:v>
      </x:c>
      <x:c r="J14" s="56" t="n">
        <x:v>3</x:v>
      </x:c>
      <x:c r="K14" s="56" t="n">
        <x:v>3</x:v>
      </x:c>
      <x:c r="L14" s="56" t="n">
        <x:v>0</x:v>
      </x:c>
      <x:c r="M14" s="56" t="n">
        <x:v>0</x:v>
      </x:c>
      <x:c r="N14" s="56" t="n">
        <x:v>0</x:v>
      </x:c>
      <x:c r="O14" s="56" t="str">
        <x:v>Siempre que exista objeto/sujeto/acción identificable; si no, reentrada a B2-Q12.</x:v>
      </x:c>
      <x:c r="P14" s="56" t="str">
        <x:v>captura directa; confirmar si se deriva de preload</x:v>
      </x:c>
      <x:c r="Q14" s="56" t="str">
        <x:v>No convertir texto libre o inferencia IA en hecho estructural sin ruta canónica y estado epistemológico.</x:v>
      </x:c>
      <x:c r="R14" s="56" t="str">
        <x:v>Pasa si variables requeridas quedan capturadas/confirmadas, sin contradicción y con trazabilidad a nodos fuente.</x:v>
      </x:c>
      <x:c r="S14" s="56" t="str"/>
      <x:c r="T14" s="56" t="str"/>
      <x:c r="U14" s="56" t="str"/>
      <x:c r="V14" s="56" t="str">
        <x:v>Pantalla específica Bloque 2</x:v>
      </x:c>
      <x:c r="W14" s="66" t="str"/>
      <x:c r="X14" s="66" t="str">
        <x:v>En desarrollo</x:v>
      </x:c>
      <x:c r="Y14" s="66" t="str">
        <x:v>No evaluado</x:v>
      </x:c>
      <x:c r="Z14" s="66" t="str">
        <x:v>No evaluado</x:v>
      </x:c>
      <x:c r="AA14" s="66" t="str">
        <x:v>No ejecutado</x:v>
      </x:c>
      <x:c r="AB14" s="68" t="str">
        <x:f>IF(AND(X14="No evaluado",Y14="No evaluado",Z14="No evaluado",AA14="No ejecutado"),"No evaluado",IF(OR(X14="Bloqueado",Y14="Bloqueado",Z14="Bloqueado",AA14="Bloqueado"),"Bloqueado",IF(OR(Y14="No conforme",Z14="No conforme",AA14="Falló"),"No conforme",IF(AND(OR(X14="Implementado",X14="No aplica"),OR(Y14="Conforme",Y14="No aplica"),OR(Z14="Conforme",Z14="No aplica"),OR(AA14="Pasó",AA14="No aplica")),"Conforme","Parcial"))))</x:f>
        <x:v>Parcial</x:v>
      </x:c>
      <x:c r="AC14" s="66" t="str"/>
      <x:c r="AD14" s="66" t="str"/>
      <x:c r="AE14" s="66" t="str"/>
      <x:c r="AF14" s="56" t="str">
        <x:v>TR-002</x:v>
      </x:c>
      <x:c r="AG14" s="56" t="str">
        <x:v>Runtime_Interactions_Base_40!14</x:v>
      </x:c>
      <x:c r="AH14" s="56" t="str">
        <x:v>5be7bd2ed510c5f54ab0490535d11685f0ae981505575fdec38de8e4cdd3b2e0</x:v>
      </x:c>
    </x:row>
    <x:row r="15" ht="62" customHeight="1">
      <x:c r="A15" s="56" t="str">
        <x:v>B2-Q14</x:v>
      </x:c>
      <x:c r="B15" s="56" t="str">
        <x:v>base_40</x:v>
      </x:c>
      <x:c r="C15" s="56" t="str">
        <x:v>2</x:v>
      </x:c>
      <x:c r="D15" s="56" t="n">
        <x:v>14</x:v>
      </x:c>
      <x:c r="E15" s="56" t="str">
        <x:v>Acción transformadora y causa inmediata</x:v>
      </x:c>
      <x:c r="F15" s="56" t="str">
        <x:v>¿Qué acción o cambio haces directamente y qué provoca normalmente que lo hagas?</x:v>
      </x:c>
      <x:c r="G15" s="56" t="str">
        <x:v>compound_card_with_separable_subfields</x:v>
      </x:c>
      <x:c r="H15" s="56" t="str">
        <x:v>object_subject_action; object_label; affected_entity</x:v>
      </x:c>
      <x:c r="I15" s="56" t="str">
        <x:v>2.4a, 2.4b</x:v>
      </x:c>
      <x:c r="J15" s="56" t="n">
        <x:v>2</x:v>
      </x:c>
      <x:c r="K15" s="56" t="n">
        <x:v>2</x:v>
      </x:c>
      <x:c r="L15" s="56" t="n">
        <x:v>0</x:v>
      </x:c>
      <x:c r="M15" s="56" t="n">
        <x:v>0</x:v>
      </x:c>
      <x:c r="N15" s="56" t="n">
        <x:v>0</x:v>
      </x:c>
      <x:c r="O15" s="56" t="str">
        <x:v>Siempre; conecta transformación con evento y evita lista de tareas sin causalidad.</x:v>
      </x:c>
      <x:c r="P15" s="56" t="str">
        <x:v>captura directa; confirmar si se deriva de preload</x:v>
      </x:c>
      <x:c r="Q15" s="56" t="str">
        <x:v>No convertir texto libre o inferencia IA en hecho estructural sin ruta canónica y estado epistemológico.</x:v>
      </x:c>
      <x:c r="R15" s="56" t="str">
        <x:v>Pasa si variables requeridas quedan capturadas/confirmadas, sin contradicción y con trazabilidad a nodos fuente.</x:v>
      </x:c>
      <x:c r="S15" s="56" t="str">
        <x:v>Mostrar como una tarjeta única con subcampos editables/chips; no como caja de texto indiferenciada.</x:v>
      </x:c>
      <x:c r="T15" s="56" t="str">
        <x:v>Persistir cada subcampo como variable separable con su provenance y confidence.</x:v>
      </x:c>
      <x:c r="U15" s="56" t="str">
        <x:v>La carga visible parece menor, pero se oculta ambigüedad y se pierde trazabilidad.</x:v>
      </x:c>
      <x:c r="V15" s="56" t="str">
        <x:v>Pantalla específica Bloque 2</x:v>
      </x:c>
      <x:c r="W15" s="66" t="str"/>
      <x:c r="X15" s="66" t="str">
        <x:v>En desarrollo</x:v>
      </x:c>
      <x:c r="Y15" s="66" t="str">
        <x:v>No evaluado</x:v>
      </x:c>
      <x:c r="Z15" s="66" t="str">
        <x:v>No evaluado</x:v>
      </x:c>
      <x:c r="AA15" s="66" t="str">
        <x:v>No ejecutado</x:v>
      </x:c>
      <x:c r="AB15" s="68" t="str">
        <x:f>IF(AND(X15="No evaluado",Y15="No evaluado",Z15="No evaluado",AA15="No ejecutado"),"No evaluado",IF(OR(X15="Bloqueado",Y15="Bloqueado",Z15="Bloqueado",AA15="Bloqueado"),"Bloqueado",IF(OR(Y15="No conforme",Z15="No conforme",AA15="Falló"),"No conforme",IF(AND(OR(X15="Implementado",X15="No aplica"),OR(Y15="Conforme",Y15="No aplica"),OR(Z15="Conforme",Z15="No aplica"),OR(AA15="Pasó",AA15="No aplica")),"Conforme","Parcial"))))</x:f>
        <x:v>Parcial</x:v>
      </x:c>
      <x:c r="AC15" s="66" t="str"/>
      <x:c r="AD15" s="66" t="str"/>
      <x:c r="AE15" s="66" t="str"/>
      <x:c r="AF15" s="56" t="str">
        <x:v>TR-002</x:v>
      </x:c>
      <x:c r="AG15" s="56" t="str">
        <x:v>Runtime_Interactions_Base_40!15</x:v>
      </x:c>
      <x:c r="AH15" s="56" t="str">
        <x:v>5be7bd2ed510c5f54ab0490535d11685f0ae981505575fdec38de8e4cdd3b2e0</x:v>
      </x:c>
    </x:row>
    <x:row r="16" ht="62" customHeight="1">
      <x:c r="A16" s="56" t="str">
        <x:v>B2-Q15</x:v>
      </x:c>
      <x:c r="B16" s="56" t="str">
        <x:v>base_40</x:v>
      </x:c>
      <x:c r="C16" s="56" t="str">
        <x:v>2</x:v>
      </x:c>
      <x:c r="D16" s="56" t="n">
        <x:v>15</x:v>
      </x:c>
      <x:c r="E16" s="56" t="str">
        <x:v>Estado inicial y estado final</x:v>
      </x:c>
      <x:c r="F16" s="56" t="str">
        <x:v>Justo antes de empezar, ¿en qué estado llega lo principal? Después de terminar, ¿en qué estado queda?</x:v>
      </x:c>
      <x:c r="G16" s="56" t="str">
        <x:v>guided_textarea_or_choice_plus_text</x:v>
      </x:c>
      <x:c r="H16" s="56" t="str">
        <x:v>single_answer</x:v>
      </x:c>
      <x:c r="I16" s="56" t="str">
        <x:v>2.5, 2.6</x:v>
      </x:c>
      <x:c r="J16" s="56" t="n">
        <x:v>2</x:v>
      </x:c>
      <x:c r="K16" s="56" t="n">
        <x:v>2</x:v>
      </x:c>
      <x:c r="L16" s="56" t="n">
        <x:v>0</x:v>
      </x:c>
      <x:c r="M16" s="56" t="n">
        <x:v>0</x:v>
      </x:c>
      <x:c r="N16" s="56" t="n">
        <x:v>0</x:v>
      </x:c>
      <x:c r="O16" s="56" t="str">
        <x:v>Siempre; bloquea OLC/PF si no hay estado inicial y final.</x:v>
      </x:c>
      <x:c r="P16" s="56" t="str">
        <x:v>captura directa; confirmar si se deriva de preload</x:v>
      </x:c>
      <x:c r="Q16" s="56" t="str">
        <x:v>No convertir texto libre o inferencia IA en hecho estructural sin ruta canónica y estado epistemológico.</x:v>
      </x:c>
      <x:c r="R16" s="56" t="str">
        <x:v>Pasa si variables requeridas quedan capturadas/confirmadas, sin contradicción y con trazabilidad a nodos fuente.</x:v>
      </x:c>
      <x:c r="S16" s="56" t="str"/>
      <x:c r="T16" s="56" t="str"/>
      <x:c r="U16" s="56" t="str"/>
      <x:c r="V16" s="56" t="str">
        <x:v>Pantalla específica Bloque 2</x:v>
      </x:c>
      <x:c r="W16" s="66" t="str"/>
      <x:c r="X16" s="66" t="str">
        <x:v>En desarrollo</x:v>
      </x:c>
      <x:c r="Y16" s="66" t="str">
        <x:v>No evaluado</x:v>
      </x:c>
      <x:c r="Z16" s="66" t="str">
        <x:v>No evaluado</x:v>
      </x:c>
      <x:c r="AA16" s="66" t="str">
        <x:v>No ejecutado</x:v>
      </x:c>
      <x:c r="AB16" s="68" t="str">
        <x:f>IF(AND(X16="No evaluado",Y16="No evaluado",Z16="No evaluado",AA16="No ejecutado"),"No evaluado",IF(OR(X16="Bloqueado",Y16="Bloqueado",Z16="Bloqueado",AA16="Bloqueado"),"Bloqueado",IF(OR(Y16="No conforme",Z16="No conforme",AA16="Falló"),"No conforme",IF(AND(OR(X16="Implementado",X16="No aplica"),OR(Y16="Conforme",Y16="No aplica"),OR(Z16="Conforme",Z16="No aplica"),OR(AA16="Pasó",AA16="No aplica")),"Conforme","Parcial"))))</x:f>
        <x:v>Parcial</x:v>
      </x:c>
      <x:c r="AC16" s="66" t="str"/>
      <x:c r="AD16" s="66" t="str"/>
      <x:c r="AE16" s="66" t="str"/>
      <x:c r="AF16" s="56" t="str">
        <x:v>TR-002</x:v>
      </x:c>
      <x:c r="AG16" s="56" t="str">
        <x:v>Runtime_Interactions_Base_40!16</x:v>
      </x:c>
      <x:c r="AH16" s="56" t="str">
        <x:v>5be7bd2ed510c5f54ab0490535d11685f0ae981505575fdec38de8e4cdd3b2e0</x:v>
      </x:c>
    </x:row>
    <x:row r="17" ht="62" customHeight="1">
      <x:c r="A17" s="56" t="str">
        <x:v>B2-Q16</x:v>
      </x:c>
      <x:c r="B17" s="56" t="str">
        <x:v>base_40</x:v>
      </x:c>
      <x:c r="C17" s="56" t="str">
        <x:v>2</x:v>
      </x:c>
      <x:c r="D17" s="56" t="n">
        <x:v>16</x:v>
      </x:c>
      <x:c r="E17" s="56" t="str">
        <x:v>Magnitud e iteración de la transformación</x:v>
      </x:c>
      <x:c r="F17" s="56" t="str">
        <x:v>¿Qué tanto cambia lo principal y ocurre una sola vez o en varios ciclos?</x:v>
      </x:c>
      <x:c r="G17" s="56" t="str">
        <x:v>compound_card_with_separable_subfields</x:v>
      </x:c>
      <x:c r="H17" s="56" t="str">
        <x:v>initial_state; final_state; state_change</x:v>
      </x:c>
      <x:c r="I17" s="56" t="str">
        <x:v>2.3, 2.7</x:v>
      </x:c>
      <x:c r="J17" s="56" t="n">
        <x:v>2</x:v>
      </x:c>
      <x:c r="K17" s="56" t="n">
        <x:v>2</x:v>
      </x:c>
      <x:c r="L17" s="56" t="n">
        <x:v>0</x:v>
      </x:c>
      <x:c r="M17" s="56" t="n">
        <x:v>0</x:v>
      </x:c>
      <x:c r="N17" s="56" t="n">
        <x:v>0</x:v>
      </x:c>
      <x:c r="O17" s="56" t="str">
        <x:v>Siempre; si hay varios ciclos, abre B2-C07.</x:v>
      </x:c>
      <x:c r="P17" s="56" t="str">
        <x:v>captura directa; confirmar si se deriva de preload</x:v>
      </x:c>
      <x:c r="Q17" s="56" t="str">
        <x:v>No convertir texto libre o inferencia IA en hecho estructural sin ruta canónica y estado epistemológico.</x:v>
      </x:c>
      <x:c r="R17" s="56" t="str">
        <x:v>Pasa si variables requeridas quedan capturadas/confirmadas, sin contradicción y con trazabilidad a nodos fuente.</x:v>
      </x:c>
      <x:c r="S17" s="56" t="str">
        <x:v>Mostrar como una tarjeta única con subcampos editables/chips; no como caja de texto indiferenciada.</x:v>
      </x:c>
      <x:c r="T17" s="56" t="str">
        <x:v>Persistir cada subcampo como variable separable con su provenance y confidence.</x:v>
      </x:c>
      <x:c r="U17" s="56" t="str">
        <x:v>La carga visible parece menor, pero se oculta ambigüedad y se pierde trazabilidad.</x:v>
      </x:c>
      <x:c r="V17" s="56" t="str">
        <x:v>Pantalla específica Bloque 2</x:v>
      </x:c>
      <x:c r="W17" s="66" t="str"/>
      <x:c r="X17" s="66" t="str">
        <x:v>En desarrollo</x:v>
      </x:c>
      <x:c r="Y17" s="66" t="str">
        <x:v>No evaluado</x:v>
      </x:c>
      <x:c r="Z17" s="66" t="str">
        <x:v>No evaluado</x:v>
      </x:c>
      <x:c r="AA17" s="66" t="str">
        <x:v>No ejecutado</x:v>
      </x:c>
      <x:c r="AB17" s="68" t="str">
        <x:f>IF(AND(X17="No evaluado",Y17="No evaluado",Z17="No evaluado",AA17="No ejecutado"),"No evaluado",IF(OR(X17="Bloqueado",Y17="Bloqueado",Z17="Bloqueado",AA17="Bloqueado"),"Bloqueado",IF(OR(Y17="No conforme",Z17="No conforme",AA17="Falló"),"No conforme",IF(AND(OR(X17="Implementado",X17="No aplica"),OR(Y17="Conforme",Y17="No aplica"),OR(Z17="Conforme",Z17="No aplica"),OR(AA17="Pasó",AA17="No aplica")),"Conforme","Parcial"))))</x:f>
        <x:v>Parcial</x:v>
      </x:c>
      <x:c r="AC17" s="66" t="str"/>
      <x:c r="AD17" s="66" t="str"/>
      <x:c r="AE17" s="66" t="str"/>
      <x:c r="AF17" s="56" t="str">
        <x:v>TR-002</x:v>
      </x:c>
      <x:c r="AG17" s="56" t="str">
        <x:v>Runtime_Interactions_Base_40!17</x:v>
      </x:c>
      <x:c r="AH17" s="56" t="str">
        <x:v>5be7bd2ed510c5f54ab0490535d11685f0ae981505575fdec38de8e4cdd3b2e0</x:v>
      </x:c>
    </x:row>
    <x:row r="18" ht="62" customHeight="1">
      <x:c r="A18" s="56" t="str">
        <x:v>B2-Q17</x:v>
      </x:c>
      <x:c r="B18" s="56" t="str">
        <x:v>base_40</x:v>
      </x:c>
      <x:c r="C18" s="56" t="str">
        <x:v>2</x:v>
      </x:c>
      <x:c r="D18" s="56" t="n">
        <x:v>17</x:v>
      </x:c>
      <x:c r="E18" s="56" t="str">
        <x:v>Excepción y cambio oculto de transformación</x:v>
      </x:c>
      <x:c r="F18" s="56" t="str">
        <x:v>¿Hay momentos en que no se transforma aunque debería, se transforma mal o cambia fuera de lo oficial?</x:v>
      </x:c>
      <x:c r="G18" s="56" t="str">
        <x:v>guided_textarea_or_choice_plus_text</x:v>
      </x:c>
      <x:c r="H18" s="56" t="str">
        <x:v>single_answer</x:v>
      </x:c>
      <x:c r="I18" s="56" t="str">
        <x:v>2.9, 2.11</x:v>
      </x:c>
      <x:c r="J18" s="56" t="n">
        <x:v>2</x:v>
      </x:c>
      <x:c r="K18" s="56" t="n">
        <x:v>2</x:v>
      </x:c>
      <x:c r="L18" s="56" t="n">
        <x:v>0</x:v>
      </x:c>
      <x:c r="M18" s="56" t="n">
        <x:v>0</x:v>
      </x:c>
      <x:c r="N18" s="56" t="n">
        <x:v>0</x:v>
      </x:c>
      <x:c r="O18" s="56" t="str">
        <x:v>Siempre; ruta crítica B2. Si hay falla, abre B2-C05; si hay cambio oculto, abre B2-C06.</x:v>
      </x:c>
      <x:c r="P18" s="56" t="str">
        <x:v>captura directa; confirmar si se deriva de preload</x:v>
      </x:c>
      <x:c r="Q18" s="56" t="str">
        <x:v>No convertir texto libre o inferencia IA en hecho estructural sin ruta canónica y estado epistemológico.</x:v>
      </x:c>
      <x:c r="R18" s="56" t="str">
        <x:v>Pasa si variables requeridas quedan capturadas/confirmadas, sin contradicción y con trazabilidad a nodos fuente.</x:v>
      </x:c>
      <x:c r="S18" s="56" t="str"/>
      <x:c r="T18" s="56" t="str"/>
      <x:c r="U18" s="56" t="str"/>
      <x:c r="V18" s="56" t="str">
        <x:v>Pantalla específica Bloque 2</x:v>
      </x:c>
      <x:c r="W18" s="66" t="str"/>
      <x:c r="X18" s="66" t="str">
        <x:v>En desarrollo</x:v>
      </x:c>
      <x:c r="Y18" s="66" t="str">
        <x:v>No evaluado</x:v>
      </x:c>
      <x:c r="Z18" s="66" t="str">
        <x:v>No evaluado</x:v>
      </x:c>
      <x:c r="AA18" s="66" t="str">
        <x:v>No ejecutado</x:v>
      </x:c>
      <x:c r="AB18" s="68" t="str">
        <x:f>IF(AND(X18="No evaluado",Y18="No evaluado",Z18="No evaluado",AA18="No ejecutado"),"No evaluado",IF(OR(X18="Bloqueado",Y18="Bloqueado",Z18="Bloqueado",AA18="Bloqueado"),"Bloqueado",IF(OR(Y18="No conforme",Z18="No conforme",AA18="Falló"),"No conforme",IF(AND(OR(X18="Implementado",X18="No aplica"),OR(Y18="Conforme",Y18="No aplica"),OR(Z18="Conforme",Z18="No aplica"),OR(AA18="Pasó",AA18="No aplica")),"Conforme","Parcial"))))</x:f>
        <x:v>Parcial</x:v>
      </x:c>
      <x:c r="AC18" s="66" t="str"/>
      <x:c r="AD18" s="66" t="str"/>
      <x:c r="AE18" s="66" t="str"/>
      <x:c r="AF18" s="56" t="str">
        <x:v>TR-002</x:v>
      </x:c>
      <x:c r="AG18" s="56" t="str">
        <x:v>Runtime_Interactions_Base_40!18</x:v>
      </x:c>
      <x:c r="AH18" s="56" t="str">
        <x:v>5be7bd2ed510c5f54ab0490535d11685f0ae981505575fdec38de8e4cdd3b2e0</x:v>
      </x:c>
    </x:row>
    <x:row r="19" ht="62" customHeight="1">
      <x:c r="A19" s="56" t="str">
        <x:v>B3-Q18</x:v>
      </x:c>
      <x:c r="B19" s="56" t="str">
        <x:v>base_40</x:v>
      </x:c>
      <x:c r="C19" s="56" t="str">
        <x:v>3</x:v>
      </x:c>
      <x:c r="D19" s="56" t="n">
        <x:v>18</x:v>
      </x:c>
      <x:c r="E19" s="56" t="str">
        <x:v>Salida y receptor directo</x:v>
      </x:c>
      <x:c r="F19" s="56" t="str">
        <x:v>¿Qué entregas o pones a disposición al terminar, y quién lo recibe primero?</x:v>
      </x:c>
      <x:c r="G19" s="56" t="str">
        <x:v>compound_card_with_separable_subfields</x:v>
      </x:c>
      <x:c r="H19" s="56" t="str">
        <x:v>output_delivered; availability_form; receiver_access</x:v>
      </x:c>
      <x:c r="I19" s="56" t="str">
        <x:v>3.1, 3.2, 3.A</x:v>
      </x:c>
      <x:c r="J19" s="56" t="n">
        <x:v>3</x:v>
      </x:c>
      <x:c r="K19" s="56" t="n">
        <x:v>2</x:v>
      </x:c>
      <x:c r="L19" s="56" t="n">
        <x:v>1</x:v>
      </x:c>
      <x:c r="M19" s="56" t="n">
        <x:v>0</x:v>
      </x:c>
      <x:c r="N19" s="56" t="n">
        <x:v>0</x:v>
      </x:c>
      <x:c r="O19" s="56" t="str">
        <x:v>Siempre; si receptor directo vs acceso secundario queda ambiguo, abre aclaración.</x:v>
      </x:c>
      <x:c r="P19" s="56" t="str">
        <x:v>captura directa; confirmar si se deriva de preload</x:v>
      </x:c>
      <x:c r="Q19" s="56" t="str">
        <x:v>No convertir texto libre o inferencia IA en hecho estructural sin ruta canónica y estado epistemológico.</x:v>
      </x:c>
      <x:c r="R19" s="56" t="str">
        <x:v>Pasa si variables requeridas quedan capturadas/confirmadas, sin contradicción y con trazabilidad a nodos fuente.</x:v>
      </x:c>
      <x:c r="S19" s="56" t="str">
        <x:v>Mostrar como una tarjeta única con subcampos editables/chips; no como caja de texto indiferenciada.</x:v>
      </x:c>
      <x:c r="T19" s="56" t="str">
        <x:v>Persistir cada subcampo como variable separable con su provenance y confidence.</x:v>
      </x:c>
      <x:c r="U19" s="56" t="str">
        <x:v>La carga visible parece menor, pero se oculta ambigüedad y se pierde trazabilidad.</x:v>
      </x:c>
      <x:c r="V19" s="56" t="str">
        <x:v>Pantalla específica Bloque 3</x:v>
      </x:c>
      <x:c r="W19" s="66" t="str"/>
      <x:c r="X19" s="66" t="str">
        <x:v>En desarrollo</x:v>
      </x:c>
      <x:c r="Y19" s="66" t="str">
        <x:v>No evaluado</x:v>
      </x:c>
      <x:c r="Z19" s="66" t="str">
        <x:v>No evaluado</x:v>
      </x:c>
      <x:c r="AA19" s="66" t="str">
        <x:v>No ejecutado</x:v>
      </x:c>
      <x:c r="AB19" s="68" t="str">
        <x:f>IF(AND(X19="No evaluado",Y19="No evaluado",Z19="No evaluado",AA19="No ejecutado"),"No evaluado",IF(OR(X19="Bloqueado",Y19="Bloqueado",Z19="Bloqueado",AA19="Bloqueado"),"Bloqueado",IF(OR(Y19="No conforme",Z19="No conforme",AA19="Falló"),"No conforme",IF(AND(OR(X19="Implementado",X19="No aplica"),OR(Y19="Conforme",Y19="No aplica"),OR(Z19="Conforme",Z19="No aplica"),OR(AA19="Pasó",AA19="No aplica")),"Conforme","Parcial"))))</x:f>
        <x:v>Parcial</x:v>
      </x:c>
      <x:c r="AC19" s="66" t="str"/>
      <x:c r="AD19" s="66" t="str"/>
      <x:c r="AE19" s="66" t="str"/>
      <x:c r="AF19" s="56" t="str">
        <x:v>TR-002</x:v>
      </x:c>
      <x:c r="AG19" s="56" t="str">
        <x:v>Runtime_Interactions_Base_40!19</x:v>
      </x:c>
      <x:c r="AH19" s="56" t="str">
        <x:v>5be7bd2ed510c5f54ab0490535d11685f0ae981505575fdec38de8e4cdd3b2e0</x:v>
      </x:c>
    </x:row>
    <x:row r="20" ht="62" customHeight="1">
      <x:c r="A20" s="56" t="str">
        <x:v>B3-Q19</x:v>
      </x:c>
      <x:c r="B20" s="56" t="str">
        <x:v>base_40</x:v>
      </x:c>
      <x:c r="C20" s="56" t="str">
        <x:v>3</x:v>
      </x:c>
      <x:c r="D20" s="56" t="n">
        <x:v>19</x:v>
      </x:c>
      <x:c r="E20" s="56" t="str">
        <x:v>Naturaleza, dependencia e impacto del receptor</x:v>
      </x:c>
      <x:c r="F20" s="56" t="str">
        <x:v>¿Qué tipo de receptor es, qué hace con lo entregado y qué pasa con su trabajo si no lo recibe a tiempo?</x:v>
      </x:c>
      <x:c r="G20" s="56" t="str">
        <x:v>guided_textarea_or_choice_plus_text</x:v>
      </x:c>
      <x:c r="H20" s="56" t="str">
        <x:v>single_answer</x:v>
      </x:c>
      <x:c r="I20" s="56" t="str">
        <x:v>3.3, 3.4, 3.5</x:v>
      </x:c>
      <x:c r="J20" s="56" t="n">
        <x:v>3</x:v>
      </x:c>
      <x:c r="K20" s="56" t="n">
        <x:v>3</x:v>
      </x:c>
      <x:c r="L20" s="56" t="n">
        <x:v>0</x:v>
      </x:c>
      <x:c r="M20" s="56" t="n">
        <x:v>0</x:v>
      </x:c>
      <x:c r="N20" s="56" t="n">
        <x:v>0</x:v>
      </x:c>
      <x:c r="O20" s="56" t="str">
        <x:v>Siempre; conecta handoff con dependencia y siguiente paso.</x:v>
      </x:c>
      <x:c r="P20" s="56" t="str">
        <x:v>captura directa; confirmar si se deriva de preload</x:v>
      </x:c>
      <x:c r="Q20" s="56" t="str">
        <x:v>No convertir texto libre o inferencia IA en hecho estructural sin ruta canónica y estado epistemológico.</x:v>
      </x:c>
      <x:c r="R20" s="56" t="str">
        <x:v>Pasa si variables requeridas quedan capturadas/confirmadas, sin contradicción y con trazabilidad a nodos fuente.</x:v>
      </x:c>
      <x:c r="S20" s="56" t="str"/>
      <x:c r="T20" s="56" t="str"/>
      <x:c r="U20" s="56" t="str"/>
      <x:c r="V20" s="56" t="str">
        <x:v>Pantalla específica Bloque 3</x:v>
      </x:c>
      <x:c r="W20" s="66" t="str"/>
      <x:c r="X20" s="66" t="str">
        <x:v>En desarrollo</x:v>
      </x:c>
      <x:c r="Y20" s="66" t="str">
        <x:v>No evaluado</x:v>
      </x:c>
      <x:c r="Z20" s="66" t="str">
        <x:v>No evaluado</x:v>
      </x:c>
      <x:c r="AA20" s="66" t="str">
        <x:v>No ejecutado</x:v>
      </x:c>
      <x:c r="AB20" s="68" t="str">
        <x:f>IF(AND(X20="No evaluado",Y20="No evaluado",Z20="No evaluado",AA20="No ejecutado"),"No evaluado",IF(OR(X20="Bloqueado",Y20="Bloqueado",Z20="Bloqueado",AA20="Bloqueado"),"Bloqueado",IF(OR(Y20="No conforme",Z20="No conforme",AA20="Falló"),"No conforme",IF(AND(OR(X20="Implementado",X20="No aplica"),OR(Y20="Conforme",Y20="No aplica"),OR(Z20="Conforme",Z20="No aplica"),OR(AA20="Pasó",AA20="No aplica")),"Conforme","Parcial"))))</x:f>
        <x:v>Parcial</x:v>
      </x:c>
      <x:c r="AC20" s="66" t="str"/>
      <x:c r="AD20" s="66" t="str"/>
      <x:c r="AE20" s="66" t="str"/>
      <x:c r="AF20" s="56" t="str">
        <x:v>TR-002</x:v>
      </x:c>
      <x:c r="AG20" s="56" t="str">
        <x:v>Runtime_Interactions_Base_40!20</x:v>
      </x:c>
      <x:c r="AH20" s="56" t="str">
        <x:v>5be7bd2ed510c5f54ab0490535d11685f0ae981505575fdec38de8e4cdd3b2e0</x:v>
      </x:c>
    </x:row>
    <x:row r="21" ht="62" customHeight="1">
      <x:c r="A21" s="56" t="str">
        <x:v>B3-Q20</x:v>
      </x:c>
      <x:c r="B21" s="56" t="str">
        <x:v>base_40</x:v>
      </x:c>
      <x:c r="C21" s="56" t="str">
        <x:v>3</x:v>
      </x:c>
      <x:c r="D21" s="56" t="n">
        <x:v>20</x:v>
      </x:c>
      <x:c r="E21" s="56" t="str">
        <x:v>Criterios y mecanismo de entrega</x:v>
      </x:c>
      <x:c r="F21" s="56" t="str">
        <x:v>¿Qué debe cumplir la salida para ser aceptada, cómo se entrega y con qué frecuencia?</x:v>
      </x:c>
      <x:c r="G21" s="56" t="str">
        <x:v>compound_card_with_separable_subfields</x:v>
      </x:c>
      <x:c r="H21" s="56" t="str">
        <x:v>quality_condition; delivery_channel; receiver_expectation</x:v>
      </x:c>
      <x:c r="I21" s="56" t="str">
        <x:v>3.7, 3.8, 3.9, 3.B</x:v>
      </x:c>
      <x:c r="J21" s="56" t="n">
        <x:v>4</x:v>
      </x:c>
      <x:c r="K21" s="56" t="n">
        <x:v>3</x:v>
      </x:c>
      <x:c r="L21" s="56" t="n">
        <x:v>1</x:v>
      </x:c>
      <x:c r="M21" s="56" t="n">
        <x:v>0</x:v>
      </x:c>
      <x:c r="N21" s="56" t="n">
        <x:v>0</x:v>
      </x:c>
      <x:c r="O21" s="56" t="str">
        <x:v>Siempre; separa calidad, canal y frecuencia.</x:v>
      </x:c>
      <x:c r="P21" s="56" t="str">
        <x:v>captura directa; confirmar si se deriva de preload</x:v>
      </x:c>
      <x:c r="Q21" s="56" t="str">
        <x:v>No convertir texto libre o inferencia IA en hecho estructural sin ruta canónica y estado epistemológico.</x:v>
      </x:c>
      <x:c r="R21" s="56" t="str">
        <x:v>Pasa si variables requeridas quedan capturadas/confirmadas, sin contradicción y con trazabilidad a nodos fuente.</x:v>
      </x:c>
      <x:c r="S21" s="56" t="str">
        <x:v>Mostrar como una tarjeta única con subcampos editables/chips; no como caja de texto indiferenciada.</x:v>
      </x:c>
      <x:c r="T21" s="56" t="str">
        <x:v>Persistir cada subcampo como variable separable con su provenance y confidence.</x:v>
      </x:c>
      <x:c r="U21" s="56" t="str">
        <x:v>La carga visible parece menor, pero se oculta ambigüedad y se pierde trazabilidad.</x:v>
      </x:c>
      <x:c r="V21" s="56" t="str">
        <x:v>Pantalla específica Bloque 3</x:v>
      </x:c>
      <x:c r="W21" s="66" t="str"/>
      <x:c r="X21" s="66" t="str">
        <x:v>En desarrollo</x:v>
      </x:c>
      <x:c r="Y21" s="66" t="str">
        <x:v>No evaluado</x:v>
      </x:c>
      <x:c r="Z21" s="66" t="str">
        <x:v>No evaluado</x:v>
      </x:c>
      <x:c r="AA21" s="66" t="str">
        <x:v>No ejecutado</x:v>
      </x:c>
      <x:c r="AB21" s="68" t="str">
        <x:f>IF(AND(X21="No evaluado",Y21="No evaluado",Z21="No evaluado",AA21="No ejecutado"),"No evaluado",IF(OR(X21="Bloqueado",Y21="Bloqueado",Z21="Bloqueado",AA21="Bloqueado"),"Bloqueado",IF(OR(Y21="No conforme",Z21="No conforme",AA21="Falló"),"No conforme",IF(AND(OR(X21="Implementado",X21="No aplica"),OR(Y21="Conforme",Y21="No aplica"),OR(Z21="Conforme",Z21="No aplica"),OR(AA21="Pasó",AA21="No aplica")),"Conforme","Parcial"))))</x:f>
        <x:v>Parcial</x:v>
      </x:c>
      <x:c r="AC21" s="66" t="str"/>
      <x:c r="AD21" s="66" t="str"/>
      <x:c r="AE21" s="66" t="str"/>
      <x:c r="AF21" s="56" t="str">
        <x:v>TR-002</x:v>
      </x:c>
      <x:c r="AG21" s="56" t="str">
        <x:v>Runtime_Interactions_Base_40!21</x:v>
      </x:c>
      <x:c r="AH21" s="56" t="str">
        <x:v>5be7bd2ed510c5f54ab0490535d11685f0ae981505575fdec38de8e4cdd3b2e0</x:v>
      </x:c>
    </x:row>
    <x:row r="22" ht="62" customHeight="1">
      <x:c r="A22" s="56" t="str">
        <x:v>B3-Q21</x:v>
      </x:c>
      <x:c r="B22" s="56" t="str">
        <x:v>base_40</x:v>
      </x:c>
      <x:c r="C22" s="56" t="str">
        <x:v>3</x:v>
      </x:c>
      <x:c r="D22" s="56" t="n">
        <x:v>21</x:v>
      </x:c>
      <x:c r="E22" s="56" t="str">
        <x:v>Falla de entrega</x:v>
      </x:c>
      <x:c r="F22" s="56" t="str">
        <x:v>¿Hay momentos en que lo entregado no cumple lo esperado o no llega al receptor?</x:v>
      </x:c>
      <x:c r="G22" s="56" t="str">
        <x:v>guided_textarea_or_choice_plus_text</x:v>
      </x:c>
      <x:c r="H22" s="56" t="str">
        <x:v>single_answer</x:v>
      </x:c>
      <x:c r="I22" s="56" t="str">
        <x:v>3.10</x:v>
      </x:c>
      <x:c r="J22" s="56" t="n">
        <x:v>1</x:v>
      </x:c>
      <x:c r="K22" s="56" t="n">
        <x:v>1</x:v>
      </x:c>
      <x:c r="L22" s="56" t="n">
        <x:v>0</x:v>
      </x:c>
      <x:c r="M22" s="56" t="n">
        <x:v>0</x:v>
      </x:c>
      <x:c r="N22" s="56" t="n">
        <x:v>0</x:v>
      </x:c>
      <x:c r="O22" s="56" t="str">
        <x:v>Siempre; ruta crítica B3. Si sí, abre B3-C08 y B3-C09.</x:v>
      </x:c>
      <x:c r="P22" s="56" t="str">
        <x:v>captura directa; confirmar si se deriva de preload</x:v>
      </x:c>
      <x:c r="Q22" s="56" t="str">
        <x:v>No convertir texto libre o inferencia IA en hecho estructural sin ruta canónica y estado epistemológico.</x:v>
      </x:c>
      <x:c r="R22" s="56" t="str">
        <x:v>Pasa si variables requeridas quedan capturadas/confirmadas, sin contradicción y con trazabilidad a nodos fuente.</x:v>
      </x:c>
      <x:c r="S22" s="56" t="str"/>
      <x:c r="T22" s="56" t="str"/>
      <x:c r="U22" s="56" t="str"/>
      <x:c r="V22" s="56" t="str">
        <x:v>Pantalla específica Bloque 3</x:v>
      </x:c>
      <x:c r="W22" s="66" t="str"/>
      <x:c r="X22" s="66" t="str">
        <x:v>En desarrollo</x:v>
      </x:c>
      <x:c r="Y22" s="66" t="str">
        <x:v>No evaluado</x:v>
      </x:c>
      <x:c r="Z22" s="66" t="str">
        <x:v>No evaluado</x:v>
      </x:c>
      <x:c r="AA22" s="66" t="str">
        <x:v>No ejecutado</x:v>
      </x:c>
      <x:c r="AB22" s="68" t="str">
        <x:f>IF(AND(X22="No evaluado",Y22="No evaluado",Z22="No evaluado",AA22="No ejecutado"),"No evaluado",IF(OR(X22="Bloqueado",Y22="Bloqueado",Z22="Bloqueado",AA22="Bloqueado"),"Bloqueado",IF(OR(Y22="No conforme",Z22="No conforme",AA22="Falló"),"No conforme",IF(AND(OR(X22="Implementado",X22="No aplica"),OR(Y22="Conforme",Y22="No aplica"),OR(Z22="Conforme",Z22="No aplica"),OR(AA22="Pasó",AA22="No aplica")),"Conforme","Parcial"))))</x:f>
        <x:v>Parcial</x:v>
      </x:c>
      <x:c r="AC22" s="66" t="str"/>
      <x:c r="AD22" s="66" t="str"/>
      <x:c r="AE22" s="66" t="str"/>
      <x:c r="AF22" s="56" t="str">
        <x:v>TR-002</x:v>
      </x:c>
      <x:c r="AG22" s="56" t="str">
        <x:v>Runtime_Interactions_Base_40!22</x:v>
      </x:c>
      <x:c r="AH22" s="56" t="str">
        <x:v>5be7bd2ed510c5f54ab0490535d11685f0ae981505575fdec38de8e4cdd3b2e0</x:v>
      </x:c>
    </x:row>
    <x:row r="23" ht="62" customHeight="1">
      <x:c r="A23" s="56" t="str">
        <x:v>B3-Q22</x:v>
      </x:c>
      <x:c r="B23" s="56" t="str">
        <x:v>base_40</x:v>
      </x:c>
      <x:c r="C23" s="56" t="str">
        <x:v>3</x:v>
      </x:c>
      <x:c r="D23" s="56" t="n">
        <x:v>22</x:v>
      </x:c>
      <x:c r="E23" s="56" t="str">
        <x:v>Aceptación del receptor y cambios recientes</x:v>
      </x:c>
      <x:c r="F23" s="56" t="str">
        <x:v>Cuando entregas, ¿normalmente se acepta como suficiente, se acepta con observaciones o no se acepta? ¿Ha cambiado algo en criterios, receptor o canal?</x:v>
      </x:c>
      <x:c r="G23" s="56" t="str">
        <x:v>guided_textarea_or_choice_plus_text</x:v>
      </x:c>
      <x:c r="H23" s="56" t="str">
        <x:v>single_answer</x:v>
      </x:c>
      <x:c r="I23" s="56" t="str">
        <x:v>3.13, 3.14</x:v>
      </x:c>
      <x:c r="J23" s="56" t="n">
        <x:v>2</x:v>
      </x:c>
      <x:c r="K23" s="56" t="n">
        <x:v>2</x:v>
      </x:c>
      <x:c r="L23" s="56" t="n">
        <x:v>0</x:v>
      </x:c>
      <x:c r="M23" s="56" t="n">
        <x:v>0</x:v>
      </x:c>
      <x:c r="N23" s="56" t="n">
        <x:v>0</x:v>
      </x:c>
      <x:c r="O23" s="56" t="str">
        <x:v>Siempre; no sustituye feedback operativo. Si hay aviso/rechazo/devolución, abre B3-C09.</x:v>
      </x:c>
      <x:c r="P23" s="56" t="str">
        <x:v>captura directa; confirmar si se deriva de preload</x:v>
      </x:c>
      <x:c r="Q23" s="56" t="str">
        <x:v>No convertir texto libre o inferencia IA en hecho estructural sin ruta canónica y estado epistemológico.</x:v>
      </x:c>
      <x:c r="R23" s="56" t="str">
        <x:v>Pasa si variables requeridas quedan capturadas/confirmadas, sin contradicción y con trazabilidad a nodos fuente.</x:v>
      </x:c>
      <x:c r="S23" s="56" t="str"/>
      <x:c r="T23" s="56" t="str"/>
      <x:c r="U23" s="56" t="str"/>
      <x:c r="V23" s="56" t="str">
        <x:v>Pantalla específica Bloque 3</x:v>
      </x:c>
      <x:c r="W23" s="66" t="str"/>
      <x:c r="X23" s="66" t="str">
        <x:v>En desarrollo</x:v>
      </x:c>
      <x:c r="Y23" s="66" t="str">
        <x:v>No evaluado</x:v>
      </x:c>
      <x:c r="Z23" s="66" t="str">
        <x:v>No evaluado</x:v>
      </x:c>
      <x:c r="AA23" s="66" t="str">
        <x:v>No ejecutado</x:v>
      </x:c>
      <x:c r="AB23" s="68" t="str">
        <x:f>IF(AND(X23="No evaluado",Y23="No evaluado",Z23="No evaluado",AA23="No ejecutado"),"No evaluado",IF(OR(X23="Bloqueado",Y23="Bloqueado",Z23="Bloqueado",AA23="Bloqueado"),"Bloqueado",IF(OR(Y23="No conforme",Z23="No conforme",AA23="Falló"),"No conforme",IF(AND(OR(X23="Implementado",X23="No aplica"),OR(Y23="Conforme",Y23="No aplica"),OR(Z23="Conforme",Z23="No aplica"),OR(AA23="Pasó",AA23="No aplica")),"Conforme","Parcial"))))</x:f>
        <x:v>Parcial</x:v>
      </x:c>
      <x:c r="AC23" s="66" t="str"/>
      <x:c r="AD23" s="66" t="str"/>
      <x:c r="AE23" s="66" t="str"/>
      <x:c r="AF23" s="56" t="str">
        <x:v>TR-002</x:v>
      </x:c>
      <x:c r="AG23" s="56" t="str">
        <x:v>Runtime_Interactions_Base_40!23</x:v>
      </x:c>
      <x:c r="AH23" s="56" t="str">
        <x:v>5be7bd2ed510c5f54ab0490535d11685f0ae981505575fdec38de8e4cdd3b2e0</x:v>
      </x:c>
    </x:row>
    <x:row r="24" ht="62" customHeight="1">
      <x:c r="A24" s="56" t="str">
        <x:v>B4-Q23</x:v>
      </x:c>
      <x:c r="B24" s="56" t="str">
        <x:v>base_40</x:v>
      </x:c>
      <x:c r="C24" s="56" t="str">
        <x:v>4</x:v>
      </x:c>
      <x:c r="D24" s="56" t="n">
        <x:v>23</x:v>
      </x:c>
      <x:c r="E24" s="56" t="str">
        <x:v>Dependencias anterior y posterior</x:v>
      </x:c>
      <x:c r="F24" s="56" t="str">
        <x:v>Antes de iniciar, ¿qué tiene que estar listo? Si no terminas, ¿quién o qué queda detenido?</x:v>
      </x:c>
      <x:c r="G24" s="56" t="str">
        <x:v>guided_textarea_or_choice_plus_text</x:v>
      </x:c>
      <x:c r="H24" s="56" t="str">
        <x:v>single_answer</x:v>
      </x:c>
      <x:c r="I24" s="56" t="str">
        <x:v>4.1, 4.2, 4.A</x:v>
      </x:c>
      <x:c r="J24" s="56" t="n">
        <x:v>3</x:v>
      </x:c>
      <x:c r="K24" s="56" t="n">
        <x:v>2</x:v>
      </x:c>
      <x:c r="L24" s="56" t="n">
        <x:v>1</x:v>
      </x:c>
      <x:c r="M24" s="56" t="n">
        <x:v>0</x:v>
      </x:c>
      <x:c r="N24" s="56" t="n">
        <x:v>0</x:v>
      </x:c>
      <x:c r="O24" s="56" t="str">
        <x:v>Siempre; base de PF y sincronizaciones.</x:v>
      </x:c>
      <x:c r="P24" s="56" t="str">
        <x:v>captura directa; confirmar si se deriva de preload</x:v>
      </x:c>
      <x:c r="Q24" s="56" t="str">
        <x:v>No convertir texto libre o inferencia IA en hecho estructural sin ruta canónica y estado epistemológico.</x:v>
      </x:c>
      <x:c r="R24" s="56" t="str">
        <x:v>Pasa si variables requeridas quedan capturadas/confirmadas, sin contradicción y con trazabilidad a nodos fuente.</x:v>
      </x:c>
      <x:c r="S24" s="56" t="str"/>
      <x:c r="T24" s="56" t="str"/>
      <x:c r="U24" s="56" t="str"/>
      <x:c r="V24" s="56" t="str">
        <x:v>Pantalla específica Bloque 4</x:v>
      </x:c>
      <x:c r="W24" s="66" t="str"/>
      <x:c r="X24" s="66" t="str">
        <x:v>En desarrollo</x:v>
      </x:c>
      <x:c r="Y24" s="66" t="str">
        <x:v>No evaluado</x:v>
      </x:c>
      <x:c r="Z24" s="66" t="str">
        <x:v>No evaluado</x:v>
      </x:c>
      <x:c r="AA24" s="66" t="str">
        <x:v>No ejecutado</x:v>
      </x:c>
      <x:c r="AB24" s="68" t="str">
        <x:f>IF(AND(X24="No evaluado",Y24="No evaluado",Z24="No evaluado",AA24="No ejecutado"),"No evaluado",IF(OR(X24="Bloqueado",Y24="Bloqueado",Z24="Bloqueado",AA24="Bloqueado"),"Bloqueado",IF(OR(Y24="No conforme",Z24="No conforme",AA24="Falló"),"No conforme",IF(AND(OR(X24="Implementado",X24="No aplica"),OR(Y24="Conforme",Y24="No aplica"),OR(Z24="Conforme",Z24="No aplica"),OR(AA24="Pasó",AA24="No aplica")),"Conforme","Parcial"))))</x:f>
        <x:v>Parcial</x:v>
      </x:c>
      <x:c r="AC24" s="66" t="str"/>
      <x:c r="AD24" s="66" t="str"/>
      <x:c r="AE24" s="66" t="str"/>
      <x:c r="AF24" s="56" t="str">
        <x:v>TR-002</x:v>
      </x:c>
      <x:c r="AG24" s="56" t="str">
        <x:v>Runtime_Interactions_Base_40!24</x:v>
      </x:c>
      <x:c r="AH24" s="56" t="str">
        <x:v>5be7bd2ed510c5f54ab0490535d11685f0ae981505575fdec38de8e4cdd3b2e0</x:v>
      </x:c>
    </x:row>
    <x:row r="25" ht="62" customHeight="1">
      <x:c r="A25" s="56" t="str">
        <x:v>B4-Q24</x:v>
      </x:c>
      <x:c r="B25" s="56" t="str">
        <x:v>base_40</x:v>
      </x:c>
      <x:c r="C25" s="56" t="str">
        <x:v>4</x:v>
      </x:c>
      <x:c r="D25" s="56" t="n">
        <x:v>24</x:v>
      </x:c>
      <x:c r="E25" s="56" t="str">
        <x:v>Espera, tiempo y bloqueo</x:v>
      </x:c>
      <x:c r="F25" s="56" t="str">
        <x:v>En la realidad, ¿cuánto se espera entre pasos? ¿Hay fecha/hora/frecuencia que obligue? ¿Puede quedar bloqueada esperando algo?</x:v>
      </x:c>
      <x:c r="G25" s="56" t="str">
        <x:v>compound_card_with_separable_subfields</x:v>
      </x:c>
      <x:c r="H25" s="56" t="str">
        <x:v>wait_time; time_event; deadlock_risk</x:v>
      </x:c>
      <x:c r="I25" s="56" t="str">
        <x:v>4.3, 4.4, 4.5</x:v>
      </x:c>
      <x:c r="J25" s="56" t="n">
        <x:v>3</x:v>
      </x:c>
      <x:c r="K25" s="56" t="n">
        <x:v>3</x:v>
      </x:c>
      <x:c r="L25" s="56" t="n">
        <x:v>0</x:v>
      </x:c>
      <x:c r="M25" s="56" t="n">
        <x:v>0</x:v>
      </x:c>
      <x:c r="N25" s="56" t="n">
        <x:v>0</x:v>
      </x:c>
      <x:c r="O25" s="56" t="str">
        <x:v>Siempre; si hay bloqueo sin resolución, abre B4-C11.</x:v>
      </x:c>
      <x:c r="P25" s="56" t="str">
        <x:v>captura directa; confirmar si se deriva de preload</x:v>
      </x:c>
      <x:c r="Q25" s="56" t="str">
        <x:v>No convertir texto libre o inferencia IA en hecho estructural sin ruta canónica y estado epistemológico.</x:v>
      </x:c>
      <x:c r="R25" s="56" t="str">
        <x:v>Pasa si variables requeridas quedan capturadas/confirmadas, sin contradicción y con trazabilidad a nodos fuente.</x:v>
      </x:c>
      <x:c r="S25" s="56" t="str">
        <x:v>Mostrar como una tarjeta única con subcampos editables/chips; no como caja de texto indiferenciada.</x:v>
      </x:c>
      <x:c r="T25" s="56" t="str">
        <x:v>Persistir cada subcampo como variable separable con su provenance y confidence.</x:v>
      </x:c>
      <x:c r="U25" s="56" t="str">
        <x:v>La carga visible parece menor, pero se oculta ambigüedad y se pierde trazabilidad.</x:v>
      </x:c>
      <x:c r="V25" s="56" t="str">
        <x:v>Pantalla específica Bloque 4</x:v>
      </x:c>
      <x:c r="W25" s="66" t="str"/>
      <x:c r="X25" s="66" t="str">
        <x:v>En desarrollo</x:v>
      </x:c>
      <x:c r="Y25" s="66" t="str">
        <x:v>No evaluado</x:v>
      </x:c>
      <x:c r="Z25" s="66" t="str">
        <x:v>No evaluado</x:v>
      </x:c>
      <x:c r="AA25" s="66" t="str">
        <x:v>No ejecutado</x:v>
      </x:c>
      <x:c r="AB25" s="68" t="str">
        <x:f>IF(AND(X25="No evaluado",Y25="No evaluado",Z25="No evaluado",AA25="No ejecutado"),"No evaluado",IF(OR(X25="Bloqueado",Y25="Bloqueado",Z25="Bloqueado",AA25="Bloqueado"),"Bloqueado",IF(OR(Y25="No conforme",Z25="No conforme",AA25="Falló"),"No conforme",IF(AND(OR(X25="Implementado",X25="No aplica"),OR(Y25="Conforme",Y25="No aplica"),OR(Z25="Conforme",Z25="No aplica"),OR(AA25="Pasó",AA25="No aplica")),"Conforme","Parcial"))))</x:f>
        <x:v>Parcial</x:v>
      </x:c>
      <x:c r="AC25" s="66" t="str"/>
      <x:c r="AD25" s="66" t="str"/>
      <x:c r="AE25" s="66" t="str"/>
      <x:c r="AF25" s="56" t="str">
        <x:v>TR-002</x:v>
      </x:c>
      <x:c r="AG25" s="56" t="str">
        <x:v>Runtime_Interactions_Base_40!25</x:v>
      </x:c>
      <x:c r="AH25" s="56" t="str">
        <x:v>5be7bd2ed510c5f54ab0490535d11685f0ae981505575fdec38de8e4cdd3b2e0</x:v>
      </x:c>
    </x:row>
    <x:row r="26" ht="62" customHeight="1">
      <x:c r="A26" s="56" t="str">
        <x:v>B4-Q25</x:v>
      </x:c>
      <x:c r="B26" s="56" t="str">
        <x:v>base_40</x:v>
      </x:c>
      <x:c r="C26" s="56" t="str">
        <x:v>4</x:v>
      </x:c>
      <x:c r="D26" s="56" t="n">
        <x:v>25</x:v>
      </x:c>
      <x:c r="E26" s="56" t="str">
        <x:v>Iteración del flujo</x:v>
      </x:c>
      <x:c r="F26" s="56" t="str">
        <x:v>¿Esta actividad se repite en ciclos dentro del mismo caso?</x:v>
      </x:c>
      <x:c r="G26" s="56" t="str">
        <x:v>guided_textarea_or_choice_plus_text</x:v>
      </x:c>
      <x:c r="H26" s="56" t="str">
        <x:v>single_answer</x:v>
      </x:c>
      <x:c r="I26" s="56" t="str">
        <x:v>4.6</x:v>
      </x:c>
      <x:c r="J26" s="56" t="n">
        <x:v>1</x:v>
      </x:c>
      <x:c r="K26" s="56" t="n">
        <x:v>1</x:v>
      </x:c>
      <x:c r="L26" s="56" t="n">
        <x:v>0</x:v>
      </x:c>
      <x:c r="M26" s="56" t="n">
        <x:v>0</x:v>
      </x:c>
      <x:c r="N26" s="56" t="n">
        <x:v>0</x:v>
      </x:c>
      <x:c r="O26" s="56" t="str">
        <x:v>Siempre; si se repite, abre B4-C12.</x:v>
      </x:c>
      <x:c r="P26" s="56" t="str">
        <x:v>captura directa; confirmar si se deriva de preload</x:v>
      </x:c>
      <x:c r="Q26" s="56" t="str">
        <x:v>No convertir texto libre o inferencia IA en hecho estructural sin ruta canónica y estado epistemológico.</x:v>
      </x:c>
      <x:c r="R26" s="56" t="str">
        <x:v>Pasa si variables requeridas quedan capturadas/confirmadas, sin contradicción y con trazabilidad a nodos fuente.</x:v>
      </x:c>
      <x:c r="S26" s="56" t="str"/>
      <x:c r="T26" s="56" t="str"/>
      <x:c r="U26" s="56" t="str"/>
      <x:c r="V26" s="56" t="str">
        <x:v>Pantalla específica Bloque 4</x:v>
      </x:c>
      <x:c r="W26" s="66" t="str"/>
      <x:c r="X26" s="66" t="str">
        <x:v>En desarrollo</x:v>
      </x:c>
      <x:c r="Y26" s="66" t="str">
        <x:v>No evaluado</x:v>
      </x:c>
      <x:c r="Z26" s="66" t="str">
        <x:v>No evaluado</x:v>
      </x:c>
      <x:c r="AA26" s="66" t="str">
        <x:v>No ejecutado</x:v>
      </x:c>
      <x:c r="AB26" s="68" t="str">
        <x:f>IF(AND(X26="No evaluado",Y26="No evaluado",Z26="No evaluado",AA26="No ejecutado"),"No evaluado",IF(OR(X26="Bloqueado",Y26="Bloqueado",Z26="Bloqueado",AA26="Bloqueado"),"Bloqueado",IF(OR(Y26="No conforme",Z26="No conforme",AA26="Falló"),"No conforme",IF(AND(OR(X26="Implementado",X26="No aplica"),OR(Y26="Conforme",Y26="No aplica"),OR(Z26="Conforme",Z26="No aplica"),OR(AA26="Pasó",AA26="No aplica")),"Conforme","Parcial"))))</x:f>
        <x:v>Parcial</x:v>
      </x:c>
      <x:c r="AC26" s="66" t="str"/>
      <x:c r="AD26" s="66" t="str"/>
      <x:c r="AE26" s="66" t="str"/>
      <x:c r="AF26" s="56" t="str">
        <x:v>TR-002</x:v>
      </x:c>
      <x:c r="AG26" s="56" t="str">
        <x:v>Runtime_Interactions_Base_40!26</x:v>
      </x:c>
      <x:c r="AH26" s="56" t="str">
        <x:v>5be7bd2ed510c5f54ab0490535d11685f0ae981505575fdec38de8e4cdd3b2e0</x:v>
      </x:c>
    </x:row>
    <x:row r="27" ht="62" customHeight="1">
      <x:c r="A27" s="56" t="str">
        <x:v>B4-Q26</x:v>
      </x:c>
      <x:c r="B27" s="56" t="str">
        <x:v>base_40</x:v>
      </x:c>
      <x:c r="C27" s="56" t="str">
        <x:v>4</x:v>
      </x:c>
      <x:c r="D27" s="56" t="n">
        <x:v>26</x:v>
      </x:c>
      <x:c r="E27" s="56" t="str">
        <x:v>Caminos alternativos</x:v>
      </x:c>
      <x:c r="F27" s="56" t="str">
        <x:v>¿Hay decisiones donde el proceso toma caminos diferentes según la situación?</x:v>
      </x:c>
      <x:c r="G27" s="56" t="str">
        <x:v>compound_card_with_separable_subfields</x:v>
      </x:c>
      <x:c r="H27" s="56" t="str">
        <x:v>alternative_route; condition; real_vs_official_difference</x:v>
      </x:c>
      <x:c r="I27" s="56" t="str">
        <x:v>4.7</x:v>
      </x:c>
      <x:c r="J27" s="56" t="n">
        <x:v>1</x:v>
      </x:c>
      <x:c r="K27" s="56" t="n">
        <x:v>1</x:v>
      </x:c>
      <x:c r="L27" s="56" t="n">
        <x:v>0</x:v>
      </x:c>
      <x:c r="M27" s="56" t="n">
        <x:v>0</x:v>
      </x:c>
      <x:c r="N27" s="56" t="n">
        <x:v>0</x:v>
      </x:c>
      <x:c r="O27" s="56" t="str">
        <x:v>Siempre; si sí, abre B4-C13.</x:v>
      </x:c>
      <x:c r="P27" s="56" t="str">
        <x:v>captura directa; confirmar si se deriva de preload</x:v>
      </x:c>
      <x:c r="Q27" s="56" t="str">
        <x:v>No convertir texto libre o inferencia IA en hecho estructural sin ruta canónica y estado epistemológico.</x:v>
      </x:c>
      <x:c r="R27" s="56" t="str">
        <x:v>Pasa si variables requeridas quedan capturadas/confirmadas, sin contradicción y con trazabilidad a nodos fuente.</x:v>
      </x:c>
      <x:c r="S27" s="56" t="str">
        <x:v>Mostrar como una tarjeta única con subcampos editables/chips; no como caja de texto indiferenciada.</x:v>
      </x:c>
      <x:c r="T27" s="56" t="str">
        <x:v>Persistir cada subcampo como variable separable con su provenance y confidence.</x:v>
      </x:c>
      <x:c r="U27" s="56" t="str">
        <x:v>La carga visible parece menor, pero se oculta ambigüedad y se pierde trazabilidad.</x:v>
      </x:c>
      <x:c r="V27" s="56" t="str">
        <x:v>Pantalla específica Bloque 4</x:v>
      </x:c>
      <x:c r="W27" s="66" t="str"/>
      <x:c r="X27" s="66" t="str">
        <x:v>En desarrollo</x:v>
      </x:c>
      <x:c r="Y27" s="66" t="str">
        <x:v>No evaluado</x:v>
      </x:c>
      <x:c r="Z27" s="66" t="str">
        <x:v>No evaluado</x:v>
      </x:c>
      <x:c r="AA27" s="66" t="str">
        <x:v>No ejecutado</x:v>
      </x:c>
      <x:c r="AB27" s="68" t="str">
        <x:f>IF(AND(X27="No evaluado",Y27="No evaluado",Z27="No evaluado",AA27="No ejecutado"),"No evaluado",IF(OR(X27="Bloqueado",Y27="Bloqueado",Z27="Bloqueado",AA27="Bloqueado"),"Bloqueado",IF(OR(Y27="No conforme",Z27="No conforme",AA27="Falló"),"No conforme",IF(AND(OR(X27="Implementado",X27="No aplica"),OR(Y27="Conforme",Y27="No aplica"),OR(Z27="Conforme",Z27="No aplica"),OR(AA27="Pasó",AA27="No aplica")),"Conforme","Parcial"))))</x:f>
        <x:v>Parcial</x:v>
      </x:c>
      <x:c r="AC27" s="66" t="str"/>
      <x:c r="AD27" s="66" t="str"/>
      <x:c r="AE27" s="66" t="str"/>
      <x:c r="AF27" s="56" t="str">
        <x:v>TR-002</x:v>
      </x:c>
      <x:c r="AG27" s="56" t="str">
        <x:v>Runtime_Interactions_Base_40!27</x:v>
      </x:c>
      <x:c r="AH27" s="56" t="str">
        <x:v>5be7bd2ed510c5f54ab0490535d11685f0ae981505575fdec38de8e4cdd3b2e0</x:v>
      </x:c>
    </x:row>
    <x:row r="28" ht="62" customHeight="1">
      <x:c r="A28" s="56" t="str">
        <x:v>B4-Q27</x:v>
      </x:c>
      <x:c r="B28" s="56" t="str">
        <x:v>base_40</x:v>
      </x:c>
      <x:c r="C28" s="56" t="str">
        <x:v>4</x:v>
      </x:c>
      <x:c r="D28" s="56" t="n">
        <x:v>27</x:v>
      </x:c>
      <x:c r="E28" s="56" t="str">
        <x:v>Paralelismo y pasos no oficiales</x:v>
      </x:c>
      <x:c r="F28" s="56" t="str">
        <x:v>Mientras haces esta actividad, ¿qué ocurre en paralelo? ¿Haces pasos que no están en el manual?</x:v>
      </x:c>
      <x:c r="G28" s="56" t="str">
        <x:v>guided_textarea_or_choice_plus_text</x:v>
      </x:c>
      <x:c r="H28" s="56" t="str">
        <x:v>single_answer</x:v>
      </x:c>
      <x:c r="I28" s="56" t="str">
        <x:v>4.8, 4.9</x:v>
      </x:c>
      <x:c r="J28" s="56" t="n">
        <x:v>2</x:v>
      </x:c>
      <x:c r="K28" s="56" t="n">
        <x:v>2</x:v>
      </x:c>
      <x:c r="L28" s="56" t="n">
        <x:v>0</x:v>
      </x:c>
      <x:c r="M28" s="56" t="n">
        <x:v>0</x:v>
      </x:c>
      <x:c r="N28" s="56" t="n">
        <x:v>0</x:v>
      </x:c>
      <x:c r="O28" s="56" t="str">
        <x:v>Siempre; si hay pasos extras, abre B4-C14.</x:v>
      </x:c>
      <x:c r="P28" s="56" t="str">
        <x:v>captura directa; confirmar si se deriva de preload</x:v>
      </x:c>
      <x:c r="Q28" s="56" t="str">
        <x:v>No convertir texto libre o inferencia IA en hecho estructural sin ruta canónica y estado epistemológico.</x:v>
      </x:c>
      <x:c r="R28" s="56" t="str">
        <x:v>Pasa si variables requeridas quedan capturadas/confirmadas, sin contradicción y con trazabilidad a nodos fuente.</x:v>
      </x:c>
      <x:c r="S28" s="56" t="str"/>
      <x:c r="T28" s="56" t="str"/>
      <x:c r="U28" s="56" t="str"/>
      <x:c r="V28" s="56" t="str">
        <x:v>Pantalla específica Bloque 4</x:v>
      </x:c>
      <x:c r="W28" s="66" t="str"/>
      <x:c r="X28" s="66" t="str">
        <x:v>En desarrollo</x:v>
      </x:c>
      <x:c r="Y28" s="66" t="str">
        <x:v>No evaluado</x:v>
      </x:c>
      <x:c r="Z28" s="66" t="str">
        <x:v>No evaluado</x:v>
      </x:c>
      <x:c r="AA28" s="66" t="str">
        <x:v>No ejecutado</x:v>
      </x:c>
      <x:c r="AB28" s="68" t="str">
        <x:f>IF(AND(X28="No evaluado",Y28="No evaluado",Z28="No evaluado",AA28="No ejecutado"),"No evaluado",IF(OR(X28="Bloqueado",Y28="Bloqueado",Z28="Bloqueado",AA28="Bloqueado"),"Bloqueado",IF(OR(Y28="No conforme",Z28="No conforme",AA28="Falló"),"No conforme",IF(AND(OR(X28="Implementado",X28="No aplica"),OR(Y28="Conforme",Y28="No aplica"),OR(Z28="Conforme",Z28="No aplica"),OR(AA28="Pasó",AA28="No aplica")),"Conforme","Parcial"))))</x:f>
        <x:v>Parcial</x:v>
      </x:c>
      <x:c r="AC28" s="66" t="str"/>
      <x:c r="AD28" s="66" t="str"/>
      <x:c r="AE28" s="66" t="str"/>
      <x:c r="AF28" s="56" t="str">
        <x:v>TR-002</x:v>
      </x:c>
      <x:c r="AG28" s="56" t="str">
        <x:v>Runtime_Interactions_Base_40!28</x:v>
      </x:c>
      <x:c r="AH28" s="56" t="str">
        <x:v>5be7bd2ed510c5f54ab0490535d11685f0ae981505575fdec38de8e4cdd3b2e0</x:v>
      </x:c>
    </x:row>
    <x:row r="29" ht="62" customHeight="1">
      <x:c r="A29" s="56" t="str">
        <x:v>B4-Q28</x:v>
      </x:c>
      <x:c r="B29" s="56" t="str">
        <x:v>base_40</x:v>
      </x:c>
      <x:c r="C29" s="56" t="str">
        <x:v>4</x:v>
      </x:c>
      <x:c r="D29" s="56" t="n">
        <x:v>28</x:v>
      </x:c>
      <x:c r="E29" s="56" t="str">
        <x:v>Secuencia real, impacto y atasco</x:v>
      </x:c>
      <x:c r="F29" s="56" t="str">
        <x:v>¿El orden real difiere del oficial? Cuando se bloquea, ¿qué se rompe primero y dónde se atasca con más frecuencia?</x:v>
      </x:c>
      <x:c r="G29" s="56" t="str">
        <x:v>guided_textarea_or_choice_plus_text</x:v>
      </x:c>
      <x:c r="H29" s="56" t="str">
        <x:v>single_answer</x:v>
      </x:c>
      <x:c r="I29" s="56" t="str">
        <x:v>4.10, 4.11, 4.12, 4.13</x:v>
      </x:c>
      <x:c r="J29" s="56" t="n">
        <x:v>4</x:v>
      </x:c>
      <x:c r="K29" s="56" t="n">
        <x:v>4</x:v>
      </x:c>
      <x:c r="L29" s="56" t="n">
        <x:v>0</x:v>
      </x:c>
      <x:c r="M29" s="56" t="n">
        <x:v>0</x:v>
      </x:c>
      <x:c r="N29" s="56" t="n">
        <x:v>0</x:v>
      </x:c>
      <x:c r="O29" s="56" t="str">
        <x:v>Siempre; protege PF real frente al proceso declarado.</x:v>
      </x:c>
      <x:c r="P29" s="56" t="str">
        <x:v>captura directa; confirmar si se deriva de preload</x:v>
      </x:c>
      <x:c r="Q29" s="56" t="str">
        <x:v>No convertir texto libre o inferencia IA en hecho estructural sin ruta canónica y estado epistemológico.</x:v>
      </x:c>
      <x:c r="R29" s="56" t="str">
        <x:v>Pasa si variables requeridas quedan capturadas/confirmadas, sin contradicción y con trazabilidad a nodos fuente.</x:v>
      </x:c>
      <x:c r="S29" s="56" t="str"/>
      <x:c r="T29" s="56" t="str"/>
      <x:c r="U29" s="56" t="str"/>
      <x:c r="V29" s="56" t="str">
        <x:v>Pantalla específica Bloque 4</x:v>
      </x:c>
      <x:c r="W29" s="66" t="str"/>
      <x:c r="X29" s="66" t="str">
        <x:v>En desarrollo</x:v>
      </x:c>
      <x:c r="Y29" s="66" t="str">
        <x:v>No evaluado</x:v>
      </x:c>
      <x:c r="Z29" s="66" t="str">
        <x:v>No evaluado</x:v>
      </x:c>
      <x:c r="AA29" s="66" t="str">
        <x:v>No ejecutado</x:v>
      </x:c>
      <x:c r="AB29" s="68" t="str">
        <x:f>IF(AND(X29="No evaluado",Y29="No evaluado",Z29="No evaluado",AA29="No ejecutado"),"No evaluado",IF(OR(X29="Bloqueado",Y29="Bloqueado",Z29="Bloqueado",AA29="Bloqueado"),"Bloqueado",IF(OR(Y29="No conforme",Z29="No conforme",AA29="Falló"),"No conforme",IF(AND(OR(X29="Implementado",X29="No aplica"),OR(Y29="Conforme",Y29="No aplica"),OR(Z29="Conforme",Z29="No aplica"),OR(AA29="Pasó",AA29="No aplica")),"Conforme","Parcial"))))</x:f>
        <x:v>Parcial</x:v>
      </x:c>
      <x:c r="AC29" s="66" t="str"/>
      <x:c r="AD29" s="66" t="str"/>
      <x:c r="AE29" s="66" t="str"/>
      <x:c r="AF29" s="56" t="str">
        <x:v>TR-002</x:v>
      </x:c>
      <x:c r="AG29" s="56" t="str">
        <x:v>Runtime_Interactions_Base_40!29</x:v>
      </x:c>
      <x:c r="AH29" s="56" t="str">
        <x:v>5be7bd2ed510c5f54ab0490535d11685f0ae981505575fdec38de8e4cdd3b2e0</x:v>
      </x:c>
    </x:row>
    <x:row r="30" ht="62" customHeight="1">
      <x:c r="A30" s="56" t="str">
        <x:v>B5-Q29</x:v>
      </x:c>
      <x:c r="B30" s="56" t="str">
        <x:v>base_40</x:v>
      </x:c>
      <x:c r="C30" s="56" t="str">
        <x:v>5</x:v>
      </x:c>
      <x:c r="D30" s="56" t="n">
        <x:v>29</x:v>
      </x:c>
      <x:c r="E30" s="56" t="str">
        <x:v>Métrica de capacidad y brecha</x:v>
      </x:c>
      <x:c r="F30" s="56" t="str">
        <x:v>Según lo que realmente limita la actividad, ¿cuál es la capacidad nominal y cuál es la capacidad real?</x:v>
      </x:c>
      <x:c r="G30" s="56" t="str">
        <x:v>compound_card_with_separable_subfields</x:v>
      </x:c>
      <x:c r="H30" s="56" t="str">
        <x:v>dominant_dimension; nominal_capacity; real_capacity</x:v>
      </x:c>
      <x:c r="I30" s="56" t="str">
        <x:v>5.0, 5.0_auto, 5.1, 5.2, 5.3</x:v>
      </x:c>
      <x:c r="J30" s="56" t="n">
        <x:v>5</x:v>
      </x:c>
      <x:c r="K30" s="56" t="n">
        <x:v>3</x:v>
      </x:c>
      <x:c r="L30" s="56" t="n">
        <x:v>0</x:v>
      </x:c>
      <x:c r="M30" s="56" t="n">
        <x:v>0</x:v>
      </x:c>
      <x:c r="N30" s="56" t="n">
        <x:v>2</x:v>
      </x:c>
      <x:c r="O30" s="56" t="str">
        <x:v>Siempre; debe heredar dimensión dominante desde B2.</x:v>
      </x:c>
      <x:c r="P30" s="56" t="str">
        <x:v>captura directa; confirmar si se deriva de preload</x:v>
      </x:c>
      <x:c r="Q30" s="56" t="str">
        <x:v>No convertir texto libre o inferencia IA en hecho estructural sin ruta canónica y estado epistemológico.</x:v>
      </x:c>
      <x:c r="R30" s="56" t="str">
        <x:v>Pasa si variables requeridas quedan capturadas/confirmadas, sin contradicción y con trazabilidad a nodos fuente.</x:v>
      </x:c>
      <x:c r="S30" s="56" t="str">
        <x:v>Mostrar como una tarjeta única con subcampos editables/chips; no como caja de texto indiferenciada.</x:v>
      </x:c>
      <x:c r="T30" s="56" t="str">
        <x:v>Persistir cada subcampo como variable separable con su provenance y confidence.</x:v>
      </x:c>
      <x:c r="U30" s="56" t="str">
        <x:v>La carga visible parece menor, pero se oculta ambigüedad y se pierde trazabilidad.</x:v>
      </x:c>
      <x:c r="V30" s="56" t="str">
        <x:v>Pantalla específica Bloque 5</x:v>
      </x:c>
      <x:c r="W30" s="66" t="str"/>
      <x:c r="X30" s="66" t="str">
        <x:v>En desarrollo</x:v>
      </x:c>
      <x:c r="Y30" s="66" t="str">
        <x:v>No evaluado</x:v>
      </x:c>
      <x:c r="Z30" s="66" t="str">
        <x:v>No evaluado</x:v>
      </x:c>
      <x:c r="AA30" s="66" t="str">
        <x:v>No ejecutado</x:v>
      </x:c>
      <x:c r="AB30" s="68" t="str">
        <x:f>IF(AND(X30="No evaluado",Y30="No evaluado",Z30="No evaluado",AA30="No ejecutado"),"No evaluado",IF(OR(X30="Bloqueado",Y30="Bloqueado",Z30="Bloqueado",AA30="Bloqueado"),"Bloqueado",IF(OR(Y30="No conforme",Z30="No conforme",AA30="Falló"),"No conforme",IF(AND(OR(X30="Implementado",X30="No aplica"),OR(Y30="Conforme",Y30="No aplica"),OR(Z30="Conforme",Z30="No aplica"),OR(AA30="Pasó",AA30="No aplica")),"Conforme","Parcial"))))</x:f>
        <x:v>Parcial</x:v>
      </x:c>
      <x:c r="AC30" s="66" t="str"/>
      <x:c r="AD30" s="66" t="str"/>
      <x:c r="AE30" s="66" t="str"/>
      <x:c r="AF30" s="56" t="str">
        <x:v>TR-002</x:v>
      </x:c>
      <x:c r="AG30" s="56" t="str">
        <x:v>Runtime_Interactions_Base_40!30</x:v>
      </x:c>
      <x:c r="AH30" s="56" t="str">
        <x:v>5be7bd2ed510c5f54ab0490535d11685f0ae981505575fdec38de8e4cdd3b2e0</x:v>
      </x:c>
    </x:row>
    <x:row r="31" ht="62" customHeight="1">
      <x:c r="A31" s="56" t="str">
        <x:v>B5-Q30</x:v>
      </x:c>
      <x:c r="B31" s="56" t="str">
        <x:v>base_40</x:v>
      </x:c>
      <x:c r="C31" s="56" t="str">
        <x:v>5</x:v>
      </x:c>
      <x:c r="D31" s="56" t="n">
        <x:v>30</x:v>
      </x:c>
      <x:c r="E31" s="56" t="str">
        <x:v>Recursos disponibles</x:v>
      </x:c>
      <x:c r="F31" s="56" t="str">
        <x:v>¿Con cuántas personas, sistemas/herramientas y tiempo oficial cuentas realmente?</x:v>
      </x:c>
      <x:c r="G31" s="56" t="str">
        <x:v>guided_textarea_or_choice_plus_text</x:v>
      </x:c>
      <x:c r="H31" s="56" t="str">
        <x:v>single_answer</x:v>
      </x:c>
      <x:c r="I31" s="56" t="str">
        <x:v>5.4, 5.5, 5.6</x:v>
      </x:c>
      <x:c r="J31" s="56" t="n">
        <x:v>3</x:v>
      </x:c>
      <x:c r="K31" s="56" t="n">
        <x:v>3</x:v>
      </x:c>
      <x:c r="L31" s="56" t="n">
        <x:v>0</x:v>
      </x:c>
      <x:c r="M31" s="56" t="n">
        <x:v>0</x:v>
      </x:c>
      <x:c r="N31" s="56" t="n">
        <x:v>0</x:v>
      </x:c>
      <x:c r="O31" s="56" t="str">
        <x:v>Siempre; separa recursos asignados de capacidad real.</x:v>
      </x:c>
      <x:c r="P31" s="56" t="str">
        <x:v>captura directa; confirmar si se deriva de preload</x:v>
      </x:c>
      <x:c r="Q31" s="56" t="str">
        <x:v>No convertir texto libre o inferencia IA en hecho estructural sin ruta canónica y estado epistemológico.</x:v>
      </x:c>
      <x:c r="R31" s="56" t="str">
        <x:v>Pasa si variables requeridas quedan capturadas/confirmadas, sin contradicción y con trazabilidad a nodos fuente.</x:v>
      </x:c>
      <x:c r="S31" s="56" t="str"/>
      <x:c r="T31" s="56" t="str"/>
      <x:c r="U31" s="56" t="str"/>
      <x:c r="V31" s="56" t="str">
        <x:v>Pantalla específica Bloque 5</x:v>
      </x:c>
      <x:c r="W31" s="66" t="str"/>
      <x:c r="X31" s="66" t="str">
        <x:v>En desarrollo</x:v>
      </x:c>
      <x:c r="Y31" s="66" t="str">
        <x:v>No evaluado</x:v>
      </x:c>
      <x:c r="Z31" s="66" t="str">
        <x:v>No evaluado</x:v>
      </x:c>
      <x:c r="AA31" s="66" t="str">
        <x:v>No ejecutado</x:v>
      </x:c>
      <x:c r="AB31" s="68" t="str">
        <x:f>IF(AND(X31="No evaluado",Y31="No evaluado",Z31="No evaluado",AA31="No ejecutado"),"No evaluado",IF(OR(X31="Bloqueado",Y31="Bloqueado",Z31="Bloqueado",AA31="Bloqueado"),"Bloqueado",IF(OR(Y31="No conforme",Z31="No conforme",AA31="Falló"),"No conforme",IF(AND(OR(X31="Implementado",X31="No aplica"),OR(Y31="Conforme",Y31="No aplica"),OR(Z31="Conforme",Z31="No aplica"),OR(AA31="Pasó",AA31="No aplica")),"Conforme","Parcial"))))</x:f>
        <x:v>Parcial</x:v>
      </x:c>
      <x:c r="AC31" s="66" t="str"/>
      <x:c r="AD31" s="66" t="str"/>
      <x:c r="AE31" s="66" t="str"/>
      <x:c r="AF31" s="56" t="str">
        <x:v>TR-002</x:v>
      </x:c>
      <x:c r="AG31" s="56" t="str">
        <x:v>Runtime_Interactions_Base_40!31</x:v>
      </x:c>
      <x:c r="AH31" s="56" t="str">
        <x:v>5be7bd2ed510c5f54ab0490535d11685f0ae981505575fdec38de8e4cdd3b2e0</x:v>
      </x:c>
    </x:row>
    <x:row r="32" ht="62" customHeight="1">
      <x:c r="A32" s="56" t="str">
        <x:v>B5-Q31</x:v>
      </x:c>
      <x:c r="B32" s="56" t="str">
        <x:v>base_40</x:v>
      </x:c>
      <x:c r="C32" s="56" t="str">
        <x:v>5</x:v>
      </x:c>
      <x:c r="D32" s="56" t="n">
        <x:v>31</x:v>
      </x:c>
      <x:c r="E32" s="56" t="str">
        <x:v>Recursos requeridos</x:v>
      </x:c>
      <x:c r="F32" s="56" t="str">
        <x:v>Para hacerlo bien y sin sacrificios recurrentes, ¿qué personas o tiempo necesitarías realmente?</x:v>
      </x:c>
      <x:c r="G32" s="56" t="str">
        <x:v>guided_textarea_or_choice_plus_text</x:v>
      </x:c>
      <x:c r="H32" s="56" t="str">
        <x:v>single_answer</x:v>
      </x:c>
      <x:c r="I32" s="56" t="str">
        <x:v>5.7, 5.8</x:v>
      </x:c>
      <x:c r="J32" s="56" t="n">
        <x:v>2</x:v>
      </x:c>
      <x:c r="K32" s="56" t="n">
        <x:v>2</x:v>
      </x:c>
      <x:c r="L32" s="56" t="n">
        <x:v>0</x:v>
      </x:c>
      <x:c r="M32" s="56" t="n">
        <x:v>0</x:v>
      </x:c>
      <x:c r="N32" s="56" t="n">
        <x:v>0</x:v>
      </x:c>
      <x:c r="O32" s="56" t="str">
        <x:v>Siempre; mide brecha operativa no solo volumen.</x:v>
      </x:c>
      <x:c r="P32" s="56" t="str">
        <x:v>captura directa; confirmar si se deriva de preload</x:v>
      </x:c>
      <x:c r="Q32" s="56" t="str">
        <x:v>No convertir texto libre o inferencia IA en hecho estructural sin ruta canónica y estado epistemológico.</x:v>
      </x:c>
      <x:c r="R32" s="56" t="str">
        <x:v>Pasa si variables requeridas quedan capturadas/confirmadas, sin contradicción y con trazabilidad a nodos fuente.</x:v>
      </x:c>
      <x:c r="S32" s="56" t="str"/>
      <x:c r="T32" s="56" t="str"/>
      <x:c r="U32" s="56" t="str"/>
      <x:c r="V32" s="56" t="str">
        <x:v>Pantalla específica Bloque 5</x:v>
      </x:c>
      <x:c r="W32" s="66" t="str"/>
      <x:c r="X32" s="66" t="str">
        <x:v>En desarrollo</x:v>
      </x:c>
      <x:c r="Y32" s="66" t="str">
        <x:v>No evaluado</x:v>
      </x:c>
      <x:c r="Z32" s="66" t="str">
        <x:v>No evaluado</x:v>
      </x:c>
      <x:c r="AA32" s="66" t="str">
        <x:v>No ejecutado</x:v>
      </x:c>
      <x:c r="AB32" s="68" t="str">
        <x:f>IF(AND(X32="No evaluado",Y32="No evaluado",Z32="No evaluado",AA32="No ejecutado"),"No evaluado",IF(OR(X32="Bloqueado",Y32="Bloqueado",Z32="Bloqueado",AA32="Bloqueado"),"Bloqueado",IF(OR(Y32="No conforme",Z32="No conforme",AA32="Falló"),"No conforme",IF(AND(OR(X32="Implementado",X32="No aplica"),OR(Y32="Conforme",Y32="No aplica"),OR(Z32="Conforme",Z32="No aplica"),OR(AA32="Pasó",AA32="No aplica")),"Conforme","Parcial"))))</x:f>
        <x:v>Parcial</x:v>
      </x:c>
      <x:c r="AC32" s="66" t="str"/>
      <x:c r="AD32" s="66" t="str"/>
      <x:c r="AE32" s="66" t="str"/>
      <x:c r="AF32" s="56" t="str">
        <x:v>TR-002</x:v>
      </x:c>
      <x:c r="AG32" s="56" t="str">
        <x:v>Runtime_Interactions_Base_40!32</x:v>
      </x:c>
      <x:c r="AH32" s="56" t="str">
        <x:v>5be7bd2ed510c5f54ab0490535d11685f0ae981505575fdec38de8e4cdd3b2e0</x:v>
      </x:c>
    </x:row>
    <x:row r="33" ht="62" customHeight="1">
      <x:c r="A33" s="56" t="str">
        <x:v>B5-Q32</x:v>
      </x:c>
      <x:c r="B33" s="56" t="str">
        <x:v>base_40</x:v>
      </x:c>
      <x:c r="C33" s="56" t="str">
        <x:v>5</x:v>
      </x:c>
      <x:c r="D33" s="56" t="n">
        <x:v>32</x:v>
      </x:c>
      <x:c r="E33" s="56" t="str">
        <x:v>Discrecionalidad y restricciones</x:v>
      </x:c>
      <x:c r="F33" s="56" t="str">
        <x:v>¿En qué decisiones tienes libertad y qué límites no puedes cruzar?</x:v>
      </x:c>
      <x:c r="G33" s="56" t="str">
        <x:v>guided_textarea_or_choice_plus_text</x:v>
      </x:c>
      <x:c r="H33" s="56" t="str">
        <x:v>single_answer</x:v>
      </x:c>
      <x:c r="I33" s="56" t="str">
        <x:v>5.9, 5.10</x:v>
      </x:c>
      <x:c r="J33" s="56" t="n">
        <x:v>2</x:v>
      </x:c>
      <x:c r="K33" s="56" t="n">
        <x:v>2</x:v>
      </x:c>
      <x:c r="L33" s="56" t="n">
        <x:v>0</x:v>
      </x:c>
      <x:c r="M33" s="56" t="n">
        <x:v>0</x:v>
      </x:c>
      <x:c r="N33" s="56" t="n">
        <x:v>0</x:v>
      </x:c>
      <x:c r="O33" s="56" t="str">
        <x:v>Siempre; conecta capacidad con margen regulatorio.</x:v>
      </x:c>
      <x:c r="P33" s="56" t="str">
        <x:v>captura directa; confirmar si se deriva de preload</x:v>
      </x:c>
      <x:c r="Q33" s="56" t="str">
        <x:v>No convertir texto libre o inferencia IA en hecho estructural sin ruta canónica y estado epistemológico.</x:v>
      </x:c>
      <x:c r="R33" s="56" t="str">
        <x:v>Pasa si variables requeridas quedan capturadas/confirmadas, sin contradicción y con trazabilidad a nodos fuente.</x:v>
      </x:c>
      <x:c r="S33" s="56" t="str"/>
      <x:c r="T33" s="56" t="str"/>
      <x:c r="U33" s="56" t="str"/>
      <x:c r="V33" s="56" t="str">
        <x:v>Pantalla específica Bloque 5</x:v>
      </x:c>
      <x:c r="W33" s="66" t="str"/>
      <x:c r="X33" s="66" t="str">
        <x:v>En desarrollo</x:v>
      </x:c>
      <x:c r="Y33" s="66" t="str">
        <x:v>No evaluado</x:v>
      </x:c>
      <x:c r="Z33" s="66" t="str">
        <x:v>No evaluado</x:v>
      </x:c>
      <x:c r="AA33" s="66" t="str">
        <x:v>No ejecutado</x:v>
      </x:c>
      <x:c r="AB33" s="68" t="str">
        <x:f>IF(AND(X33="No evaluado",Y33="No evaluado",Z33="No evaluado",AA33="No ejecutado"),"No evaluado",IF(OR(X33="Bloqueado",Y33="Bloqueado",Z33="Bloqueado",AA33="Bloqueado"),"Bloqueado",IF(OR(Y33="No conforme",Z33="No conforme",AA33="Falló"),"No conforme",IF(AND(OR(X33="Implementado",X33="No aplica"),OR(Y33="Conforme",Y33="No aplica"),OR(Z33="Conforme",Z33="No aplica"),OR(AA33="Pasó",AA33="No aplica")),"Conforme","Parcial"))))</x:f>
        <x:v>Parcial</x:v>
      </x:c>
      <x:c r="AC33" s="66" t="str"/>
      <x:c r="AD33" s="66" t="str"/>
      <x:c r="AE33" s="66" t="str"/>
      <x:c r="AF33" s="56" t="str">
        <x:v>TR-002</x:v>
      </x:c>
      <x:c r="AG33" s="56" t="str">
        <x:v>Runtime_Interactions_Base_40!33</x:v>
      </x:c>
      <x:c r="AH33" s="56" t="str">
        <x:v>5be7bd2ed510c5f54ab0490535d11685f0ae981505575fdec38de8e4cdd3b2e0</x:v>
      </x:c>
    </x:row>
    <x:row r="34" ht="62" customHeight="1">
      <x:c r="A34" s="56" t="str">
        <x:v>B5-Q33</x:v>
      </x:c>
      <x:c r="B34" s="56" t="str">
        <x:v>base_40</x:v>
      </x:c>
      <x:c r="C34" s="56" t="str">
        <x:v>5</x:v>
      </x:c>
      <x:c r="D34" s="56" t="n">
        <x:v>33</x:v>
      </x:c>
      <x:c r="E34" s="56" t="str">
        <x:v>Sacrificio, variedad residual y sostenibilidad</x:v>
      </x:c>
      <x:c r="F34" s="56" t="str">
        <x:v>Para cumplir con los límites actuales, ¿qué sacrificas, qué casos no puedes absorber y qué tan sostenible es?</x:v>
      </x:c>
      <x:c r="G34" s="56" t="str">
        <x:v>compound_card_with_separable_subfields</x:v>
      </x:c>
      <x:c r="H34" s="56" t="str">
        <x:v>human_sacrifice_or_tradeoff; residual_variety_not_absorbed; sustainability_assessment</x:v>
      </x:c>
      <x:c r="I34" s="56" t="str">
        <x:v>5.11, 5.12, 5.14</x:v>
      </x:c>
      <x:c r="J34" s="56" t="n">
        <x:v>3</x:v>
      </x:c>
      <x:c r="K34" s="56" t="n">
        <x:v>3</x:v>
      </x:c>
      <x:c r="L34" s="56" t="n">
        <x:v>0</x:v>
      </x:c>
      <x:c r="M34" s="56" t="n">
        <x:v>0</x:v>
      </x:c>
      <x:c r="N34" s="56" t="n">
        <x:v>0</x:v>
      </x:c>
      <x:c r="O34" s="56" t="str">
        <x:v>Siempre; si algo se escapa o no es sostenible, abre B5-C15.</x:v>
      </x:c>
      <x:c r="P34" s="56" t="str">
        <x:v>captura directa; confirmar si se deriva de preload</x:v>
      </x:c>
      <x:c r="Q34" s="56" t="str">
        <x:v>No convertir texto libre o inferencia IA en hecho estructural sin ruta canónica y estado epistemológico.</x:v>
      </x:c>
      <x:c r="R34" s="56" t="str">
        <x:v>Pasa si variables requeridas quedan capturadas/confirmadas, sin contradicción y con trazabilidad a nodos fuente.</x:v>
      </x:c>
      <x:c r="S34" s="56" t="str">
        <x:v>Mostrar como una tarjeta única con subcampos editables/chips; no como caja de texto indiferenciada.</x:v>
      </x:c>
      <x:c r="T34" s="56" t="str">
        <x:v>Persistir cada subcampo como variable separable con su provenance y confidence.</x:v>
      </x:c>
      <x:c r="U34" s="56" t="str">
        <x:v>La carga visible parece menor, pero se oculta ambigüedad y se pierde trazabilidad.</x:v>
      </x:c>
      <x:c r="V34" s="56" t="str">
        <x:v>Pantalla específica Bloque 5</x:v>
      </x:c>
      <x:c r="W34" s="66" t="str"/>
      <x:c r="X34" s="66" t="str">
        <x:v>En desarrollo</x:v>
      </x:c>
      <x:c r="Y34" s="66" t="str">
        <x:v>No evaluado</x:v>
      </x:c>
      <x:c r="Z34" s="66" t="str">
        <x:v>No evaluado</x:v>
      </x:c>
      <x:c r="AA34" s="66" t="str">
        <x:v>No ejecutado</x:v>
      </x:c>
      <x:c r="AB34" s="68" t="str">
        <x:f>IF(AND(X34="No evaluado",Y34="No evaluado",Z34="No evaluado",AA34="No ejecutado"),"No evaluado",IF(OR(X34="Bloqueado",Y34="Bloqueado",Z34="Bloqueado",AA34="Bloqueado"),"Bloqueado",IF(OR(Y34="No conforme",Z34="No conforme",AA34="Falló"),"No conforme",IF(AND(OR(X34="Implementado",X34="No aplica"),OR(Y34="Conforme",Y34="No aplica"),OR(Z34="Conforme",Z34="No aplica"),OR(AA34="Pasó",AA34="No aplica")),"Conforme","Parcial"))))</x:f>
        <x:v>Parcial</x:v>
      </x:c>
      <x:c r="AC34" s="66" t="str"/>
      <x:c r="AD34" s="66" t="str"/>
      <x:c r="AE34" s="66" t="str"/>
      <x:c r="AF34" s="56" t="str">
        <x:v>TR-002</x:v>
      </x:c>
      <x:c r="AG34" s="56" t="str">
        <x:v>Runtime_Interactions_Base_40!34</x:v>
      </x:c>
      <x:c r="AH34" s="56" t="str">
        <x:v>5be7bd2ed510c5f54ab0490535d11685f0ae981505575fdec38de8e4cdd3b2e0</x:v>
      </x:c>
    </x:row>
    <x:row r="35" ht="62" customHeight="1">
      <x:c r="A35" s="56" t="str">
        <x:v>B6-Q34</x:v>
      </x:c>
      <x:c r="B35" s="56" t="str">
        <x:v>base_40</x:v>
      </x:c>
      <x:c r="C35" s="56" t="str">
        <x:v>6</x:v>
      </x:c>
      <x:c r="D35" s="56" t="n">
        <x:v>34</x:v>
      </x:c>
      <x:c r="E35" s="56" t="str">
        <x:v>Workaround principal</x:v>
      </x:c>
      <x:c r="F35" s="56" t="str">
        <x:v>Cuando esto no sale como debería, ¿qué haces tú para que no se caiga?</x:v>
      </x:c>
      <x:c r="G35" s="56" t="str">
        <x:v>compound_card_with_separable_subfields</x:v>
      </x:c>
      <x:c r="H35" s="56" t="str">
        <x:v>workaround_action; trigger; local_owner</x:v>
      </x:c>
      <x:c r="I35" s="56" t="str">
        <x:v>6.1</x:v>
      </x:c>
      <x:c r="J35" s="56" t="n">
        <x:v>1</x:v>
      </x:c>
      <x:c r="K35" s="56" t="n">
        <x:v>1</x:v>
      </x:c>
      <x:c r="L35" s="56" t="n">
        <x:v>0</x:v>
      </x:c>
      <x:c r="M35" s="56" t="n">
        <x:v>0</x:v>
      </x:c>
      <x:c r="N35" s="56" t="n">
        <x:v>0</x:v>
      </x:c>
      <x:c r="O35" s="56" t="str">
        <x:v>Siempre; capta soporte oculto o reparación local.</x:v>
      </x:c>
      <x:c r="P35" s="56" t="str">
        <x:v>captura directa; confirmar si se deriva de preload</x:v>
      </x:c>
      <x:c r="Q35" s="56" t="str">
        <x:v>No convertir texto libre o inferencia IA en hecho estructural sin ruta canónica y estado epistemológico.</x:v>
      </x:c>
      <x:c r="R35" s="56" t="str">
        <x:v>Pasa si variables requeridas quedan capturadas/confirmadas, sin contradicción y con trazabilidad a nodos fuente.</x:v>
      </x:c>
      <x:c r="S35" s="56" t="str">
        <x:v>Mostrar como una tarjeta única con subcampos editables/chips; no como caja de texto indiferenciada.</x:v>
      </x:c>
      <x:c r="T35" s="56" t="str">
        <x:v>Persistir cada subcampo como variable separable con su provenance y confidence.</x:v>
      </x:c>
      <x:c r="U35" s="56" t="str">
        <x:v>La carga visible parece menor, pero se oculta ambigüedad y se pierde trazabilidad.</x:v>
      </x:c>
      <x:c r="V35" s="56" t="str">
        <x:v>Pantalla específica Bloque 6</x:v>
      </x:c>
      <x:c r="W35" s="66" t="str"/>
      <x:c r="X35" s="66" t="str">
        <x:v>En desarrollo</x:v>
      </x:c>
      <x:c r="Y35" s="66" t="str">
        <x:v>No evaluado</x:v>
      </x:c>
      <x:c r="Z35" s="66" t="str">
        <x:v>No evaluado</x:v>
      </x:c>
      <x:c r="AA35" s="66" t="str">
        <x:v>No ejecutado</x:v>
      </x:c>
      <x:c r="AB35" s="68" t="str">
        <x:f>IF(AND(X35="No evaluado",Y35="No evaluado",Z35="No evaluado",AA35="No ejecutado"),"No evaluado",IF(OR(X35="Bloqueado",Y35="Bloqueado",Z35="Bloqueado",AA35="Bloqueado"),"Bloqueado",IF(OR(Y35="No conforme",Z35="No conforme",AA35="Falló"),"No conforme",IF(AND(OR(X35="Implementado",X35="No aplica"),OR(Y35="Conforme",Y35="No aplica"),OR(Z35="Conforme",Z35="No aplica"),OR(AA35="Pasó",AA35="No aplica")),"Conforme","Parcial"))))</x:f>
        <x:v>Parcial</x:v>
      </x:c>
      <x:c r="AC35" s="66" t="str"/>
      <x:c r="AD35" s="66" t="str"/>
      <x:c r="AE35" s="66" t="str"/>
      <x:c r="AF35" s="56" t="str">
        <x:v>TR-002</x:v>
      </x:c>
      <x:c r="AG35" s="56" t="str">
        <x:v>Runtime_Interactions_Base_40!35</x:v>
      </x:c>
      <x:c r="AH35" s="56" t="str">
        <x:v>5be7bd2ed510c5f54ab0490535d11685f0ae981505575fdec38de8e4cdd3b2e0</x:v>
      </x:c>
    </x:row>
    <x:row r="36" ht="62" customHeight="1">
      <x:c r="A36" s="56" t="str">
        <x:v>B6-Q35</x:v>
      </x:c>
      <x:c r="B36" s="56" t="str">
        <x:v>base_40</x:v>
      </x:c>
      <x:c r="C36" s="56" t="str">
        <x:v>6</x:v>
      </x:c>
      <x:c r="D36" s="56" t="n">
        <x:v>35</x:v>
      </x:c>
      <x:c r="E36" s="56" t="str">
        <x:v>Retrabajo</x:v>
      </x:c>
      <x:c r="F36" s="56" t="str">
        <x:v>¿Hay trabajo que tengas que hacer más de una vez, algo que regresa o hay que corregir?</x:v>
      </x:c>
      <x:c r="G36" s="56" t="str">
        <x:v>guided_textarea_or_choice_plus_text</x:v>
      </x:c>
      <x:c r="H36" s="56" t="str">
        <x:v>single_answer</x:v>
      </x:c>
      <x:c r="I36" s="56" t="str">
        <x:v>6.2</x:v>
      </x:c>
      <x:c r="J36" s="56" t="n">
        <x:v>1</x:v>
      </x:c>
      <x:c r="K36" s="56" t="n">
        <x:v>1</x:v>
      </x:c>
      <x:c r="L36" s="56" t="n">
        <x:v>0</x:v>
      </x:c>
      <x:c r="M36" s="56" t="n">
        <x:v>0</x:v>
      </x:c>
      <x:c r="N36" s="56" t="n">
        <x:v>0</x:v>
      </x:c>
      <x:c r="O36" s="56" t="str">
        <x:v>Siempre; si sí, abre B6-C16.</x:v>
      </x:c>
      <x:c r="P36" s="56" t="str">
        <x:v>captura directa; confirmar si se deriva de preload</x:v>
      </x:c>
      <x:c r="Q36" s="56" t="str">
        <x:v>No convertir texto libre o inferencia IA en hecho estructural sin ruta canónica y estado epistemológico.</x:v>
      </x:c>
      <x:c r="R36" s="56" t="str">
        <x:v>Pasa si variables requeridas quedan capturadas/confirmadas, sin contradicción y con trazabilidad a nodos fuente.</x:v>
      </x:c>
      <x:c r="S36" s="56" t="str"/>
      <x:c r="T36" s="56" t="str"/>
      <x:c r="U36" s="56" t="str"/>
      <x:c r="V36" s="56" t="str">
        <x:v>Pantalla específica Bloque 6</x:v>
      </x:c>
      <x:c r="W36" s="66" t="str"/>
      <x:c r="X36" s="66" t="str">
        <x:v>En desarrollo</x:v>
      </x:c>
      <x:c r="Y36" s="66" t="str">
        <x:v>No evaluado</x:v>
      </x:c>
      <x:c r="Z36" s="66" t="str">
        <x:v>No evaluado</x:v>
      </x:c>
      <x:c r="AA36" s="66" t="str">
        <x:v>No ejecutado</x:v>
      </x:c>
      <x:c r="AB36" s="68" t="str">
        <x:f>IF(AND(X36="No evaluado",Y36="No evaluado",Z36="No evaluado",AA36="No ejecutado"),"No evaluado",IF(OR(X36="Bloqueado",Y36="Bloqueado",Z36="Bloqueado",AA36="Bloqueado"),"Bloqueado",IF(OR(Y36="No conforme",Z36="No conforme",AA36="Falló"),"No conforme",IF(AND(OR(X36="Implementado",X36="No aplica"),OR(Y36="Conforme",Y36="No aplica"),OR(Z36="Conforme",Z36="No aplica"),OR(AA36="Pasó",AA36="No aplica")),"Conforme","Parcial"))))</x:f>
        <x:v>Parcial</x:v>
      </x:c>
      <x:c r="AC36" s="66" t="str"/>
      <x:c r="AD36" s="66" t="str"/>
      <x:c r="AE36" s="66" t="str"/>
      <x:c r="AF36" s="56" t="str">
        <x:v>TR-002</x:v>
      </x:c>
      <x:c r="AG36" s="56" t="str">
        <x:v>Runtime_Interactions_Base_40!36</x:v>
      </x:c>
      <x:c r="AH36" s="56" t="str">
        <x:v>5be7bd2ed510c5f54ab0490535d11685f0ae981505575fdec38de8e4cdd3b2e0</x:v>
      </x:c>
    </x:row>
    <x:row r="37" ht="62" customHeight="1">
      <x:c r="A37" s="56" t="str">
        <x:v>B6-Q36</x:v>
      </x:c>
      <x:c r="B37" s="56" t="str">
        <x:v>base_40</x:v>
      </x:c>
      <x:c r="C37" s="56" t="str">
        <x:v>6</x:v>
      </x:c>
      <x:c r="D37" s="56" t="n">
        <x:v>36</x:v>
      </x:c>
      <x:c r="E37" s="56" t="str">
        <x:v>Información faltante y regla informal</x:v>
      </x:c>
      <x:c r="F37" s="56" t="str">
        <x:v>¿Hay información/aprobación/claridad que no llega cuando se necesita, o algo que haces fuera del procedimiento porque es la única forma?</x:v>
      </x:c>
      <x:c r="G37" s="56" t="str">
        <x:v>guided_textarea_or_choice_plus_text</x:v>
      </x:c>
      <x:c r="H37" s="56" t="str">
        <x:v>single_answer</x:v>
      </x:c>
      <x:c r="I37" s="56" t="str">
        <x:v>6.3, 6.4</x:v>
      </x:c>
      <x:c r="J37" s="56" t="n">
        <x:v>2</x:v>
      </x:c>
      <x:c r="K37" s="56" t="n">
        <x:v>2</x:v>
      </x:c>
      <x:c r="L37" s="56" t="n">
        <x:v>0</x:v>
      </x:c>
      <x:c r="M37" s="56" t="n">
        <x:v>0</x:v>
      </x:c>
      <x:c r="N37" s="56" t="n">
        <x:v>0</x:v>
      </x:c>
      <x:c r="O37" s="56" t="str">
        <x:v>Siempre; si existe, abre B6-C17.</x:v>
      </x:c>
      <x:c r="P37" s="56" t="str">
        <x:v>captura directa; confirmar si se deriva de preload</x:v>
      </x:c>
      <x:c r="Q37" s="56" t="str">
        <x:v>No convertir texto libre o inferencia IA en hecho estructural sin ruta canónica y estado epistemológico.</x:v>
      </x:c>
      <x:c r="R37" s="56" t="str">
        <x:v>Pasa si variables requeridas quedan capturadas/confirmadas, sin contradicción y con trazabilidad a nodos fuente.</x:v>
      </x:c>
      <x:c r="S37" s="56" t="str"/>
      <x:c r="T37" s="56" t="str"/>
      <x:c r="U37" s="56" t="str"/>
      <x:c r="V37" s="56" t="str">
        <x:v>Pantalla específica Bloque 6</x:v>
      </x:c>
      <x:c r="W37" s="66" t="str"/>
      <x:c r="X37" s="66" t="str">
        <x:v>En desarrollo</x:v>
      </x:c>
      <x:c r="Y37" s="66" t="str">
        <x:v>No evaluado</x:v>
      </x:c>
      <x:c r="Z37" s="66" t="str">
        <x:v>No evaluado</x:v>
      </x:c>
      <x:c r="AA37" s="66" t="str">
        <x:v>No ejecutado</x:v>
      </x:c>
      <x:c r="AB37" s="68" t="str">
        <x:f>IF(AND(X37="No evaluado",Y37="No evaluado",Z37="No evaluado",AA37="No ejecutado"),"No evaluado",IF(OR(X37="Bloqueado",Y37="Bloqueado",Z37="Bloqueado",AA37="Bloqueado"),"Bloqueado",IF(OR(Y37="No conforme",Z37="No conforme",AA37="Falló"),"No conforme",IF(AND(OR(X37="Implementado",X37="No aplica"),OR(Y37="Conforme",Y37="No aplica"),OR(Z37="Conforme",Z37="No aplica"),OR(AA37="Pasó",AA37="No aplica")),"Conforme","Parcial"))))</x:f>
        <x:v>Parcial</x:v>
      </x:c>
      <x:c r="AC37" s="66" t="str"/>
      <x:c r="AD37" s="66" t="str"/>
      <x:c r="AE37" s="66" t="str"/>
      <x:c r="AF37" s="56" t="str">
        <x:v>TR-002</x:v>
      </x:c>
      <x:c r="AG37" s="56" t="str">
        <x:v>Runtime_Interactions_Base_40!37</x:v>
      </x:c>
      <x:c r="AH37" s="56" t="str">
        <x:v>5be7bd2ed510c5f54ab0490535d11685f0ae981505575fdec38de8e4cdd3b2e0</x:v>
      </x:c>
    </x:row>
    <x:row r="38" ht="62" customHeight="1">
      <x:c r="A38" s="56" t="str">
        <x:v>B6-Q37</x:v>
      </x:c>
      <x:c r="B38" s="56" t="str">
        <x:v>base_40</x:v>
      </x:c>
      <x:c r="C38" s="56" t="str">
        <x:v>6</x:v>
      </x:c>
      <x:c r="D38" s="56" t="n">
        <x:v>37</x:v>
      </x:c>
      <x:c r="E38" s="56" t="str">
        <x:v>Sacrificio, desgaste y costo de esfuerzo</x:v>
      </x:c>
      <x:c r="F38" s="56" t="str">
        <x:v>¿Qué sacrificas para que funcione, cómo te afecta con el tiempo y cuánto esfuerzo cuesta hacerlo bien?</x:v>
      </x:c>
      <x:c r="G38" s="56" t="str">
        <x:v>guided_textarea_or_choice_plus_text</x:v>
      </x:c>
      <x:c r="H38" s="56" t="str">
        <x:v>single_answer</x:v>
      </x:c>
      <x:c r="I38" s="56" t="str">
        <x:v>6.5, 6.6, 6.7</x:v>
      </x:c>
      <x:c r="J38" s="56" t="n">
        <x:v>3</x:v>
      </x:c>
      <x:c r="K38" s="56" t="n">
        <x:v>3</x:v>
      </x:c>
      <x:c r="L38" s="56" t="n">
        <x:v>0</x:v>
      </x:c>
      <x:c r="M38" s="56" t="n">
        <x:v>0</x:v>
      </x:c>
      <x:c r="N38" s="56" t="n">
        <x:v>0</x:v>
      </x:c>
      <x:c r="O38" s="56" t="str">
        <x:v>Siempre; si hay desgaste o costo normalizado, abre B6-C18.</x:v>
      </x:c>
      <x:c r="P38" s="56" t="str">
        <x:v>captura directa; confirmar si se deriva de preload</x:v>
      </x:c>
      <x:c r="Q38" s="56" t="str">
        <x:v>No convertir texto libre o inferencia IA en hecho estructural sin ruta canónica y estado epistemológico.</x:v>
      </x:c>
      <x:c r="R38" s="56" t="str">
        <x:v>Pasa si variables requeridas quedan capturadas/confirmadas, sin contradicción y con trazabilidad a nodos fuente.</x:v>
      </x:c>
      <x:c r="S38" s="56" t="str"/>
      <x:c r="T38" s="56" t="str"/>
      <x:c r="U38" s="56" t="str"/>
      <x:c r="V38" s="56" t="str">
        <x:v>Pantalla específica Bloque 6</x:v>
      </x:c>
      <x:c r="W38" s="66" t="str"/>
      <x:c r="X38" s="66" t="str">
        <x:v>En desarrollo</x:v>
      </x:c>
      <x:c r="Y38" s="66" t="str">
        <x:v>No evaluado</x:v>
      </x:c>
      <x:c r="Z38" s="66" t="str">
        <x:v>No evaluado</x:v>
      </x:c>
      <x:c r="AA38" s="66" t="str">
        <x:v>No ejecutado</x:v>
      </x:c>
      <x:c r="AB38" s="68" t="str">
        <x:f>IF(AND(X38="No evaluado",Y38="No evaluado",Z38="No evaluado",AA38="No ejecutado"),"No evaluado",IF(OR(X38="Bloqueado",Y38="Bloqueado",Z38="Bloqueado",AA38="Bloqueado"),"Bloqueado",IF(OR(Y38="No conforme",Z38="No conforme",AA38="Falló"),"No conforme",IF(AND(OR(X38="Implementado",X38="No aplica"),OR(Y38="Conforme",Y38="No aplica"),OR(Z38="Conforme",Z38="No aplica"),OR(AA38="Pasó",AA38="No aplica")),"Conforme","Parcial"))))</x:f>
        <x:v>Parcial</x:v>
      </x:c>
      <x:c r="AC38" s="66" t="str"/>
      <x:c r="AD38" s="66" t="str"/>
      <x:c r="AE38" s="66" t="str"/>
      <x:c r="AF38" s="56" t="str">
        <x:v>TR-002</x:v>
      </x:c>
      <x:c r="AG38" s="56" t="str">
        <x:v>Runtime_Interactions_Base_40!38</x:v>
      </x:c>
      <x:c r="AH38" s="56" t="str">
        <x:v>5be7bd2ed510c5f54ab0490535d11685f0ae981505575fdec38de8e4cdd3b2e0</x:v>
      </x:c>
    </x:row>
    <x:row r="39" ht="62" customHeight="1">
      <x:c r="A39" s="56" t="str">
        <x:v>B6-Q38</x:v>
      </x:c>
      <x:c r="B39" s="56" t="str">
        <x:v>base_40</x:v>
      </x:c>
      <x:c r="C39" s="56" t="str">
        <x:v>6</x:v>
      </x:c>
      <x:c r="D39" s="56" t="n">
        <x:v>38</x:v>
      </x:c>
      <x:c r="E39" s="56" t="str">
        <x:v>Patrón repetitivo y mecanismo de compensación</x:v>
      </x:c>
      <x:c r="F39" s="56" t="str">
        <x:v>¿Hay algo que siempre falla bajo las mismas circunstancias, qué trabajo extra absorbes y cuál es tu mecanismo principal para sostenerlo?</x:v>
      </x:c>
      <x:c r="G39" s="56" t="str">
        <x:v>compound_card_with_separable_subfields</x:v>
      </x:c>
      <x:c r="H39" s="56" t="str">
        <x:v>repetitive_failure_pattern; extra_work_absorbed; compensation_primary_mechanism</x:v>
      </x:c>
      <x:c r="I39" s="56" t="str">
        <x:v>6.9, 6.10, 6.11</x:v>
      </x:c>
      <x:c r="J39" s="56" t="n">
        <x:v>3</x:v>
      </x:c>
      <x:c r="K39" s="56" t="n">
        <x:v>3</x:v>
      </x:c>
      <x:c r="L39" s="56" t="n">
        <x:v>0</x:v>
      </x:c>
      <x:c r="M39" s="56" t="n">
        <x:v>0</x:v>
      </x:c>
      <x:c r="N39" s="56" t="n">
        <x:v>0</x:v>
      </x:c>
      <x:c r="O39" s="56" t="str">
        <x:v>Siempre; si hay patrón recurrente, abre B6-C19.</x:v>
      </x:c>
      <x:c r="P39" s="56" t="str">
        <x:v>captura directa; confirmar si se deriva de preload</x:v>
      </x:c>
      <x:c r="Q39" s="56" t="str">
        <x:v>No convertir texto libre o inferencia IA en hecho estructural sin ruta canónica y estado epistemológico.</x:v>
      </x:c>
      <x:c r="R39" s="56" t="str">
        <x:v>Pasa si variables requeridas quedan capturadas/confirmadas, sin contradicción y con trazabilidad a nodos fuente.</x:v>
      </x:c>
      <x:c r="S39" s="56" t="str">
        <x:v>Mostrar como una tarjeta única con subcampos editables/chips; no como caja de texto indiferenciada.</x:v>
      </x:c>
      <x:c r="T39" s="56" t="str">
        <x:v>Persistir cada subcampo como variable separable con su provenance y confidence.</x:v>
      </x:c>
      <x:c r="U39" s="56" t="str">
        <x:v>La carga visible parece menor, pero se oculta ambigüedad y se pierde trazabilidad.</x:v>
      </x:c>
      <x:c r="V39" s="56" t="str">
        <x:v>Pantalla específica Bloque 6</x:v>
      </x:c>
      <x:c r="W39" s="66" t="str"/>
      <x:c r="X39" s="66" t="str">
        <x:v>En desarrollo</x:v>
      </x:c>
      <x:c r="Y39" s="66" t="str">
        <x:v>No evaluado</x:v>
      </x:c>
      <x:c r="Z39" s="66" t="str">
        <x:v>No evaluado</x:v>
      </x:c>
      <x:c r="AA39" s="66" t="str">
        <x:v>No ejecutado</x:v>
      </x:c>
      <x:c r="AB39" s="68" t="str">
        <x:f>IF(AND(X39="No evaluado",Y39="No evaluado",Z39="No evaluado",AA39="No ejecutado"),"No evaluado",IF(OR(X39="Bloqueado",Y39="Bloqueado",Z39="Bloqueado",AA39="Bloqueado"),"Bloqueado",IF(OR(Y39="No conforme",Z39="No conforme",AA39="Falló"),"No conforme",IF(AND(OR(X39="Implementado",X39="No aplica"),OR(Y39="Conforme",Y39="No aplica"),OR(Z39="Conforme",Z39="No aplica"),OR(AA39="Pasó",AA39="No aplica")),"Conforme","Parcial"))))</x:f>
        <x:v>Parcial</x:v>
      </x:c>
      <x:c r="AC39" s="66" t="str"/>
      <x:c r="AD39" s="66" t="str"/>
      <x:c r="AE39" s="66" t="str"/>
      <x:c r="AF39" s="56" t="str">
        <x:v>TR-002</x:v>
      </x:c>
      <x:c r="AG39" s="56" t="str">
        <x:v>Runtime_Interactions_Base_40!39</x:v>
      </x:c>
      <x:c r="AH39" s="56" t="str">
        <x:v>5be7bd2ed510c5f54ab0490535d11685f0ae981505575fdec38de8e4cdd3b2e0</x:v>
      </x:c>
    </x:row>
    <x:row r="40" ht="62" customHeight="1">
      <x:c r="A40" s="56" t="str">
        <x:v>B7-Q39</x:v>
      </x:c>
      <x:c r="B40" s="56" t="str">
        <x:v>base_40</x:v>
      </x:c>
      <x:c r="C40" s="56" t="str">
        <x:v>7</x:v>
      </x:c>
      <x:c r="D40" s="56" t="n">
        <x:v>39</x:v>
      </x:c>
      <x:c r="E40" s="56" t="str">
        <x:v>Confirmación de lectura preliminar</x:v>
      </x:c>
      <x:c r="F40" s="56" t="str">
        <x:v>La lectura preliminar sugiere que esto es principalmente [tipo sugerido] y que su misión es [misión sugerida]. ¿Es correcto o lo cambiarías?</x:v>
      </x:c>
      <x:c r="G40" s="56" t="str">
        <x:v>confirmation_card_with_correction</x:v>
      </x:c>
      <x:c r="H40" s="56" t="str">
        <x:v>suggested_type; suggested_mission; user_confirmation_or_correction</x:v>
      </x:c>
      <x:c r="I40" s="56" t="str">
        <x:v>7.0, 7.1, 7.4</x:v>
      </x:c>
      <x:c r="J40" s="56" t="n">
        <x:v>3</x:v>
      </x:c>
      <x:c r="K40" s="56" t="n">
        <x:v>2</x:v>
      </x:c>
      <x:c r="L40" s="56" t="n">
        <x:v>0</x:v>
      </x:c>
      <x:c r="M40" s="56" t="n">
        <x:v>0</x:v>
      </x:c>
      <x:c r="N40" s="56" t="n">
        <x:v>1</x:v>
      </x:c>
      <x:c r="O40" s="56" t="str">
        <x:v>Microconfirmación gobernada; visible solo si la preclasificación tiene confianza suficiente o necesita corrección breve.</x:v>
      </x:c>
      <x:c r="P40" s="56" t="str">
        <x:v>confirmar si inferido o baja confianza</x:v>
      </x:c>
      <x:c r="Q40" s="56" t="str">
        <x:v>No convertir texto libre o inferencia IA en hecho estructural sin ruta canónica y estado epistemológico.</x:v>
      </x:c>
      <x:c r="R40" s="56" t="str">
        <x:v>Pasa si variables requeridas quedan capturadas/confirmadas, sin contradicción y con trazabilidad a nodos fuente.</x:v>
      </x:c>
      <x:c r="S40" s="56" t="str">
        <x:v>Mostrar como una tarjeta única con subcampos editables/chips; no como caja de texto indiferenciada.</x:v>
      </x:c>
      <x:c r="T40" s="56" t="str">
        <x:v>Persistir cada subcampo como variable separable con su provenance y confidence.</x:v>
      </x:c>
      <x:c r="U40" s="56" t="str">
        <x:v>La carga visible parece menor, pero se oculta ambigüedad y se pierde trazabilidad.</x:v>
      </x:c>
      <x:c r="V40" s="56" t="str">
        <x:v>Pantalla específica Bloque 7</x:v>
      </x:c>
      <x:c r="W40" s="66" t="str"/>
      <x:c r="X40" s="66" t="str">
        <x:v>En desarrollo</x:v>
      </x:c>
      <x:c r="Y40" s="66" t="str">
        <x:v>No evaluado</x:v>
      </x:c>
      <x:c r="Z40" s="66" t="str">
        <x:v>No evaluado</x:v>
      </x:c>
      <x:c r="AA40" s="66" t="str">
        <x:v>No ejecutado</x:v>
      </x:c>
      <x:c r="AB40" s="68" t="str">
        <x:f>IF(AND(X40="No evaluado",Y40="No evaluado",Z40="No evaluado",AA40="No ejecutado"),"No evaluado",IF(OR(X40="Bloqueado",Y40="Bloqueado",Z40="Bloqueado",AA40="Bloqueado"),"Bloqueado",IF(OR(Y40="No conforme",Z40="No conforme",AA40="Falló"),"No conforme",IF(AND(OR(X40="Implementado",X40="No aplica"),OR(Y40="Conforme",Y40="No aplica"),OR(Z40="Conforme",Z40="No aplica"),OR(AA40="Pasó",AA40="No aplica")),"Conforme","Parcial"))))</x:f>
        <x:v>Parcial</x:v>
      </x:c>
      <x:c r="AC40" s="66" t="str"/>
      <x:c r="AD40" s="66" t="str"/>
      <x:c r="AE40" s="66" t="str"/>
      <x:c r="AF40" s="56" t="str">
        <x:v>TR-002</x:v>
      </x:c>
      <x:c r="AG40" s="56" t="str">
        <x:v>Runtime_Interactions_Base_40!40</x:v>
      </x:c>
      <x:c r="AH40" s="56" t="str">
        <x:v>5be7bd2ed510c5f54ab0490535d11685f0ae981505575fdec38de8e4cdd3b2e0</x:v>
      </x:c>
    </x:row>
    <x:row r="41" ht="62" customHeight="1">
      <x:c r="A41" s="56" t="str">
        <x:v>B7-Q40</x:v>
      </x:c>
      <x:c r="B41" s="56" t="str">
        <x:v>base_40</x:v>
      </x:c>
      <x:c r="C41" s="56" t="str">
        <x:v>7</x:v>
      </x:c>
      <x:c r="D41" s="56" t="n">
        <x:v>40</x:v>
      </x:c>
      <x:c r="E41" s="56" t="str">
        <x:v>Microconfirmación de posición o tensión cruzada</x:v>
      </x:c>
      <x:c r="F41" s="56" t="str">
        <x:v>En el flujo, ¿esto opera como primer paso, paso intermedio o cierre? Si además ves tensión entre áreas/personas, ¿es parte relevante del trabajo?</x:v>
      </x:c>
      <x:c r="G41" s="56" t="str">
        <x:v>confirmation_card_with_correction</x:v>
      </x:c>
      <x:c r="H41" s="56" t="str">
        <x:v>chain_position; interpersonal_tension_signal; observable_relevance</x:v>
      </x:c>
      <x:c r="I41" s="56" t="str">
        <x:v>7.0a, 7.2, 7.3, 7.3a</x:v>
      </x:c>
      <x:c r="J41" s="56" t="n">
        <x:v>4</x:v>
      </x:c>
      <x:c r="K41" s="56" t="n">
        <x:v>3</x:v>
      </x:c>
      <x:c r="L41" s="56" t="n">
        <x:v>0</x:v>
      </x:c>
      <x:c r="M41" s="56" t="n">
        <x:v>0</x:v>
      </x:c>
      <x:c r="N41" s="56" t="n">
        <x:v>1</x:v>
      </x:c>
      <x:c r="O41" s="56" t="str">
        <x:v>Microconfirmación gobernada; no diagnostica AHE/VSM. Si persiste ambigüedad, reentry o manual review.</x:v>
      </x:c>
      <x:c r="P41" s="56" t="str">
        <x:v>confirmar si inferido o baja confianza</x:v>
      </x:c>
      <x:c r="Q41" s="56" t="str">
        <x:v>No convertir texto libre o inferencia IA en hecho estructural sin ruta canónica y estado epistemológico.</x:v>
      </x:c>
      <x:c r="R41" s="56" t="str">
        <x:v>Pasa si variables requeridas quedan capturadas/confirmadas, sin contradicción y con trazabilidad a nodos fuente.</x:v>
      </x:c>
      <x:c r="S41" s="56" t="str">
        <x:v>Mostrar como una tarjeta única con subcampos editables/chips; no como caja de texto indiferenciada.</x:v>
      </x:c>
      <x:c r="T41" s="56" t="str">
        <x:v>Persistir cada subcampo como variable separable con su provenance y confidence.</x:v>
      </x:c>
      <x:c r="U41" s="56" t="str">
        <x:v>La carga visible parece menor, pero se oculta ambigüedad y se pierde trazabilidad.</x:v>
      </x:c>
      <x:c r="V41" s="56" t="str">
        <x:v>Pantalla específica Bloque 7</x:v>
      </x:c>
      <x:c r="W41" s="66" t="str"/>
      <x:c r="X41" s="66" t="str">
        <x:v>En desarrollo</x:v>
      </x:c>
      <x:c r="Y41" s="66" t="str">
        <x:v>No evaluado</x:v>
      </x:c>
      <x:c r="Z41" s="66" t="str">
        <x:v>No evaluado</x:v>
      </x:c>
      <x:c r="AA41" s="66" t="str">
        <x:v>No ejecutado</x:v>
      </x:c>
      <x:c r="AB41" s="68" t="str">
        <x:f>IF(AND(X41="No evaluado",Y41="No evaluado",Z41="No evaluado",AA41="No ejecutado"),"No evaluado",IF(OR(X41="Bloqueado",Y41="Bloqueado",Z41="Bloqueado",AA41="Bloqueado"),"Bloqueado",IF(OR(Y41="No conforme",Z41="No conforme",AA41="Falló"),"No conforme",IF(AND(OR(X41="Implementado",X41="No aplica"),OR(Y41="Conforme",Y41="No aplica"),OR(Z41="Conforme",Z41="No aplica"),OR(AA41="Pasó",AA41="No aplica")),"Conforme","Parcial"))))</x:f>
        <x:v>Parcial</x:v>
      </x:c>
      <x:c r="AC41" s="66" t="str"/>
      <x:c r="AD41" s="66" t="str"/>
      <x:c r="AE41" s="66" t="str"/>
      <x:c r="AF41" s="56" t="str">
        <x:v>TR-002</x:v>
      </x:c>
      <x:c r="AG41" s="56" t="str">
        <x:v>Runtime_Interactions_Base_40!41</x:v>
      </x:c>
      <x:c r="AH41" s="56" t="str">
        <x:v>5be7bd2ed510c5f54ab0490535d11685f0ae981505575fdec38de8e4cdd3b2e0</x:v>
      </x:c>
    </x:row>
    <x:row r="42" ht="62" customHeight="1">
      <x:c r="A42" s="56" t="str">
        <x:v>C01</x:v>
      </x:c>
      <x:c r="B42" s="56" t="str">
        <x:v>causal_20</x:v>
      </x:c>
      <x:c r="C42" s="56" t="str">
        <x:v>0</x:v>
      </x:c>
      <x:c r="D42" s="56" t="n">
        <x:v>1</x:v>
      </x:c>
      <x:c r="E42" s="56" t="str">
        <x:v>Variación de frecuencia o caso especial</x:v>
      </x:c>
      <x:c r="F42" s="56" t="str">
        <x:v>Si cambia la frecuencia o la forma de hacerla, ¿qué lo provoca y cuál es el caso especial más común?</x:v>
      </x:c>
      <x:c r="G42" s="56" t="str">
        <x:v>conditional_probe_card</x:v>
      </x:c>
      <x:c r="H42" s="56" t="str">
        <x:v>single_answer</x:v>
      </x:c>
      <x:c r="I42" s="56" t="str">
        <x:v>0.3a, 0.8, 0.8a</x:v>
      </x:c>
      <x:c r="J42" s="56" t="n">
        <x:v>3</x:v>
      </x:c>
      <x:c r="K42" s="56" t="n">
        <x:v>3</x:v>
      </x:c>
      <x:c r="L42" s="56" t="n">
        <x:v>0</x:v>
      </x:c>
      <x:c r="M42" s="56" t="n">
        <x:v>0</x:v>
      </x:c>
      <x:c r="N42" s="56" t="n">
        <x:v>0</x:v>
      </x:c>
      <x:c r="O42" s="56" t="str">
        <x:v>Abrir si B0-Q03 muestra frecuencia variable o B0-Q02/B0-Q04 muestra actividad no estable.</x:v>
      </x:c>
      <x:c r="P42" s="56" t="str">
        <x:v>captura directa; confirmar si se deriva de preload</x:v>
      </x:c>
      <x:c r="Q42" s="56" t="str">
        <x:v>No convertir texto libre o inferencia IA en hecho estructural sin ruta canónica y estado epistemológico.</x:v>
      </x:c>
      <x:c r="R42" s="56" t="str">
        <x:v>Pasa si variables requeridas quedan capturadas/confirmadas, sin contradicción y con trazabilidad a nodos fuente.</x:v>
      </x:c>
      <x:c r="S42" s="56" t="str"/>
      <x:c r="T42" s="56" t="str"/>
      <x:c r="U42" s="56" t="str"/>
      <x:c r="V42" s="56" t="str">
        <x:v>Pantalla específica Bloque 0</x:v>
      </x:c>
      <x:c r="W42" s="66" t="str"/>
      <x:c r="X42" s="66" t="str">
        <x:v>Existente / por verificar</x:v>
      </x:c>
      <x:c r="Y42" s="66" t="str">
        <x:v>No evaluado</x:v>
      </x:c>
      <x:c r="Z42" s="66" t="str">
        <x:v>No evaluado</x:v>
      </x:c>
      <x:c r="AA42" s="66" t="str">
        <x:v>No ejecutado</x:v>
      </x:c>
      <x:c r="AB42" s="68" t="str">
        <x:f>IF(AND(X42="No evaluado",Y42="No evaluado",Z42="No evaluado",AA42="No ejecutado"),"No evaluado",IF(OR(X42="Bloqueado",Y42="Bloqueado",Z42="Bloqueado",AA42="Bloqueado"),"Bloqueado",IF(OR(Y42="No conforme",Z42="No conforme",AA42="Falló"),"No conforme",IF(AND(OR(X42="Implementado",X42="No aplica"),OR(Y42="Conforme",Y42="No aplica"),OR(Z42="Conforme",Z42="No aplica"),OR(AA42="Pasó",AA42="No aplica")),"Conforme","Parcial"))))</x:f>
        <x:v>Parcial</x:v>
      </x:c>
      <x:c r="AC42" s="66" t="str"/>
      <x:c r="AD42" s="66" t="str"/>
      <x:c r="AE42" s="66" t="str"/>
      <x:c r="AF42" s="56" t="str">
        <x:v>TR-003</x:v>
      </x:c>
      <x:c r="AG42" s="56" t="str">
        <x:v>Runtime_Interactions_Causal_20!2</x:v>
      </x:c>
      <x:c r="AH42" s="56" t="str">
        <x:v>5be7bd2ed510c5f54ab0490535d11685f0ae981505575fdec38de8e4cdd3b2e0</x:v>
      </x:c>
    </x:row>
    <x:row r="43" ht="62" customHeight="1">
      <x:c r="A43" s="56" t="str">
        <x:v>C02</x:v>
      </x:c>
      <x:c r="B43" s="56" t="str">
        <x:v>causal_20</x:v>
      </x:c>
      <x:c r="C43" s="56" t="str">
        <x:v>0.5</x:v>
      </x:c>
      <x:c r="D43" s="56" t="n">
        <x:v>2</x:v>
      </x:c>
      <x:c r="E43" s="56" t="str">
        <x:v>Asimetría beneficio-daño o hito ambiguo</x:v>
      </x:c>
      <x:c r="F43" s="56" t="str">
        <x:v>Si quien se beneficia y quien sufre son distintos, ¿quién recibe primero beneficio y quién absorbe primero daño? ¿Qué hito real se desbloquea?</x:v>
      </x:c>
      <x:c r="G43" s="56" t="str">
        <x:v>conditional_probe_card</x:v>
      </x:c>
      <x:c r="H43" s="56" t="str">
        <x:v>single_answer</x:v>
      </x:c>
      <x:c r="I43" s="56" t="str">
        <x:v>0.5.1b, 0.5.A, 0.5.C</x:v>
      </x:c>
      <x:c r="J43" s="56" t="n">
        <x:v>3</x:v>
      </x:c>
      <x:c r="K43" s="56" t="n">
        <x:v>1</x:v>
      </x:c>
      <x:c r="L43" s="56" t="n">
        <x:v>2</x:v>
      </x:c>
      <x:c r="M43" s="56" t="n">
        <x:v>0</x:v>
      </x:c>
      <x:c r="N43" s="56" t="n">
        <x:v>0</x:v>
      </x:c>
      <x:c r="O43" s="56" t="str">
        <x:v>Abrir si beneficiario/afectado no coinciden, hay baja claridad o el hito parece describir solo la tarea.</x:v>
      </x:c>
      <x:c r="P43" s="56" t="str">
        <x:v>captura directa; confirmar si se deriva de preload</x:v>
      </x:c>
      <x:c r="Q43" s="56" t="str">
        <x:v>No convertir texto libre o inferencia IA en hecho estructural sin ruta canónica y estado epistemológico.</x:v>
      </x:c>
      <x:c r="R43" s="56" t="str">
        <x:v>Pasa si variables requeridas quedan capturadas/confirmadas, sin contradicción y con trazabilidad a nodos fuente.</x:v>
      </x:c>
      <x:c r="S43" s="56" t="str"/>
      <x:c r="T43" s="56" t="str"/>
      <x:c r="U43" s="56" t="str"/>
      <x:c r="V43" s="56" t="str">
        <x:v>Pantalla específica Bloque 0.5</x:v>
      </x:c>
      <x:c r="W43" s="66" t="str"/>
      <x:c r="X43" s="66" t="str">
        <x:v>En desarrollo</x:v>
      </x:c>
      <x:c r="Y43" s="66" t="str">
        <x:v>No evaluado</x:v>
      </x:c>
      <x:c r="Z43" s="66" t="str">
        <x:v>No evaluado</x:v>
      </x:c>
      <x:c r="AA43" s="66" t="str">
        <x:v>No ejecutado</x:v>
      </x:c>
      <x:c r="AB43" s="68" t="str">
        <x:f>IF(AND(X43="No evaluado",Y43="No evaluado",Z43="No evaluado",AA43="No ejecutado"),"No evaluado",IF(OR(X43="Bloqueado",Y43="Bloqueado",Z43="Bloqueado",AA43="Bloqueado"),"Bloqueado",IF(OR(Y43="No conforme",Z43="No conforme",AA43="Falló"),"No conforme",IF(AND(OR(X43="Implementado",X43="No aplica"),OR(Y43="Conforme",Y43="No aplica"),OR(Z43="Conforme",Z43="No aplica"),OR(AA43="Pasó",AA43="No aplica")),"Conforme","Parcial"))))</x:f>
        <x:v>Parcial</x:v>
      </x:c>
      <x:c r="AC43" s="66" t="str"/>
      <x:c r="AD43" s="66" t="str"/>
      <x:c r="AE43" s="66" t="str"/>
      <x:c r="AF43" s="56" t="str">
        <x:v>TR-003</x:v>
      </x:c>
      <x:c r="AG43" s="56" t="str">
        <x:v>Runtime_Interactions_Causal_20!3</x:v>
      </x:c>
      <x:c r="AH43" s="56" t="str">
        <x:v>5be7bd2ed510c5f54ab0490535d11685f0ae981505575fdec38de8e4cdd3b2e0</x:v>
      </x:c>
    </x:row>
    <x:row r="44" ht="62" customHeight="1">
      <x:c r="A44" s="56" t="str">
        <x:v>C03</x:v>
      </x:c>
      <x:c r="B44" s="56" t="str">
        <x:v>causal_20</x:v>
      </x:c>
      <x:c r="C44" s="56" t="str">
        <x:v>1</x:v>
      </x:c>
      <x:c r="D44" s="56" t="n">
        <x:v>3</x:v>
      </x:c>
      <x:c r="E44" s="56" t="str">
        <x:v>Excepción o ambigüedad de inicio</x:v>
      </x:c>
      <x:c r="F44" s="56" t="str">
        <x:v>Si debería comenzar y no comienza, ¿qué ocurre y cuál es la primera señal? Si la señal es ambigua o contradictoria, ¿qué manda realmente?</x:v>
      </x:c>
      <x:c r="G44" s="56" t="str">
        <x:v>conditional_probe_card</x:v>
      </x:c>
      <x:c r="H44" s="56" t="str">
        <x:v>single_answer</x:v>
      </x:c>
      <x:c r="I44" s="56" t="str">
        <x:v>1.8, 1.A, 1.B, 1.C</x:v>
      </x:c>
      <x:c r="J44" s="56" t="n">
        <x:v>4</x:v>
      </x:c>
      <x:c r="K44" s="56" t="n">
        <x:v>1</x:v>
      </x:c>
      <x:c r="L44" s="56" t="n">
        <x:v>3</x:v>
      </x:c>
      <x:c r="M44" s="56" t="n">
        <x:v>0</x:v>
      </x:c>
      <x:c r="N44" s="56" t="n">
        <x:v>0</x:v>
      </x:c>
      <x:c r="O44" s="56" t="str">
        <x:v>Abrir si B1-Q09 muestra ambigüedad o B1-Q11 marca excepción de inicio.</x:v>
      </x:c>
      <x:c r="P44" s="56" t="str">
        <x:v>captura directa; confirmar si se deriva de preload</x:v>
      </x:c>
      <x:c r="Q44" s="56" t="str">
        <x:v>No convertir texto libre o inferencia IA en hecho estructural sin ruta canónica y estado epistemológico.</x:v>
      </x:c>
      <x:c r="R44" s="56" t="str">
        <x:v>Pasa si variables requeridas quedan capturadas/confirmadas, sin contradicción y con trazabilidad a nodos fuente.</x:v>
      </x:c>
      <x:c r="S44" s="56" t="str"/>
      <x:c r="T44" s="56" t="str"/>
      <x:c r="U44" s="56" t="str"/>
      <x:c r="V44" s="56" t="str">
        <x:v>Pantalla específica Bloque 1</x:v>
      </x:c>
      <x:c r="W44" s="66" t="str"/>
      <x:c r="X44" s="66" t="str">
        <x:v>En desarrollo</x:v>
      </x:c>
      <x:c r="Y44" s="66" t="str">
        <x:v>No evaluado</x:v>
      </x:c>
      <x:c r="Z44" s="66" t="str">
        <x:v>No evaluado</x:v>
      </x:c>
      <x:c r="AA44" s="66" t="str">
        <x:v>No ejecutado</x:v>
      </x:c>
      <x:c r="AB44" s="68" t="str">
        <x:f>IF(AND(X44="No evaluado",Y44="No evaluado",Z44="No evaluado",AA44="No ejecutado"),"No evaluado",IF(OR(X44="Bloqueado",Y44="Bloqueado",Z44="Bloqueado",AA44="Bloqueado"),"Bloqueado",IF(OR(Y44="No conforme",Z44="No conforme",AA44="Falló"),"No conforme",IF(AND(OR(X44="Implementado",X44="No aplica"),OR(Y44="Conforme",Y44="No aplica"),OR(Z44="Conforme",Z44="No aplica"),OR(AA44="Pasó",AA44="No aplica")),"Conforme","Parcial"))))</x:f>
        <x:v>Parcial</x:v>
      </x:c>
      <x:c r="AC44" s="66" t="str"/>
      <x:c r="AD44" s="66" t="str"/>
      <x:c r="AE44" s="66" t="str"/>
      <x:c r="AF44" s="56" t="str">
        <x:v>TR-003</x:v>
      </x:c>
      <x:c r="AG44" s="56" t="str">
        <x:v>Runtime_Interactions_Causal_20!4</x:v>
      </x:c>
      <x:c r="AH44" s="56" t="str">
        <x:v>5be7bd2ed510c5f54ab0490535d11685f0ae981505575fdec38de8e4cdd3b2e0</x:v>
      </x:c>
    </x:row>
    <x:row r="45" ht="62" customHeight="1">
      <x:c r="A45" s="56" t="str">
        <x:v>C04</x:v>
      </x:c>
      <x:c r="B45" s="56" t="str">
        <x:v>causal_20</x:v>
      </x:c>
      <x:c r="C45" s="56" t="str">
        <x:v>2</x:v>
      </x:c>
      <x:c r="D45" s="56" t="n">
        <x:v>4</x:v>
      </x:c>
      <x:c r="E45" s="56" t="str">
        <x:v>Dimensión dominante de transformación</x:v>
      </x:c>
      <x:c r="F45" s="56" t="str">
        <x:v>Si hay objeto, sujeto y acción mezclados, ¿cuál limita realmente la transformación y en qué orden importan?</x:v>
      </x:c>
      <x:c r="G45" s="56" t="str">
        <x:v>conditional_probe_card</x:v>
      </x:c>
      <x:c r="H45" s="56" t="str">
        <x:v>single_answer</x:v>
      </x:c>
      <x:c r="I45" s="56" t="str">
        <x:v>2.1_AB_Relacion, 2.1_AC_Relacion, 2.1_BC_Relacion, 2.1_ABC_Relacion, 2.1_ABC_Prioridad, 2.A</x:v>
      </x:c>
      <x:c r="J45" s="56" t="n">
        <x:v>6</x:v>
      </x:c>
      <x:c r="K45" s="56" t="n">
        <x:v>5</x:v>
      </x:c>
      <x:c r="L45" s="56" t="n">
        <x:v>1</x:v>
      </x:c>
      <x:c r="M45" s="56" t="n">
        <x:v>0</x:v>
      </x:c>
      <x:c r="N45" s="56" t="n">
        <x:v>0</x:v>
      </x:c>
      <x:c r="O45" s="56" t="str">
        <x:v>Abrir si B2-Q12 selecciona más de una dimensión o B5 no puede medir capacidad comparable.</x:v>
      </x:c>
      <x:c r="P45" s="56" t="str">
        <x:v>captura directa; confirmar si se deriva de preload</x:v>
      </x:c>
      <x:c r="Q45" s="56" t="str">
        <x:v>No convertir texto libre o inferencia IA en hecho estructural sin ruta canónica y estado epistemológico.</x:v>
      </x:c>
      <x:c r="R45" s="56" t="str">
        <x:v>Pasa si variables requeridas quedan capturadas/confirmadas, sin contradicción y con trazabilidad a nodos fuente.</x:v>
      </x:c>
      <x:c r="S45" s="56" t="str"/>
      <x:c r="T45" s="56" t="str"/>
      <x:c r="U45" s="56" t="str"/>
      <x:c r="V45" s="56" t="str">
        <x:v>Pantalla específica Bloque 2</x:v>
      </x:c>
      <x:c r="W45" s="66" t="str"/>
      <x:c r="X45" s="66" t="str">
        <x:v>En desarrollo</x:v>
      </x:c>
      <x:c r="Y45" s="66" t="str">
        <x:v>No evaluado</x:v>
      </x:c>
      <x:c r="Z45" s="66" t="str">
        <x:v>No evaluado</x:v>
      </x:c>
      <x:c r="AA45" s="66" t="str">
        <x:v>No ejecutado</x:v>
      </x:c>
      <x:c r="AB45" s="68" t="str">
        <x:f>IF(AND(X45="No evaluado",Y45="No evaluado",Z45="No evaluado",AA45="No ejecutado"),"No evaluado",IF(OR(X45="Bloqueado",Y45="Bloqueado",Z45="Bloqueado",AA45="Bloqueado"),"Bloqueado",IF(OR(Y45="No conforme",Z45="No conforme",AA45="Falló"),"No conforme",IF(AND(OR(X45="Implementado",X45="No aplica"),OR(Y45="Conforme",Y45="No aplica"),OR(Z45="Conforme",Z45="No aplica"),OR(AA45="Pasó",AA45="No aplica")),"Conforme","Parcial"))))</x:f>
        <x:v>Parcial</x:v>
      </x:c>
      <x:c r="AC45" s="66" t="str"/>
      <x:c r="AD45" s="66" t="str"/>
      <x:c r="AE45" s="66" t="str"/>
      <x:c r="AF45" s="56" t="str">
        <x:v>TR-003</x:v>
      </x:c>
      <x:c r="AG45" s="56" t="str">
        <x:v>Runtime_Interactions_Causal_20!5</x:v>
      </x:c>
      <x:c r="AH45" s="56" t="str">
        <x:v>5be7bd2ed510c5f54ab0490535d11685f0ae981505575fdec38de8e4cdd3b2e0</x:v>
      </x:c>
    </x:row>
    <x:row r="46" ht="62" customHeight="1">
      <x:c r="A46" s="56" t="str">
        <x:v>C05</x:v>
      </x:c>
      <x:c r="B46" s="56" t="str">
        <x:v>causal_20</x:v>
      </x:c>
      <x:c r="C46" s="56" t="str">
        <x:v>2</x:v>
      </x:c>
      <x:c r="D46" s="56" t="n">
        <x:v>5</x:v>
      </x:c>
      <x:c r="E46" s="56" t="str">
        <x:v>Detalle de excepción de transformación</x:v>
      </x:c>
      <x:c r="F46" s="56" t="str">
        <x:v>Si hay falla de transformación, ¿cómo falla exactamente y qué es lo primero que sale mal?</x:v>
      </x:c>
      <x:c r="G46" s="56" t="str">
        <x:v>conditional_probe_card</x:v>
      </x:c>
      <x:c r="H46" s="56" t="str">
        <x:v>single_answer</x:v>
      </x:c>
      <x:c r="I46" s="56" t="str">
        <x:v>2.10, 2.B</x:v>
      </x:c>
      <x:c r="J46" s="56" t="n">
        <x:v>2</x:v>
      </x:c>
      <x:c r="K46" s="56" t="n">
        <x:v>1</x:v>
      </x:c>
      <x:c r="L46" s="56" t="n">
        <x:v>1</x:v>
      </x:c>
      <x:c r="M46" s="56" t="n">
        <x:v>0</x:v>
      </x:c>
      <x:c r="N46" s="56" t="n">
        <x:v>0</x:v>
      </x:c>
      <x:c r="O46" s="56" t="str">
        <x:v>Abrir si B2-Q17 activa transformation_exception_exists.</x:v>
      </x:c>
      <x:c r="P46" s="56" t="str">
        <x:v>captura directa; confirmar si se deriva de preload</x:v>
      </x:c>
      <x:c r="Q46" s="56" t="str">
        <x:v>No convertir texto libre o inferencia IA en hecho estructural sin ruta canónica y estado epistemológico.</x:v>
      </x:c>
      <x:c r="R46" s="56" t="str">
        <x:v>Pasa si variables requeridas quedan capturadas/confirmadas, sin contradicción y con trazabilidad a nodos fuente.</x:v>
      </x:c>
      <x:c r="S46" s="56" t="str"/>
      <x:c r="T46" s="56" t="str"/>
      <x:c r="U46" s="56" t="str"/>
      <x:c r="V46" s="56" t="str">
        <x:v>Pantalla específica Bloque 2</x:v>
      </x:c>
      <x:c r="W46" s="66" t="str"/>
      <x:c r="X46" s="66" t="str">
        <x:v>En desarrollo</x:v>
      </x:c>
      <x:c r="Y46" s="66" t="str">
        <x:v>No evaluado</x:v>
      </x:c>
      <x:c r="Z46" s="66" t="str">
        <x:v>No evaluado</x:v>
      </x:c>
      <x:c r="AA46" s="66" t="str">
        <x:v>No ejecutado</x:v>
      </x:c>
      <x:c r="AB46" s="68" t="str">
        <x:f>IF(AND(X46="No evaluado",Y46="No evaluado",Z46="No evaluado",AA46="No ejecutado"),"No evaluado",IF(OR(X46="Bloqueado",Y46="Bloqueado",Z46="Bloqueado",AA46="Bloqueado"),"Bloqueado",IF(OR(Y46="No conforme",Z46="No conforme",AA46="Falló"),"No conforme",IF(AND(OR(X46="Implementado",X46="No aplica"),OR(Y46="Conforme",Y46="No aplica"),OR(Z46="Conforme",Z46="No aplica"),OR(AA46="Pasó",AA46="No aplica")),"Conforme","Parcial"))))</x:f>
        <x:v>Parcial</x:v>
      </x:c>
      <x:c r="AC46" s="66" t="str"/>
      <x:c r="AD46" s="66" t="str"/>
      <x:c r="AE46" s="66" t="str"/>
      <x:c r="AF46" s="56" t="str">
        <x:v>TR-003</x:v>
      </x:c>
      <x:c r="AG46" s="56" t="str">
        <x:v>Runtime_Interactions_Causal_20!6</x:v>
      </x:c>
      <x:c r="AH46" s="56" t="str">
        <x:v>5be7bd2ed510c5f54ab0490535d11685f0ae981505575fdec38de8e4cdd3b2e0</x:v>
      </x:c>
    </x:row>
    <x:row r="47" ht="62" customHeight="1">
      <x:c r="A47" s="56" t="str">
        <x:v>C06</x:v>
      </x:c>
      <x:c r="B47" s="56" t="str">
        <x:v>causal_20</x:v>
      </x:c>
      <x:c r="C47" s="56" t="str">
        <x:v>2</x:v>
      </x:c>
      <x:c r="D47" s="56" t="n">
        <x:v>6</x:v>
      </x:c>
      <x:c r="E47" s="56" t="str">
        <x:v>Cambio oculto de transformación</x:v>
      </x:c>
      <x:c r="F47" s="56" t="str">
        <x:v>Si hay cambios no oficiales, ¿cuáles son, quién los hace y desde dónde ocurren?</x:v>
      </x:c>
      <x:c r="G47" s="56" t="str">
        <x:v>conditional_probe_card</x:v>
      </x:c>
      <x:c r="H47" s="56" t="str">
        <x:v>single_answer</x:v>
      </x:c>
      <x:c r="I47" s="56" t="str">
        <x:v>2.12, 2.C</x:v>
      </x:c>
      <x:c r="J47" s="56" t="n">
        <x:v>2</x:v>
      </x:c>
      <x:c r="K47" s="56" t="n">
        <x:v>1</x:v>
      </x:c>
      <x:c r="L47" s="56" t="n">
        <x:v>1</x:v>
      </x:c>
      <x:c r="M47" s="56" t="n">
        <x:v>0</x:v>
      </x:c>
      <x:c r="N47" s="56" t="n">
        <x:v>0</x:v>
      </x:c>
      <x:c r="O47" s="56" t="str">
        <x:v>Abrir si B2-Q17 detecta transformation_hidden_changes.</x:v>
      </x:c>
      <x:c r="P47" s="56" t="str">
        <x:v>captura directa; confirmar si se deriva de preload</x:v>
      </x:c>
      <x:c r="Q47" s="56" t="str">
        <x:v>No convertir texto libre o inferencia IA en hecho estructural sin ruta canónica y estado epistemológico.</x:v>
      </x:c>
      <x:c r="R47" s="56" t="str">
        <x:v>Pasa si variables requeridas quedan capturadas/confirmadas, sin contradicción y con trazabilidad a nodos fuente.</x:v>
      </x:c>
      <x:c r="S47" s="56" t="str"/>
      <x:c r="T47" s="56" t="str"/>
      <x:c r="U47" s="56" t="str"/>
      <x:c r="V47" s="56" t="str">
        <x:v>Pantalla específica Bloque 2</x:v>
      </x:c>
      <x:c r="W47" s="66" t="str"/>
      <x:c r="X47" s="66" t="str">
        <x:v>En desarrollo</x:v>
      </x:c>
      <x:c r="Y47" s="66" t="str">
        <x:v>No evaluado</x:v>
      </x:c>
      <x:c r="Z47" s="66" t="str">
        <x:v>No evaluado</x:v>
      </x:c>
      <x:c r="AA47" s="66" t="str">
        <x:v>No ejecutado</x:v>
      </x:c>
      <x:c r="AB47" s="68" t="str">
        <x:f>IF(AND(X47="No evaluado",Y47="No evaluado",Z47="No evaluado",AA47="No ejecutado"),"No evaluado",IF(OR(X47="Bloqueado",Y47="Bloqueado",Z47="Bloqueado",AA47="Bloqueado"),"Bloqueado",IF(OR(Y47="No conforme",Z47="No conforme",AA47="Falló"),"No conforme",IF(AND(OR(X47="Implementado",X47="No aplica"),OR(Y47="Conforme",Y47="No aplica"),OR(Z47="Conforme",Z47="No aplica"),OR(AA47="Pasó",AA47="No aplica")),"Conforme","Parcial"))))</x:f>
        <x:v>Parcial</x:v>
      </x:c>
      <x:c r="AC47" s="66" t="str"/>
      <x:c r="AD47" s="66" t="str"/>
      <x:c r="AE47" s="66" t="str"/>
      <x:c r="AF47" s="56" t="str">
        <x:v>TR-003</x:v>
      </x:c>
      <x:c r="AG47" s="56" t="str">
        <x:v>Runtime_Interactions_Causal_20!7</x:v>
      </x:c>
      <x:c r="AH47" s="56" t="str">
        <x:v>5be7bd2ed510c5f54ab0490535d11685f0ae981505575fdec38de8e4cdd3b2e0</x:v>
      </x:c>
    </x:row>
    <x:row r="48" ht="62" customHeight="1">
      <x:c r="A48" s="56" t="str">
        <x:v>C07</x:v>
      </x:c>
      <x:c r="B48" s="56" t="str">
        <x:v>causal_20</x:v>
      </x:c>
      <x:c r="C48" s="56" t="str">
        <x:v>2</x:v>
      </x:c>
      <x:c r="D48" s="56" t="n">
        <x:v>7</x:v>
      </x:c>
      <x:c r="E48" s="56" t="str">
        <x:v>Ciclos de transformación</x:v>
      </x:c>
      <x:c r="F48" s="56" t="str">
        <x:v>Si la transformación ocurre varias veces, ¿cuántos ciclos típicos hay?</x:v>
      </x:c>
      <x:c r="G48" s="56" t="str">
        <x:v>conditional_probe_card</x:v>
      </x:c>
      <x:c r="H48" s="56" t="str">
        <x:v>single_answer</x:v>
      </x:c>
      <x:c r="I48" s="56" t="str">
        <x:v>2.8</x:v>
      </x:c>
      <x:c r="J48" s="56" t="n">
        <x:v>1</x:v>
      </x:c>
      <x:c r="K48" s="56" t="n">
        <x:v>1</x:v>
      </x:c>
      <x:c r="L48" s="56" t="n">
        <x:v>0</x:v>
      </x:c>
      <x:c r="M48" s="56" t="n">
        <x:v>0</x:v>
      </x:c>
      <x:c r="N48" s="56" t="n">
        <x:v>0</x:v>
      </x:c>
      <x:c r="O48" s="56" t="str">
        <x:v>Abrir si B2-Q16 marca múltiples ciclos.</x:v>
      </x:c>
      <x:c r="P48" s="56" t="str">
        <x:v>captura directa; confirmar si se deriva de preload</x:v>
      </x:c>
      <x:c r="Q48" s="56" t="str">
        <x:v>No convertir texto libre o inferencia IA en hecho estructural sin ruta canónica y estado epistemológico.</x:v>
      </x:c>
      <x:c r="R48" s="56" t="str">
        <x:v>Pasa si variables requeridas quedan capturadas/confirmadas, sin contradicción y con trazabilidad a nodos fuente.</x:v>
      </x:c>
      <x:c r="S48" s="56" t="str"/>
      <x:c r="T48" s="56" t="str"/>
      <x:c r="U48" s="56" t="str"/>
      <x:c r="V48" s="56" t="str">
        <x:v>Pantalla específica Bloque 2</x:v>
      </x:c>
      <x:c r="W48" s="66" t="str"/>
      <x:c r="X48" s="66" t="str">
        <x:v>En desarrollo</x:v>
      </x:c>
      <x:c r="Y48" s="66" t="str">
        <x:v>No evaluado</x:v>
      </x:c>
      <x:c r="Z48" s="66" t="str">
        <x:v>No evaluado</x:v>
      </x:c>
      <x:c r="AA48" s="66" t="str">
        <x:v>No ejecutado</x:v>
      </x:c>
      <x:c r="AB48" s="68" t="str">
        <x:f>IF(AND(X48="No evaluado",Y48="No evaluado",Z48="No evaluado",AA48="No ejecutado"),"No evaluado",IF(OR(X48="Bloqueado",Y48="Bloqueado",Z48="Bloqueado",AA48="Bloqueado"),"Bloqueado",IF(OR(Y48="No conforme",Z48="No conforme",AA48="Falló"),"No conforme",IF(AND(OR(X48="Implementado",X48="No aplica"),OR(Y48="Conforme",Y48="No aplica"),OR(Z48="Conforme",Z48="No aplica"),OR(AA48="Pasó",AA48="No aplica")),"Conforme","Parcial"))))</x:f>
        <x:v>Parcial</x:v>
      </x:c>
      <x:c r="AC48" s="66" t="str"/>
      <x:c r="AD48" s="66" t="str"/>
      <x:c r="AE48" s="66" t="str"/>
      <x:c r="AF48" s="56" t="str">
        <x:v>TR-003</x:v>
      </x:c>
      <x:c r="AG48" s="56" t="str">
        <x:v>Runtime_Interactions_Causal_20!8</x:v>
      </x:c>
      <x:c r="AH48" s="56" t="str">
        <x:v>5be7bd2ed510c5f54ab0490535d11685f0ae981505575fdec38de8e4cdd3b2e0</x:v>
      </x:c>
    </x:row>
    <x:row r="49" ht="62" customHeight="1">
      <x:c r="A49" s="56" t="str">
        <x:v>C08</x:v>
      </x:c>
      <x:c r="B49" s="56" t="str">
        <x:v>causal_20</x:v>
      </x:c>
      <x:c r="C49" s="56" t="str">
        <x:v>3</x:v>
      </x:c>
      <x:c r="D49" s="56" t="n">
        <x:v>8</x:v>
      </x:c>
      <x:c r="E49" s="56" t="str">
        <x:v>Tipo e impacto de falla de entrega</x:v>
      </x:c>
      <x:c r="F49" s="56" t="str">
        <x:v>Si la entrega falla, ¿cuál es el problema típico y qué tiene que hacer el receptor para compensar?</x:v>
      </x:c>
      <x:c r="G49" s="56" t="str">
        <x:v>conditional_probe_card</x:v>
      </x:c>
      <x:c r="H49" s="56" t="str">
        <x:v>single_answer</x:v>
      </x:c>
      <x:c r="I49" s="56" t="str">
        <x:v>3.11, 3.12, 3.C</x:v>
      </x:c>
      <x:c r="J49" s="56" t="n">
        <x:v>3</x:v>
      </x:c>
      <x:c r="K49" s="56" t="n">
        <x:v>2</x:v>
      </x:c>
      <x:c r="L49" s="56" t="n">
        <x:v>1</x:v>
      </x:c>
      <x:c r="M49" s="56" t="n">
        <x:v>0</x:v>
      </x:c>
      <x:c r="N49" s="56" t="n">
        <x:v>0</x:v>
      </x:c>
      <x:c r="O49" s="56" t="str">
        <x:v>Abrir si B3-Q21 = sí o B3-Q22 muestra correcciones/rechazos recurrentes.</x:v>
      </x:c>
      <x:c r="P49" s="56" t="str">
        <x:v>captura directa; confirmar si se deriva de preload</x:v>
      </x:c>
      <x:c r="Q49" s="56" t="str">
        <x:v>No convertir texto libre o inferencia IA en hecho estructural sin ruta canónica y estado epistemológico.</x:v>
      </x:c>
      <x:c r="R49" s="56" t="str">
        <x:v>Pasa si variables requeridas quedan capturadas/confirmadas, sin contradicción y con trazabilidad a nodos fuente.</x:v>
      </x:c>
      <x:c r="S49" s="56" t="str"/>
      <x:c r="T49" s="56" t="str"/>
      <x:c r="U49" s="56" t="str"/>
      <x:c r="V49" s="56" t="str">
        <x:v>Pantalla específica Bloque 3</x:v>
      </x:c>
      <x:c r="W49" s="66" t="str"/>
      <x:c r="X49" s="66" t="str">
        <x:v>En desarrollo</x:v>
      </x:c>
      <x:c r="Y49" s="66" t="str">
        <x:v>No evaluado</x:v>
      </x:c>
      <x:c r="Z49" s="66" t="str">
        <x:v>No evaluado</x:v>
      </x:c>
      <x:c r="AA49" s="66" t="str">
        <x:v>No ejecutado</x:v>
      </x:c>
      <x:c r="AB49" s="68" t="str">
        <x:f>IF(AND(X49="No evaluado",Y49="No evaluado",Z49="No evaluado",AA49="No ejecutado"),"No evaluado",IF(OR(X49="Bloqueado",Y49="Bloqueado",Z49="Bloqueado",AA49="Bloqueado"),"Bloqueado",IF(OR(Y49="No conforme",Z49="No conforme",AA49="Falló"),"No conforme",IF(AND(OR(X49="Implementado",X49="No aplica"),OR(Y49="Conforme",Y49="No aplica"),OR(Z49="Conforme",Z49="No aplica"),OR(AA49="Pasó",AA49="No aplica")),"Conforme","Parcial"))))</x:f>
        <x:v>Parcial</x:v>
      </x:c>
      <x:c r="AC49" s="66" t="str"/>
      <x:c r="AD49" s="66" t="str"/>
      <x:c r="AE49" s="66" t="str"/>
      <x:c r="AF49" s="56" t="str">
        <x:v>TR-003</x:v>
      </x:c>
      <x:c r="AG49" s="56" t="str">
        <x:v>Runtime_Interactions_Causal_20!9</x:v>
      </x:c>
      <x:c r="AH49" s="56" t="str">
        <x:v>5be7bd2ed510c5f54ab0490535d11685f0ae981505575fdec38de8e4cdd3b2e0</x:v>
      </x:c>
    </x:row>
    <x:row r="50" ht="62" customHeight="1">
      <x:c r="A50" s="56" t="str">
        <x:v>C09</x:v>
      </x:c>
      <x:c r="B50" s="56" t="str">
        <x:v>causal_20</x:v>
      </x:c>
      <x:c r="C50" s="56" t="str">
        <x:v>3</x:v>
      </x:c>
      <x:c r="D50" s="56" t="n">
        <x:v>9</x:v>
      </x:c>
      <x:c r="E50" s="56" t="str">
        <x:v>Feedback operativo del receptor</x:v>
      </x:c>
      <x:c r="F50" s="56" t="str">
        <x:v>Cuando hay problema con la entrega, ¿cómo te avisa el receptor, qué devuelve, corrige, rechaza, bloquea o pide cambiar?</x:v>
      </x:c>
      <x:c r="G50" s="56" t="str">
        <x:v>compound_card_with_separable_subfields</x:v>
      </x:c>
      <x:c r="H50" s="56" t="str">
        <x:v>feedback_signal_type; feedback_content; operational_effect; route_gap_flag</x:v>
      </x:c>
      <x:c r="I50" s="56" t="str">
        <x:v>3.13a, 3.D</x:v>
      </x:c>
      <x:c r="J50" s="56" t="n">
        <x:v>2</x:v>
      </x:c>
      <x:c r="K50" s="56" t="n">
        <x:v>2</x:v>
      </x:c>
      <x:c r="L50" s="56" t="n">
        <x:v>0</x:v>
      </x:c>
      <x:c r="M50" s="56" t="n">
        <x:v>0</x:v>
      </x:c>
      <x:c r="N50" s="56" t="n">
        <x:v>0</x:v>
      </x:c>
      <x:c r="O50" s="56" t="str">
        <x:v>Abrir si B3-Q21 o B3-Q22 muestran falla/ajuste. Ruta crítica: receiver_satisfaction ≠ receiver_feedback.</x:v>
      </x:c>
      <x:c r="P50" s="56" t="str">
        <x:v>captura directa; confirmar si se deriva de preload</x:v>
      </x:c>
      <x:c r="Q50" s="56" t="str">
        <x:v>No convertir texto libre o inferencia IA en hecho estructural sin ruta canónica y estado epistemológico.</x:v>
      </x:c>
      <x:c r="R50" s="56" t="str">
        <x:v>Pasa si variables requeridas quedan capturadas/confirmadas, sin contradicción y con trazabilidad a nodos fuente.</x:v>
      </x:c>
      <x:c r="S50" s="56" t="str">
        <x:v>Mostrar como una tarjeta única con subcampos editables/chips; no como caja de texto indiferenciada.</x:v>
      </x:c>
      <x:c r="T50" s="56" t="str">
        <x:v>Persistir cada subcampo como variable separable con su provenance y confidence.</x:v>
      </x:c>
      <x:c r="U50" s="56" t="str">
        <x:v>La carga visible parece menor, pero se oculta ambigüedad y se pierde trazabilidad.</x:v>
      </x:c>
      <x:c r="V50" s="56" t="str">
        <x:v>Pantalla específica Bloque 3</x:v>
      </x:c>
      <x:c r="W50" s="66" t="str"/>
      <x:c r="X50" s="66" t="str">
        <x:v>En desarrollo</x:v>
      </x:c>
      <x:c r="Y50" s="66" t="str">
        <x:v>No evaluado</x:v>
      </x:c>
      <x:c r="Z50" s="66" t="str">
        <x:v>No evaluado</x:v>
      </x:c>
      <x:c r="AA50" s="66" t="str">
        <x:v>No ejecutado</x:v>
      </x:c>
      <x:c r="AB50" s="68" t="str">
        <x:f>IF(AND(X50="No evaluado",Y50="No evaluado",Z50="No evaluado",AA50="No ejecutado"),"No evaluado",IF(OR(X50="Bloqueado",Y50="Bloqueado",Z50="Bloqueado",AA50="Bloqueado"),"Bloqueado",IF(OR(Y50="No conforme",Z50="No conforme",AA50="Falló"),"No conforme",IF(AND(OR(X50="Implementado",X50="No aplica"),OR(Y50="Conforme",Y50="No aplica"),OR(Z50="Conforme",Z50="No aplica"),OR(AA50="Pasó",AA50="No aplica")),"Conforme","Parcial"))))</x:f>
        <x:v>Parcial</x:v>
      </x:c>
      <x:c r="AC50" s="66" t="str"/>
      <x:c r="AD50" s="66" t="str"/>
      <x:c r="AE50" s="66" t="str"/>
      <x:c r="AF50" s="56" t="str">
        <x:v>TR-003</x:v>
      </x:c>
      <x:c r="AG50" s="56" t="str">
        <x:v>Runtime_Interactions_Causal_20!10</x:v>
      </x:c>
      <x:c r="AH50" s="56" t="str">
        <x:v>5be7bd2ed510c5f54ab0490535d11685f0ae981505575fdec38de8e4cdd3b2e0</x:v>
      </x:c>
    </x:row>
    <x:row r="51" ht="62" customHeight="1">
      <x:c r="A51" s="56" t="str">
        <x:v>C10</x:v>
      </x:c>
      <x:c r="B51" s="56" t="str">
        <x:v>causal_20</x:v>
      </x:c>
      <x:c r="C51" s="56" t="str">
        <x:v>3</x:v>
      </x:c>
      <x:c r="D51" s="56" t="n">
        <x:v>10</x:v>
      </x:c>
      <x:c r="E51" s="56" t="str">
        <x:v>Receptores secundarios</x:v>
      </x:c>
      <x:c r="F51" s="56" t="str">
        <x:v>¿Hay otros actores que reciben o necesitan acceso, aunque no sean el receptor directo?</x:v>
      </x:c>
      <x:c r="G51" s="56" t="str">
        <x:v>conditional_probe_card</x:v>
      </x:c>
      <x:c r="H51" s="56" t="str">
        <x:v>single_answer</x:v>
      </x:c>
      <x:c r="I51" s="56" t="str">
        <x:v>3.6</x:v>
      </x:c>
      <x:c r="J51" s="56" t="n">
        <x:v>1</x:v>
      </x:c>
      <x:c r="K51" s="56" t="n">
        <x:v>1</x:v>
      </x:c>
      <x:c r="L51" s="56" t="n">
        <x:v>0</x:v>
      </x:c>
      <x:c r="M51" s="56" t="n">
        <x:v>0</x:v>
      </x:c>
      <x:c r="N51" s="56" t="n">
        <x:v>0</x:v>
      </x:c>
      <x:c r="O51" s="56" t="str">
        <x:v>Abrir si B3-Q18/B3-Q19 menciona varios usuarios, acceso compartido o impactos laterales.</x:v>
      </x:c>
      <x:c r="P51" s="56" t="str">
        <x:v>captura directa; confirmar si se deriva de preload</x:v>
      </x:c>
      <x:c r="Q51" s="56" t="str">
        <x:v>No convertir texto libre o inferencia IA en hecho estructural sin ruta canónica y estado epistemológico.</x:v>
      </x:c>
      <x:c r="R51" s="56" t="str">
        <x:v>Pasa si variables requeridas quedan capturadas/confirmadas, sin contradicción y con trazabilidad a nodos fuente.</x:v>
      </x:c>
      <x:c r="S51" s="56" t="str"/>
      <x:c r="T51" s="56" t="str"/>
      <x:c r="U51" s="56" t="str"/>
      <x:c r="V51" s="56" t="str">
        <x:v>Pantalla específica Bloque 3</x:v>
      </x:c>
      <x:c r="W51" s="66" t="str"/>
      <x:c r="X51" s="66" t="str">
        <x:v>En desarrollo</x:v>
      </x:c>
      <x:c r="Y51" s="66" t="str">
        <x:v>No evaluado</x:v>
      </x:c>
      <x:c r="Z51" s="66" t="str">
        <x:v>No evaluado</x:v>
      </x:c>
      <x:c r="AA51" s="66" t="str">
        <x:v>No ejecutado</x:v>
      </x:c>
      <x:c r="AB51" s="68" t="str">
        <x:f>IF(AND(X51="No evaluado",Y51="No evaluado",Z51="No evaluado",AA51="No ejecutado"),"No evaluado",IF(OR(X51="Bloqueado",Y51="Bloqueado",Z51="Bloqueado",AA51="Bloqueado"),"Bloqueado",IF(OR(Y51="No conforme",Z51="No conforme",AA51="Falló"),"No conforme",IF(AND(OR(X51="Implementado",X51="No aplica"),OR(Y51="Conforme",Y51="No aplica"),OR(Z51="Conforme",Z51="No aplica"),OR(AA51="Pasó",AA51="No aplica")),"Conforme","Parcial"))))</x:f>
        <x:v>Parcial</x:v>
      </x:c>
      <x:c r="AC51" s="66" t="str"/>
      <x:c r="AD51" s="66" t="str"/>
      <x:c r="AE51" s="66" t="str"/>
      <x:c r="AF51" s="56" t="str">
        <x:v>TR-003</x:v>
      </x:c>
      <x:c r="AG51" s="56" t="str">
        <x:v>Runtime_Interactions_Causal_20!11</x:v>
      </x:c>
      <x:c r="AH51" s="56" t="str">
        <x:v>5be7bd2ed510c5f54ab0490535d11685f0ae981505575fdec38de8e4cdd3b2e0</x:v>
      </x:c>
    </x:row>
    <x:row r="52" ht="62" customHeight="1">
      <x:c r="A52" s="56" t="str">
        <x:v>C11</x:v>
      </x:c>
      <x:c r="B52" s="56" t="str">
        <x:v>causal_20</x:v>
      </x:c>
      <x:c r="C52" s="56" t="str">
        <x:v>4</x:v>
      </x:c>
      <x:c r="D52" s="56" t="n">
        <x:v>11</x:v>
      </x:c>
      <x:c r="E52" s="56" t="str">
        <x:v>Resolución de bloqueo/deadlock</x:v>
      </x:c>
      <x:c r="F52" s="56" t="str">
        <x:v>Cuando queda bloqueada esperando algo, ¿qué evento la libera, qué condición permite avanzar, qué pasa por tiempo si no se libera y quién lo resuelve normalmente?</x:v>
      </x:c>
      <x:c r="G52" s="56" t="str">
        <x:v>compound_card_with_separable_subfields</x:v>
      </x:c>
      <x:c r="H52" s="56" t="str">
        <x:v>awaited_event; release_condition; timer_or_timeout; resolver_owner; exit_path</x:v>
      </x:c>
      <x:c r="I52" s="56" t="str">
        <x:v>4.5b</x:v>
      </x:c>
      <x:c r="J52" s="56" t="n">
        <x:v>1</x:v>
      </x:c>
      <x:c r="K52" s="56" t="n">
        <x:v>1</x:v>
      </x:c>
      <x:c r="L52" s="56" t="n">
        <x:v>0</x:v>
      </x:c>
      <x:c r="M52" s="56" t="n">
        <x:v>0</x:v>
      </x:c>
      <x:c r="N52" s="56" t="n">
        <x:v>0</x:v>
      </x:c>
      <x:c r="O52" s="56" t="str">
        <x:v>Abrir si B4-Q24 marca bloqueo, espera sin evento o riesgo de deadlock.</x:v>
      </x:c>
      <x:c r="P52" s="56" t="str">
        <x:v>captura directa; confirmar si se deriva de preload</x:v>
      </x:c>
      <x:c r="Q52" s="56" t="str">
        <x:v>No convertir texto libre o inferencia IA en hecho estructural sin ruta canónica y estado epistemológico.</x:v>
      </x:c>
      <x:c r="R52" s="56" t="str">
        <x:v>Pasa si variables requeridas quedan capturadas/confirmadas, sin contradicción y con trazabilidad a nodos fuente.</x:v>
      </x:c>
      <x:c r="S52" s="56" t="str">
        <x:v>Mostrar como una tarjeta única con subcampos editables/chips; no como caja de texto indiferenciada.</x:v>
      </x:c>
      <x:c r="T52" s="56" t="str">
        <x:v>Persistir cada subcampo como variable separable con su provenance y confidence.</x:v>
      </x:c>
      <x:c r="U52" s="56" t="str">
        <x:v>La carga visible parece menor, pero se oculta ambigüedad y se pierde trazabilidad.</x:v>
      </x:c>
      <x:c r="V52" s="56" t="str">
        <x:v>Pantalla específica Bloque 4</x:v>
      </x:c>
      <x:c r="W52" s="66" t="str"/>
      <x:c r="X52" s="66" t="str">
        <x:v>En desarrollo</x:v>
      </x:c>
      <x:c r="Y52" s="66" t="str">
        <x:v>No evaluado</x:v>
      </x:c>
      <x:c r="Z52" s="66" t="str">
        <x:v>No evaluado</x:v>
      </x:c>
      <x:c r="AA52" s="66" t="str">
        <x:v>No ejecutado</x:v>
      </x:c>
      <x:c r="AB52" s="68" t="str">
        <x:f>IF(AND(X52="No evaluado",Y52="No evaluado",Z52="No evaluado",AA52="No ejecutado"),"No evaluado",IF(OR(X52="Bloqueado",Y52="Bloqueado",Z52="Bloqueado",AA52="Bloqueado"),"Bloqueado",IF(OR(Y52="No conforme",Z52="No conforme",AA52="Falló"),"No conforme",IF(AND(OR(X52="Implementado",X52="No aplica"),OR(Y52="Conforme",Y52="No aplica"),OR(Z52="Conforme",Z52="No aplica"),OR(AA52="Pasó",AA52="No aplica")),"Conforme","Parcial"))))</x:f>
        <x:v>Parcial</x:v>
      </x:c>
      <x:c r="AC52" s="66" t="str"/>
      <x:c r="AD52" s="66" t="str"/>
      <x:c r="AE52" s="66" t="str"/>
      <x:c r="AF52" s="56" t="str">
        <x:v>TR-003</x:v>
      </x:c>
      <x:c r="AG52" s="56" t="str">
        <x:v>Runtime_Interactions_Causal_20!12</x:v>
      </x:c>
      <x:c r="AH52" s="56" t="str">
        <x:v>5be7bd2ed510c5f54ab0490535d11685f0ae981505575fdec38de8e4cdd3b2e0</x:v>
      </x:c>
    </x:row>
    <x:row r="53" ht="62" customHeight="1">
      <x:c r="A53" s="56" t="str">
        <x:v>C12</x:v>
      </x:c>
      <x:c r="B53" s="56" t="str">
        <x:v>causal_20</x:v>
      </x:c>
      <x:c r="C53" s="56" t="str">
        <x:v>4</x:v>
      </x:c>
      <x:c r="D53" s="56" t="n">
        <x:v>12</x:v>
      </x:c>
      <x:c r="E53" s="56" t="str">
        <x:v>Modo de iteración</x:v>
      </x:c>
      <x:c r="F53" s="56" t="str">
        <x:v>Si se repite, ¿haces todas las repeticiones juntas o se intercalan con otras actividades?</x:v>
      </x:c>
      <x:c r="G53" s="56" t="str">
        <x:v>conditional_probe_card</x:v>
      </x:c>
      <x:c r="H53" s="56" t="str">
        <x:v>single_answer</x:v>
      </x:c>
      <x:c r="I53" s="56" t="str">
        <x:v>4.6b</x:v>
      </x:c>
      <x:c r="J53" s="56" t="n">
        <x:v>1</x:v>
      </x:c>
      <x:c r="K53" s="56" t="n">
        <x:v>1</x:v>
      </x:c>
      <x:c r="L53" s="56" t="n">
        <x:v>0</x:v>
      </x:c>
      <x:c r="M53" s="56" t="n">
        <x:v>0</x:v>
      </x:c>
      <x:c r="N53" s="56" t="n">
        <x:v>0</x:v>
      </x:c>
      <x:c r="O53" s="56" t="str">
        <x:v>Abrir si B4-Q25 = sí.</x:v>
      </x:c>
      <x:c r="P53" s="56" t="str">
        <x:v>captura directa; confirmar si se deriva de preload</x:v>
      </x:c>
      <x:c r="Q53" s="56" t="str">
        <x:v>No convertir texto libre o inferencia IA en hecho estructural sin ruta canónica y estado epistemológico.</x:v>
      </x:c>
      <x:c r="R53" s="56" t="str">
        <x:v>Pasa si variables requeridas quedan capturadas/confirmadas, sin contradicción y con trazabilidad a nodos fuente.</x:v>
      </x:c>
      <x:c r="S53" s="56" t="str"/>
      <x:c r="T53" s="56" t="str"/>
      <x:c r="U53" s="56" t="str"/>
      <x:c r="V53" s="56" t="str">
        <x:v>Pantalla específica Bloque 4</x:v>
      </x:c>
      <x:c r="W53" s="66" t="str"/>
      <x:c r="X53" s="66" t="str">
        <x:v>En desarrollo</x:v>
      </x:c>
      <x:c r="Y53" s="66" t="str">
        <x:v>No evaluado</x:v>
      </x:c>
      <x:c r="Z53" s="66" t="str">
        <x:v>No evaluado</x:v>
      </x:c>
      <x:c r="AA53" s="66" t="str">
        <x:v>No ejecutado</x:v>
      </x:c>
      <x:c r="AB53" s="68" t="str">
        <x:f>IF(AND(X53="No evaluado",Y53="No evaluado",Z53="No evaluado",AA53="No ejecutado"),"No evaluado",IF(OR(X53="Bloqueado",Y53="Bloqueado",Z53="Bloqueado",AA53="Bloqueado"),"Bloqueado",IF(OR(Y53="No conforme",Z53="No conforme",AA53="Falló"),"No conforme",IF(AND(OR(X53="Implementado",X53="No aplica"),OR(Y53="Conforme",Y53="No aplica"),OR(Z53="Conforme",Z53="No aplica"),OR(AA53="Pasó",AA53="No aplica")),"Conforme","Parcial"))))</x:f>
        <x:v>Parcial</x:v>
      </x:c>
      <x:c r="AC53" s="66" t="str"/>
      <x:c r="AD53" s="66" t="str"/>
      <x:c r="AE53" s="66" t="str"/>
      <x:c r="AF53" s="56" t="str">
        <x:v>TR-003</x:v>
      </x:c>
      <x:c r="AG53" s="56" t="str">
        <x:v>Runtime_Interactions_Causal_20!13</x:v>
      </x:c>
      <x:c r="AH53" s="56" t="str">
        <x:v>5be7bd2ed510c5f54ab0490535d11685f0ae981505575fdec38de8e4cdd3b2e0</x:v>
      </x:c>
    </x:row>
    <x:row r="54" ht="62" customHeight="1">
      <x:c r="A54" s="56" t="str">
        <x:v>C13</x:v>
      </x:c>
      <x:c r="B54" s="56" t="str">
        <x:v>causal_20</x:v>
      </x:c>
      <x:c r="C54" s="56" t="str">
        <x:v>4</x:v>
      </x:c>
      <x:c r="D54" s="56" t="n">
        <x:v>13</x:v>
      </x:c>
      <x:c r="E54" s="56" t="str">
        <x:v>Número de rutas alternativas</x:v>
      </x:c>
      <x:c r="F54" s="56" t="str">
        <x:v>Si hay caminos alternativos, ¿cuántos hay y bajo qué condición se toma cada uno?</x:v>
      </x:c>
      <x:c r="G54" s="56" t="str">
        <x:v>conditional_probe_card</x:v>
      </x:c>
      <x:c r="H54" s="56" t="str">
        <x:v>single_answer</x:v>
      </x:c>
      <x:c r="I54" s="56" t="str">
        <x:v>4.7b</x:v>
      </x:c>
      <x:c r="J54" s="56" t="n">
        <x:v>1</x:v>
      </x:c>
      <x:c r="K54" s="56" t="n">
        <x:v>1</x:v>
      </x:c>
      <x:c r="L54" s="56" t="n">
        <x:v>0</x:v>
      </x:c>
      <x:c r="M54" s="56" t="n">
        <x:v>0</x:v>
      </x:c>
      <x:c r="N54" s="56" t="n">
        <x:v>0</x:v>
      </x:c>
      <x:c r="O54" s="56" t="str">
        <x:v>Abrir si B4-Q26 = sí.</x:v>
      </x:c>
      <x:c r="P54" s="56" t="str">
        <x:v>captura directa; confirmar si se deriva de preload</x:v>
      </x:c>
      <x:c r="Q54" s="56" t="str">
        <x:v>No convertir texto libre o inferencia IA en hecho estructural sin ruta canónica y estado epistemológico.</x:v>
      </x:c>
      <x:c r="R54" s="56" t="str">
        <x:v>Pasa si variables requeridas quedan capturadas/confirmadas, sin contradicción y con trazabilidad a nodos fuente.</x:v>
      </x:c>
      <x:c r="S54" s="56" t="str"/>
      <x:c r="T54" s="56" t="str"/>
      <x:c r="U54" s="56" t="str"/>
      <x:c r="V54" s="56" t="str">
        <x:v>Pantalla específica Bloque 4</x:v>
      </x:c>
      <x:c r="W54" s="66" t="str"/>
      <x:c r="X54" s="66" t="str">
        <x:v>En desarrollo</x:v>
      </x:c>
      <x:c r="Y54" s="66" t="str">
        <x:v>No evaluado</x:v>
      </x:c>
      <x:c r="Z54" s="66" t="str">
        <x:v>No evaluado</x:v>
      </x:c>
      <x:c r="AA54" s="66" t="str">
        <x:v>No ejecutado</x:v>
      </x:c>
      <x:c r="AB54" s="68" t="str">
        <x:f>IF(AND(X54="No evaluado",Y54="No evaluado",Z54="No evaluado",AA54="No ejecutado"),"No evaluado",IF(OR(X54="Bloqueado",Y54="Bloqueado",Z54="Bloqueado",AA54="Bloqueado"),"Bloqueado",IF(OR(Y54="No conforme",Z54="No conforme",AA54="Falló"),"No conforme",IF(AND(OR(X54="Implementado",X54="No aplica"),OR(Y54="Conforme",Y54="No aplica"),OR(Z54="Conforme",Z54="No aplica"),OR(AA54="Pasó",AA54="No aplica")),"Conforme","Parcial"))))</x:f>
        <x:v>Parcial</x:v>
      </x:c>
      <x:c r="AC54" s="66" t="str"/>
      <x:c r="AD54" s="66" t="str"/>
      <x:c r="AE54" s="66" t="str"/>
      <x:c r="AF54" s="56" t="str">
        <x:v>TR-003</x:v>
      </x:c>
      <x:c r="AG54" s="56" t="str">
        <x:v>Runtime_Interactions_Causal_20!14</x:v>
      </x:c>
      <x:c r="AH54" s="56" t="str">
        <x:v>5be7bd2ed510c5f54ab0490535d11685f0ae981505575fdec38de8e4cdd3b2e0</x:v>
      </x:c>
    </x:row>
    <x:row r="55" ht="62" customHeight="1">
      <x:c r="A55" s="56" t="str">
        <x:v>C14</x:v>
      </x:c>
      <x:c r="B55" s="56" t="str">
        <x:v>causal_20</x:v>
      </x:c>
      <x:c r="C55" s="56" t="str">
        <x:v>4</x:v>
      </x:c>
      <x:c r="D55" s="56" t="n">
        <x:v>14</x:v>
      </x:c>
      <x:c r="E55" s="56" t="str">
        <x:v>Pasos ocultos y cambio de secuencia</x:v>
      </x:c>
      <x:c r="F55" s="56" t="str">
        <x:v>Si haces pasos extras o cambias el orden, ¿por qué lo haces y cuál es el caso real más común?</x:v>
      </x:c>
      <x:c r="G55" s="56" t="str">
        <x:v>conditional_probe_card</x:v>
      </x:c>
      <x:c r="H55" s="56" t="str">
        <x:v>single_answer</x:v>
      </x:c>
      <x:c r="I55" s="56" t="str">
        <x:v>4.9b, 4.10b, 4.B, 4.C</x:v>
      </x:c>
      <x:c r="J55" s="56" t="n">
        <x:v>4</x:v>
      </x:c>
      <x:c r="K55" s="56" t="n">
        <x:v>2</x:v>
      </x:c>
      <x:c r="L55" s="56" t="n">
        <x:v>2</x:v>
      </x:c>
      <x:c r="M55" s="56" t="n">
        <x:v>0</x:v>
      </x:c>
      <x:c r="N55" s="56" t="n">
        <x:v>0</x:v>
      </x:c>
      <x:c r="O55" s="56" t="str">
        <x:v>Abrir si B4-Q27 o B4-Q28 detectan hidden_subprocess, sequence change, paralelismo confuso o no-linealidad.</x:v>
      </x:c>
      <x:c r="P55" s="56" t="str">
        <x:v>captura directa; confirmar si se deriva de preload</x:v>
      </x:c>
      <x:c r="Q55" s="56" t="str">
        <x:v>No convertir texto libre o inferencia IA en hecho estructural sin ruta canónica y estado epistemológico.</x:v>
      </x:c>
      <x:c r="R55" s="56" t="str">
        <x:v>Pasa si variables requeridas quedan capturadas/confirmadas, sin contradicción y con trazabilidad a nodos fuente.</x:v>
      </x:c>
      <x:c r="S55" s="56" t="str"/>
      <x:c r="T55" s="56" t="str"/>
      <x:c r="U55" s="56" t="str"/>
      <x:c r="V55" s="56" t="str">
        <x:v>Pantalla específica Bloque 4</x:v>
      </x:c>
      <x:c r="W55" s="66" t="str"/>
      <x:c r="X55" s="66" t="str">
        <x:v>En desarrollo</x:v>
      </x:c>
      <x:c r="Y55" s="66" t="str">
        <x:v>No evaluado</x:v>
      </x:c>
      <x:c r="Z55" s="66" t="str">
        <x:v>No evaluado</x:v>
      </x:c>
      <x:c r="AA55" s="66" t="str">
        <x:v>No ejecutado</x:v>
      </x:c>
      <x:c r="AB55" s="68" t="str">
        <x:f>IF(AND(X55="No evaluado",Y55="No evaluado",Z55="No evaluado",AA55="No ejecutado"),"No evaluado",IF(OR(X55="Bloqueado",Y55="Bloqueado",Z55="Bloqueado",AA55="Bloqueado"),"Bloqueado",IF(OR(Y55="No conforme",Z55="No conforme",AA55="Falló"),"No conforme",IF(AND(OR(X55="Implementado",X55="No aplica"),OR(Y55="Conforme",Y55="No aplica"),OR(Z55="Conforme",Z55="No aplica"),OR(AA55="Pasó",AA55="No aplica")),"Conforme","Parcial"))))</x:f>
        <x:v>Parcial</x:v>
      </x:c>
      <x:c r="AC55" s="66" t="str"/>
      <x:c r="AD55" s="66" t="str"/>
      <x:c r="AE55" s="66" t="str"/>
      <x:c r="AF55" s="56" t="str">
        <x:v>TR-003</x:v>
      </x:c>
      <x:c r="AG55" s="56" t="str">
        <x:v>Runtime_Interactions_Causal_20!15</x:v>
      </x:c>
      <x:c r="AH55" s="56" t="str">
        <x:v>5be7bd2ed510c5f54ab0490535d11685f0ae981505575fdec38de8e4cdd3b2e0</x:v>
      </x:c>
    </x:row>
    <x:row r="56" ht="62" customHeight="1">
      <x:c r="A56" s="56" t="str">
        <x:v>C15</x:v>
      </x:c>
      <x:c r="B56" s="56" t="str">
        <x:v>causal_20</x:v>
      </x:c>
      <x:c r="C56" s="56" t="str">
        <x:v>5</x:v>
      </x:c>
      <x:c r="D56" s="56" t="n">
        <x:v>15</x:v>
      </x:c>
      <x:c r="E56" s="56" t="str">
        <x:v>Destino de variedad residual y sostenibilidad</x:v>
      </x:c>
      <x:c r="F56" s="56" t="str">
        <x:v>Cuando algo se escapa de tu capacidad, ¿qué pasa? ¿Qué tendría que cambiar para que fuera justo o sostenible?</x:v>
      </x:c>
      <x:c r="G56" s="56" t="str">
        <x:v>conditional_probe_card</x:v>
      </x:c>
      <x:c r="H56" s="56" t="str">
        <x:v>single_answer</x:v>
      </x:c>
      <x:c r="I56" s="56" t="str">
        <x:v>5.13, 5.14b, 5.A, 5.B, 5.C</x:v>
      </x:c>
      <x:c r="J56" s="56" t="n">
        <x:v>5</x:v>
      </x:c>
      <x:c r="K56" s="56" t="n">
        <x:v>2</x:v>
      </x:c>
      <x:c r="L56" s="56" t="n">
        <x:v>3</x:v>
      </x:c>
      <x:c r="M56" s="56" t="n">
        <x:v>0</x:v>
      </x:c>
      <x:c r="N56" s="56" t="n">
        <x:v>0</x:v>
      </x:c>
      <x:c r="O56" s="56" t="str">
        <x:v>Abrir si B5-Q29 muestra brecha, B5-Q33 muestra no absorción o resource_bargain bajo.</x:v>
      </x:c>
      <x:c r="P56" s="56" t="str">
        <x:v>captura directa; confirmar si se deriva de preload</x:v>
      </x:c>
      <x:c r="Q56" s="56" t="str">
        <x:v>No convertir texto libre o inferencia IA en hecho estructural sin ruta canónica y estado epistemológico.</x:v>
      </x:c>
      <x:c r="R56" s="56" t="str">
        <x:v>Pasa si variables requeridas quedan capturadas/confirmadas, sin contradicción y con trazabilidad a nodos fuente.</x:v>
      </x:c>
      <x:c r="S56" s="56" t="str"/>
      <x:c r="T56" s="56" t="str"/>
      <x:c r="U56" s="56" t="str"/>
      <x:c r="V56" s="56" t="str">
        <x:v>Pantalla específica Bloque 5</x:v>
      </x:c>
      <x:c r="W56" s="66" t="str"/>
      <x:c r="X56" s="66" t="str">
        <x:v>En desarrollo</x:v>
      </x:c>
      <x:c r="Y56" s="66" t="str">
        <x:v>No evaluado</x:v>
      </x:c>
      <x:c r="Z56" s="66" t="str">
        <x:v>No evaluado</x:v>
      </x:c>
      <x:c r="AA56" s="66" t="str">
        <x:v>No ejecutado</x:v>
      </x:c>
      <x:c r="AB56" s="68" t="str">
        <x:f>IF(AND(X56="No evaluado",Y56="No evaluado",Z56="No evaluado",AA56="No ejecutado"),"No evaluado",IF(OR(X56="Bloqueado",Y56="Bloqueado",Z56="Bloqueado",AA56="Bloqueado"),"Bloqueado",IF(OR(Y56="No conforme",Z56="No conforme",AA56="Falló"),"No conforme",IF(AND(OR(X56="Implementado",X56="No aplica"),OR(Y56="Conforme",Y56="No aplica"),OR(Z56="Conforme",Z56="No aplica"),OR(AA56="Pasó",AA56="No aplica")),"Conforme","Parcial"))))</x:f>
        <x:v>Parcial</x:v>
      </x:c>
      <x:c r="AC56" s="66" t="str"/>
      <x:c r="AD56" s="66" t="str"/>
      <x:c r="AE56" s="66" t="str"/>
      <x:c r="AF56" s="56" t="str">
        <x:v>TR-003</x:v>
      </x:c>
      <x:c r="AG56" s="56" t="str">
        <x:v>Runtime_Interactions_Causal_20!16</x:v>
      </x:c>
      <x:c r="AH56" s="56" t="str">
        <x:v>5be7bd2ed510c5f54ab0490535d11685f0ae981505575fdec38de8e4cdd3b2e0</x:v>
      </x:c>
    </x:row>
    <x:row r="57" ht="62" customHeight="1">
      <x:c r="A57" s="56" t="str">
        <x:v>C16</x:v>
      </x:c>
      <x:c r="B57" s="56" t="str">
        <x:v>causal_20</x:v>
      </x:c>
      <x:c r="C57" s="56" t="str">
        <x:v>6</x:v>
      </x:c>
      <x:c r="D57" s="56" t="n">
        <x:v>16</x:v>
      </x:c>
      <x:c r="E57" s="56" t="str">
        <x:v>Retrabajo: objeto, condición y dueño esperado</x:v>
      </x:c>
      <x:c r="F57" s="56" t="str">
        <x:v>¿Qué regresa o se corrige, cuándo ocurre y quién debería haberlo hecho bien la primera vez?</x:v>
      </x:c>
      <x:c r="G57" s="56" t="str">
        <x:v>conditional_probe_card</x:v>
      </x:c>
      <x:c r="H57" s="56" t="str">
        <x:v>single_answer</x:v>
      </x:c>
      <x:c r="I57" s="56" t="str">
        <x:v>6.2a, 6.2b, 6.2c</x:v>
      </x:c>
      <x:c r="J57" s="56" t="n">
        <x:v>3</x:v>
      </x:c>
      <x:c r="K57" s="56" t="n">
        <x:v>3</x:v>
      </x:c>
      <x:c r="L57" s="56" t="n">
        <x:v>0</x:v>
      </x:c>
      <x:c r="M57" s="56" t="n">
        <x:v>0</x:v>
      </x:c>
      <x:c r="N57" s="56" t="n">
        <x:v>0</x:v>
      </x:c>
      <x:c r="O57" s="56" t="str">
        <x:v>Abrir si B6-Q35 = sí.</x:v>
      </x:c>
      <x:c r="P57" s="56" t="str">
        <x:v>captura directa; confirmar si se deriva de preload</x:v>
      </x:c>
      <x:c r="Q57" s="56" t="str">
        <x:v>No convertir texto libre o inferencia IA en hecho estructural sin ruta canónica y estado epistemológico.</x:v>
      </x:c>
      <x:c r="R57" s="56" t="str">
        <x:v>Pasa si variables requeridas quedan capturadas/confirmadas, sin contradicción y con trazabilidad a nodos fuente.</x:v>
      </x:c>
      <x:c r="S57" s="56" t="str"/>
      <x:c r="T57" s="56" t="str"/>
      <x:c r="U57" s="56" t="str"/>
      <x:c r="V57" s="56" t="str">
        <x:v>Pantalla específica Bloque 6</x:v>
      </x:c>
      <x:c r="W57" s="66" t="str"/>
      <x:c r="X57" s="66" t="str">
        <x:v>En desarrollo</x:v>
      </x:c>
      <x:c r="Y57" s="66" t="str">
        <x:v>No evaluado</x:v>
      </x:c>
      <x:c r="Z57" s="66" t="str">
        <x:v>No evaluado</x:v>
      </x:c>
      <x:c r="AA57" s="66" t="str">
        <x:v>No ejecutado</x:v>
      </x:c>
      <x:c r="AB57" s="68" t="str">
        <x:f>IF(AND(X57="No evaluado",Y57="No evaluado",Z57="No evaluado",AA57="No ejecutado"),"No evaluado",IF(OR(X57="Bloqueado",Y57="Bloqueado",Z57="Bloqueado",AA57="Bloqueado"),"Bloqueado",IF(OR(Y57="No conforme",Z57="No conforme",AA57="Falló"),"No conforme",IF(AND(OR(X57="Implementado",X57="No aplica"),OR(Y57="Conforme",Y57="No aplica"),OR(Z57="Conforme",Z57="No aplica"),OR(AA57="Pasó",AA57="No aplica")),"Conforme","Parcial"))))</x:f>
        <x:v>Parcial</x:v>
      </x:c>
      <x:c r="AC57" s="66" t="str"/>
      <x:c r="AD57" s="66" t="str"/>
      <x:c r="AE57" s="66" t="str"/>
      <x:c r="AF57" s="56" t="str">
        <x:v>TR-003</x:v>
      </x:c>
      <x:c r="AG57" s="56" t="str">
        <x:v>Runtime_Interactions_Causal_20!17</x:v>
      </x:c>
      <x:c r="AH57" s="56" t="str">
        <x:v>5be7bd2ed510c5f54ab0490535d11685f0ae981505575fdec38de8e4cdd3b2e0</x:v>
      </x:c>
    </x:row>
    <x:row r="58" ht="62" customHeight="1">
      <x:c r="A58" s="56" t="str">
        <x:v>C17</x:v>
      </x:c>
      <x:c r="B58" s="56" t="str">
        <x:v>causal_20</x:v>
      </x:c>
      <x:c r="C58" s="56" t="str">
        <x:v>6</x:v>
      </x:c>
      <x:c r="D58" s="56" t="n">
        <x:v>17</x:v>
      </x:c>
      <x:c r="E58" s="56" t="str">
        <x:v>Respuesta ante información faltante o regla informal</x:v>
      </x:c>
      <x:c r="F58" s="56" t="str">
        <x:v>Cuando falta información, ¿esperas, adivinas, escalas o avanzas? Si hay regla informal, ¿la hacen otros y con qué autoridad?</x:v>
      </x:c>
      <x:c r="G58" s="56" t="str">
        <x:v>conditional_probe_card</x:v>
      </x:c>
      <x:c r="H58" s="56" t="str">
        <x:v>single_answer</x:v>
      </x:c>
      <x:c r="I58" s="56" t="str">
        <x:v>6.3a, 6.4a, 6.4b, 6.B</x:v>
      </x:c>
      <x:c r="J58" s="56" t="n">
        <x:v>4</x:v>
      </x:c>
      <x:c r="K58" s="56" t="n">
        <x:v>3</x:v>
      </x:c>
      <x:c r="L58" s="56" t="n">
        <x:v>1</x:v>
      </x:c>
      <x:c r="M58" s="56" t="n">
        <x:v>0</x:v>
      </x:c>
      <x:c r="N58" s="56" t="n">
        <x:v>0</x:v>
      </x:c>
      <x:c r="O58" s="56" t="str">
        <x:v>Abrir si B6-Q36 marca missing_information o informal_rule_present.</x:v>
      </x:c>
      <x:c r="P58" s="56" t="str">
        <x:v>captura directa; confirmar si se deriva de preload</x:v>
      </x:c>
      <x:c r="Q58" s="56" t="str">
        <x:v>No convertir texto libre o inferencia IA en hecho estructural sin ruta canónica y estado epistemológico.</x:v>
      </x:c>
      <x:c r="R58" s="56" t="str">
        <x:v>Pasa si variables requeridas quedan capturadas/confirmadas, sin contradicción y con trazabilidad a nodos fuente.</x:v>
      </x:c>
      <x:c r="S58" s="56" t="str"/>
      <x:c r="T58" s="56" t="str"/>
      <x:c r="U58" s="56" t="str"/>
      <x:c r="V58" s="56" t="str">
        <x:v>Pantalla específica Bloque 6</x:v>
      </x:c>
      <x:c r="W58" s="66" t="str"/>
      <x:c r="X58" s="66" t="str">
        <x:v>En desarrollo</x:v>
      </x:c>
      <x:c r="Y58" s="66" t="str">
        <x:v>No evaluado</x:v>
      </x:c>
      <x:c r="Z58" s="66" t="str">
        <x:v>No evaluado</x:v>
      </x:c>
      <x:c r="AA58" s="66" t="str">
        <x:v>No ejecutado</x:v>
      </x:c>
      <x:c r="AB58" s="68" t="str">
        <x:f>IF(AND(X58="No evaluado",Y58="No evaluado",Z58="No evaluado",AA58="No ejecutado"),"No evaluado",IF(OR(X58="Bloqueado",Y58="Bloqueado",Z58="Bloqueado",AA58="Bloqueado"),"Bloqueado",IF(OR(Y58="No conforme",Z58="No conforme",AA58="Falló"),"No conforme",IF(AND(OR(X58="Implementado",X58="No aplica"),OR(Y58="Conforme",Y58="No aplica"),OR(Z58="Conforme",Z58="No aplica"),OR(AA58="Pasó",AA58="No aplica")),"Conforme","Parcial"))))</x:f>
        <x:v>Parcial</x:v>
      </x:c>
      <x:c r="AC58" s="66" t="str"/>
      <x:c r="AD58" s="66" t="str"/>
      <x:c r="AE58" s="66" t="str"/>
      <x:c r="AF58" s="56" t="str">
        <x:v>TR-003</x:v>
      </x:c>
      <x:c r="AG58" s="56" t="str">
        <x:v>Runtime_Interactions_Causal_20!18</x:v>
      </x:c>
      <x:c r="AH58" s="56" t="str">
        <x:v>5be7bd2ed510c5f54ab0490535d11685f0ae981505575fdec38de8e4cdd3b2e0</x:v>
      </x:c>
    </x:row>
    <x:row r="59" ht="62" customHeight="1">
      <x:c r="A59" s="56" t="str">
        <x:v>C18</x:v>
      </x:c>
      <x:c r="B59" s="56" t="str">
        <x:v>causal_20</x:v>
      </x:c>
      <x:c r="C59" s="56" t="str">
        <x:v>6</x:v>
      </x:c>
      <x:c r="D59" s="56" t="n">
        <x:v>18</x:v>
      </x:c>
      <x:c r="E59" s="56" t="str">
        <x:v>Desgaste, duración y reconocimiento</x:v>
      </x:c>
      <x:c r="F59" s="56" t="str">
        <x:v>¿Cuánto tiempo lleva el desgaste, quién lo sabe, cuál es la parte más difícil y está reconocido en tu rol/evaluación?</x:v>
      </x:c>
      <x:c r="G59" s="56" t="str">
        <x:v>conditional_probe_card</x:v>
      </x:c>
      <x:c r="H59" s="56" t="str">
        <x:v>single_answer</x:v>
      </x:c>
      <x:c r="I59" s="56" t="str">
        <x:v>6.6a, 6.6b, 6.7a, 6.7b, 6.C</x:v>
      </x:c>
      <x:c r="J59" s="56" t="n">
        <x:v>5</x:v>
      </x:c>
      <x:c r="K59" s="56" t="n">
        <x:v>4</x:v>
      </x:c>
      <x:c r="L59" s="56" t="n">
        <x:v>1</x:v>
      </x:c>
      <x:c r="M59" s="56" t="n">
        <x:v>0</x:v>
      </x:c>
      <x:c r="N59" s="56" t="n">
        <x:v>0</x:v>
      </x:c>
      <x:c r="O59" s="56" t="str">
        <x:v>Abrir si B6-Q37 muestra sacrificio, desgaste o costo alto.</x:v>
      </x:c>
      <x:c r="P59" s="56" t="str">
        <x:v>captura directa; confirmar si se deriva de preload</x:v>
      </x:c>
      <x:c r="Q59" s="56" t="str">
        <x:v>No convertir texto libre o inferencia IA en hecho estructural sin ruta canónica y estado epistemológico.</x:v>
      </x:c>
      <x:c r="R59" s="56" t="str">
        <x:v>Pasa si variables requeridas quedan capturadas/confirmadas, sin contradicción y con trazabilidad a nodos fuente.</x:v>
      </x:c>
      <x:c r="S59" s="56" t="str"/>
      <x:c r="T59" s="56" t="str"/>
      <x:c r="U59" s="56" t="str"/>
      <x:c r="V59" s="56" t="str">
        <x:v>Pantalla específica Bloque 6</x:v>
      </x:c>
      <x:c r="W59" s="66" t="str"/>
      <x:c r="X59" s="66" t="str">
        <x:v>En desarrollo</x:v>
      </x:c>
      <x:c r="Y59" s="66" t="str">
        <x:v>No evaluado</x:v>
      </x:c>
      <x:c r="Z59" s="66" t="str">
        <x:v>No evaluado</x:v>
      </x:c>
      <x:c r="AA59" s="66" t="str">
        <x:v>No ejecutado</x:v>
      </x:c>
      <x:c r="AB59" s="68" t="str">
        <x:f>IF(AND(X59="No evaluado",Y59="No evaluado",Z59="No evaluado",AA59="No ejecutado"),"No evaluado",IF(OR(X59="Bloqueado",Y59="Bloqueado",Z59="Bloqueado",AA59="Bloqueado"),"Bloqueado",IF(OR(Y59="No conforme",Z59="No conforme",AA59="Falló"),"No conforme",IF(AND(OR(X59="Implementado",X59="No aplica"),OR(Y59="Conforme",Y59="No aplica"),OR(Z59="Conforme",Z59="No aplica"),OR(AA59="Pasó",AA59="No aplica")),"Conforme","Parcial"))))</x:f>
        <x:v>Parcial</x:v>
      </x:c>
      <x:c r="AC59" s="66" t="str"/>
      <x:c r="AD59" s="66" t="str"/>
      <x:c r="AE59" s="66" t="str"/>
      <x:c r="AF59" s="56" t="str">
        <x:v>TR-003</x:v>
      </x:c>
      <x:c r="AG59" s="56" t="str">
        <x:v>Runtime_Interactions_Causal_20!19</x:v>
      </x:c>
      <x:c r="AH59" s="56" t="str">
        <x:v>5be7bd2ed510c5f54ab0490535d11685f0ae981505575fdec38de8e4cdd3b2e0</x:v>
      </x:c>
    </x:row>
    <x:row r="60" ht="62" customHeight="1">
      <x:c r="A60" s="56" t="str">
        <x:v>C19</x:v>
      </x:c>
      <x:c r="B60" s="56" t="str">
        <x:v>causal_20</x:v>
      </x:c>
      <x:c r="C60" s="56" t="str">
        <x:v>6</x:v>
      </x:c>
      <x:c r="D60" s="56" t="n">
        <x:v>19</x:v>
      </x:c>
      <x:c r="E60" s="56" t="str">
        <x:v>Patrón repetitivo, dueño esperado y tensión interpersonal</x:v>
      </x:c>
      <x:c r="F60" s="56" t="str">
        <x:v>¿Bajo qué circunstancias falla siempre, cuántas veces ocurrió, qué se intentó, quién debería absorber ese trabajo y qué pasa entre áreas/personas?</x:v>
      </x:c>
      <x:c r="G60" s="56" t="str">
        <x:v>conditional_probe_card</x:v>
      </x:c>
      <x:c r="H60" s="56" t="str">
        <x:v>single_answer</x:v>
      </x:c>
      <x:c r="I60" s="56" t="str">
        <x:v>6.9a, 6.9b, 6.9c, 6.10a, 6.10b, 6.10c, 6.A</x:v>
      </x:c>
      <x:c r="J60" s="56" t="n">
        <x:v>7</x:v>
      </x:c>
      <x:c r="K60" s="56" t="n">
        <x:v>6</x:v>
      </x:c>
      <x:c r="L60" s="56" t="n">
        <x:v>1</x:v>
      </x:c>
      <x:c r="M60" s="56" t="n">
        <x:v>0</x:v>
      </x:c>
      <x:c r="N60" s="56" t="n">
        <x:v>0</x:v>
      </x:c>
      <x:c r="O60" s="56" t="str">
        <x:v>Abrir si B6-Q38 detecta patrón repetitivo, variedad residual o compensación interpersonal.</x:v>
      </x:c>
      <x:c r="P60" s="56" t="str">
        <x:v>captura directa; confirmar si se deriva de preload</x:v>
      </x:c>
      <x:c r="Q60" s="56" t="str">
        <x:v>No convertir texto libre o inferencia IA en hecho estructural sin ruta canónica y estado epistemológico.</x:v>
      </x:c>
      <x:c r="R60" s="56" t="str">
        <x:v>Pasa si variables requeridas quedan capturadas/confirmadas, sin contradicción y con trazabilidad a nodos fuente.</x:v>
      </x:c>
      <x:c r="S60" s="56" t="str"/>
      <x:c r="T60" s="56" t="str"/>
      <x:c r="U60" s="56" t="str"/>
      <x:c r="V60" s="56" t="str">
        <x:v>Pantalla específica Bloque 6</x:v>
      </x:c>
      <x:c r="W60" s="66" t="str"/>
      <x:c r="X60" s="66" t="str">
        <x:v>En desarrollo</x:v>
      </x:c>
      <x:c r="Y60" s="66" t="str">
        <x:v>No evaluado</x:v>
      </x:c>
      <x:c r="Z60" s="66" t="str">
        <x:v>No evaluado</x:v>
      </x:c>
      <x:c r="AA60" s="66" t="str">
        <x:v>No ejecutado</x:v>
      </x:c>
      <x:c r="AB60" s="68" t="str">
        <x:f>IF(AND(X60="No evaluado",Y60="No evaluado",Z60="No evaluado",AA60="No ejecutado"),"No evaluado",IF(OR(X60="Bloqueado",Y60="Bloqueado",Z60="Bloqueado",AA60="Bloqueado"),"Bloqueado",IF(OR(Y60="No conforme",Z60="No conforme",AA60="Falló"),"No conforme",IF(AND(OR(X60="Implementado",X60="No aplica"),OR(Y60="Conforme",Y60="No aplica"),OR(Z60="Conforme",Z60="No aplica"),OR(AA60="Pasó",AA60="No aplica")),"Conforme","Parcial"))))</x:f>
        <x:v>Parcial</x:v>
      </x:c>
      <x:c r="AC60" s="66" t="str"/>
      <x:c r="AD60" s="66" t="str"/>
      <x:c r="AE60" s="66" t="str"/>
      <x:c r="AF60" s="56" t="str">
        <x:v>TR-003</x:v>
      </x:c>
      <x:c r="AG60" s="56" t="str">
        <x:v>Runtime_Interactions_Causal_20!20</x:v>
      </x:c>
      <x:c r="AH60" s="56" t="str">
        <x:v>5be7bd2ed510c5f54ab0490535d11685f0ae981505575fdec38de8e4cdd3b2e0</x:v>
      </x:c>
    </x:row>
    <x:row r="61" ht="62" customHeight="1">
      <x:c r="A61" s="56" t="str">
        <x:v>C20</x:v>
      </x:c>
      <x:c r="B61" s="56" t="str">
        <x:v>causal_20</x:v>
      </x:c>
      <x:c r="C61" s="56" t="str">
        <x:v>7</x:v>
      </x:c>
      <x:c r="D61" s="56" t="n">
        <x:v>20</x:v>
      </x:c>
      <x:c r="E61" s="56" t="str">
        <x:v>Verificación ligera y frontera no diagnóstica</x:v>
      </x:c>
      <x:c r="F61" s="56" t="str">
        <x:v>Confirmar o corregir tipo preliminar, posición en flujo, señales cruzadas y tensión interpersonal sin emitir diagnóstico. Solo se abre si B7-Q39/B7-Q40 no resolvieron la ambigüedad.</x:v>
      </x:c>
      <x:c r="G61" s="56" t="str">
        <x:v>confirmation_card_with_correction</x:v>
      </x:c>
      <x:c r="H61" s="56" t="str">
        <x:v>preclassification_type; chain_position; crossed_signal; correction_or_manual_review</x:v>
      </x:c>
      <x:c r="I61" s="56" t="str">
        <x:v>7.0, 7.0a, 7.1, 7.2, 7.3, 7.3a, 7.4</x:v>
      </x:c>
      <x:c r="J61" s="56" t="n">
        <x:v>7</x:v>
      </x:c>
      <x:c r="K61" s="56" t="n">
        <x:v>5</x:v>
      </x:c>
      <x:c r="L61" s="56" t="n">
        <x:v>0</x:v>
      </x:c>
      <x:c r="M61" s="56" t="n">
        <x:v>0</x:v>
      </x:c>
      <x:c r="N61" s="56" t="n">
        <x:v>2</x:v>
      </x:c>
      <x:c r="O61" s="56" t="str">
        <x:v>Abrir solo con baja confianza, señales cruzadas o necesidad de corrección. No produce inventario, IR, export ni diagnóstico por sí solo.</x:v>
      </x:c>
      <x:c r="P61" s="56" t="str">
        <x:v>confirmar si inferido o baja confianza</x:v>
      </x:c>
      <x:c r="Q61" s="56" t="str">
        <x:v>No convertir texto libre o inferencia IA en hecho estructural sin ruta canónica y estado epistemológico.</x:v>
      </x:c>
      <x:c r="R61" s="56" t="str">
        <x:v>Pasa si variables requeridas quedan capturadas/confirmadas, sin contradicción y con trazabilidad a nodos fuente.</x:v>
      </x:c>
      <x:c r="S61" s="56" t="str">
        <x:v>Mostrar como una tarjeta única con subcampos editables/chips; no como caja de texto indiferenciada.</x:v>
      </x:c>
      <x:c r="T61" s="56" t="str">
        <x:v>Persistir cada subcampo como variable separable con su provenance y confidence.</x:v>
      </x:c>
      <x:c r="U61" s="56" t="str">
        <x:v>La carga visible parece menor, pero se oculta ambigüedad y se pierde trazabilidad.</x:v>
      </x:c>
      <x:c r="V61" s="56" t="str">
        <x:v>Pantalla específica Bloque 7</x:v>
      </x:c>
      <x:c r="W61" s="66" t="str"/>
      <x:c r="X61" s="66" t="str">
        <x:v>En desarrollo</x:v>
      </x:c>
      <x:c r="Y61" s="66" t="str">
        <x:v>No evaluado</x:v>
      </x:c>
      <x:c r="Z61" s="66" t="str">
        <x:v>No evaluado</x:v>
      </x:c>
      <x:c r="AA61" s="66" t="str">
        <x:v>No ejecutado</x:v>
      </x:c>
      <x:c r="AB61" s="68" t="str">
        <x:f>IF(AND(X61="No evaluado",Y61="No evaluado",Z61="No evaluado",AA61="No ejecutado"),"No evaluado",IF(OR(X61="Bloqueado",Y61="Bloqueado",Z61="Bloqueado",AA61="Bloqueado"),"Bloqueado",IF(OR(Y61="No conforme",Z61="No conforme",AA61="Falló"),"No conforme",IF(AND(OR(X61="Implementado",X61="No aplica"),OR(Y61="Conforme",Y61="No aplica"),OR(Z61="Conforme",Z61="No aplica"),OR(AA61="Pasó",AA61="No aplica")),"Conforme","Parcial"))))</x:f>
        <x:v>Parcial</x:v>
      </x:c>
      <x:c r="AC61" s="66" t="str"/>
      <x:c r="AD61" s="66" t="str"/>
      <x:c r="AE61" s="66" t="str"/>
      <x:c r="AF61" s="56" t="str">
        <x:v>TR-003</x:v>
      </x:c>
      <x:c r="AG61" s="56" t="str">
        <x:v>Runtime_Interactions_Causal_20!21</x:v>
      </x:c>
      <x:c r="AH61" s="56" t="str">
        <x:v>5be7bd2ed510c5f54ab0490535d11685f0ae981505575fdec38de8e4cdd3b2e0</x:v>
      </x:c>
    </x:row>
  </x:sheetData>
  <x:conditionalFormatting sqref="AB2:AB61">
    <x:cfRule type="expression" dxfId="0" priority="1">
      <x:formula>AB2="Conforme"</x:formula>
    </x:cfRule>
    <x:cfRule type="expression" dxfId="1" priority="2">
      <x:formula>AB2="Parcial"</x:formula>
    </x:cfRule>
    <x:cfRule type="expression" dxfId="2" priority="3">
      <x:formula>OR(AB2="No conforme",AB2="Bloqueado")</x:formula>
    </x:cfRule>
    <x:cfRule type="expression" dxfId="3" priority="4">
      <x:formula>AB2="No evaluado"</x:formula>
    </x:cfRule>
  </x:conditionalFormatting>
  <x:dataValidations count="3">
    <x:dataValidation type="list" sqref="X2:X61">
      <x:formula1>"No evaluado,En diseño,En desarrollo,Implementado,Bloqueado,No aplica,Existente / por verificar"</x:formula1>
    </x:dataValidation>
    <x:dataValidation type="list" sqref="Y2:Z61">
      <x:formula1>"No evaluado,Conforme,Parcial,No conforme,Bloqueado,No aplica"</x:formula1>
    </x:dataValidation>
    <x:dataValidation type="list" sqref="AA2:AA61">
      <x:formula1>"No ejecutado,Pasó,Falló,Bloqueado,No aplica"</x:formula1>
    </x:dataValidation>
  </x:dataValidations>
  <x:pageMargins left="0.7" right="0.7" top="0.75" bottom="0.75" header="0.3" footer="0.3"/>
  <x:tableParts count="1">
    <x:tablePart xmlns:r="http://schemas.openxmlformats.org/officeDocument/2006/relationships" r:id="Rc1d93b1190d64366"/>
  </x:tableParts>
</x:worksheet>
</file>

<file path=xl/worksheets/sheet3.xml><?xml version="1.0" encoding="utf-8"?>
<x:worksheet xmlns:x="http://schemas.openxmlformats.org/spreadsheetml/2006/main">
  <x:sheetFormatPr defaultRowHeight="15"/>
  <x:cols>
    <x:col min="1" max="1" width="16" hidden="0" customWidth="1"/>
    <x:col min="2" max="2" width="8" hidden="0" customWidth="1"/>
    <x:col min="3" max="3" width="13" hidden="0" customWidth="1"/>
    <x:col min="4" max="4" width="10" hidden="0" customWidth="1"/>
    <x:col min="5" max="5" width="10" hidden="0" customWidth="1"/>
    <x:col min="6" max="6" width="18" hidden="0" customWidth="1"/>
    <x:col min="7" max="7" width="15" hidden="0" customWidth="1"/>
    <x:col min="8" max="8" width="46" hidden="0" customWidth="1"/>
    <x:col min="9" max="9" width="44" hidden="0" customWidth="1"/>
    <x:col min="10" max="10" width="24" hidden="0" customWidth="1"/>
    <x:col min="11" max="11" width="22" hidden="0" customWidth="1"/>
    <x:col min="12" max="12" width="42" hidden="0" customWidth="1"/>
    <x:col min="13" max="13" width="40" hidden="0" customWidth="1"/>
    <x:col min="14" max="14" width="40" hidden="0" customWidth="1"/>
    <x:col min="15" max="15" width="44" hidden="0" customWidth="1"/>
    <x:col min="16" max="16" width="26" hidden="0" customWidth="1"/>
    <x:col min="17" max="17" width="28" hidden="0" customWidth="1"/>
    <x:col min="18" max="18" width="42" hidden="0" customWidth="1"/>
    <x:col min="19" max="19" width="34" hidden="0" customWidth="1"/>
    <x:col min="20" max="20" width="42" hidden="0" customWidth="1"/>
    <x:col min="21" max="21" width="22" hidden="0" customWidth="1"/>
    <x:col min="22" max="22" width="30" hidden="0" customWidth="1"/>
    <x:col min="23" max="23" width="44" hidden="0" customWidth="1"/>
    <x:col min="24" max="24" width="34" hidden="0" customWidth="1"/>
    <x:col min="25" max="25" width="32" hidden="0" customWidth="1"/>
    <x:col min="26" max="26" width="42" hidden="0" customWidth="1"/>
    <x:col min="27" max="27" width="26" hidden="0" customWidth="1"/>
    <x:col min="28" max="28" width="28" hidden="0" customWidth="1"/>
    <x:col min="29" max="29" width="32" hidden="0" customWidth="1"/>
    <x:col min="30" max="30" width="18" hidden="0" customWidth="1"/>
    <x:col min="31" max="31" width="18" hidden="0" customWidth="1"/>
    <x:col min="32" max="32" width="18" hidden="0" customWidth="1"/>
    <x:col min="33" max="33" width="17" hidden="0" customWidth="1"/>
    <x:col min="34" max="34" width="17" hidden="0" customWidth="1"/>
    <x:col min="35" max="35" width="20" hidden="0" customWidth="1"/>
    <x:col min="36" max="36" width="34" hidden="0" customWidth="1"/>
    <x:col min="37" max="37" width="34" hidden="0" customWidth="1"/>
    <x:col min="38" max="38" width="32" hidden="0" customWidth="1"/>
    <x:col min="39" max="39" width="40" hidden="0" customWidth="1"/>
    <x:col min="40" max="40" width="30" hidden="0" customWidth="1"/>
  </x:cols>
  <x:sheetData>
    <x:row r="1" ht="32" customHeight="1">
      <x:c r="A1" s="49" t="str">
        <x:v>runtime_interaction_id</x:v>
      </x:c>
      <x:c r="B1" s="49" t="str">
        <x:v>block</x:v>
      </x:c>
      <x:c r="C1" s="49" t="str">
        <x:v>interaction_group</x:v>
      </x:c>
      <x:c r="D1" s="49" t="str">
        <x:v>runtime_order</x:v>
      </x:c>
      <x:c r="E1" s="49" t="str">
        <x:v>ordinal_in_interaction</x:v>
      </x:c>
      <x:c r="F1" s="49" t="str">
        <x:v>source_node_id</x:v>
      </x:c>
      <x:c r="G1" s="49" t="str">
        <x:v>source_code</x:v>
      </x:c>
      <x:c r="H1" s="49" t="str">
        <x:v>source_question_text</x:v>
      </x:c>
      <x:c r="I1" s="49" t="str">
        <x:v>help_text</x:v>
      </x:c>
      <x:c r="J1" s="49" t="str">
        <x:v>field_type</x:v>
      </x:c>
      <x:c r="K1" s="49" t="str">
        <x:v>answer_mode</x:v>
      </x:c>
      <x:c r="L1" s="49" t="str">
        <x:v>options</x:v>
      </x:c>
      <x:c r="M1" s="49" t="str">
        <x:v>required_rule</x:v>
      </x:c>
      <x:c r="N1" s="49" t="str">
        <x:v>visibility_rule</x:v>
      </x:c>
      <x:c r="O1" s="49" t="str">
        <x:v>branching_rule</x:v>
      </x:c>
      <x:c r="P1" s="49" t="str">
        <x:v>capture_slot_kind</x:v>
      </x:c>
      <x:c r="Q1" s="49" t="str">
        <x:v>policy_class</x:v>
      </x:c>
      <x:c r="R1" s="49" t="str">
        <x:v>canonical_variable_names</x:v>
      </x:c>
      <x:c r="S1" s="49" t="str">
        <x:v>provenance_type</x:v>
      </x:c>
      <x:c r="T1" s="49" t="str">
        <x:v>source_document</x:v>
      </x:c>
      <x:c r="U1" s="49" t="str">
        <x:v>source_document_sha256</x:v>
      </x:c>
      <x:c r="V1" s="49" t="str">
        <x:v>control_family</x:v>
      </x:c>
      <x:c r="W1" s="49" t="str">
        <x:v>ui_behavior_required</x:v>
      </x:c>
      <x:c r="X1" s="49" t="str">
        <x:v>payload_value_shape</x:v>
      </x:c>
      <x:c r="Y1" s="49" t="str">
        <x:v>options_authority</x:v>
      </x:c>
      <x:c r="Z1" s="49" t="str">
        <x:v>binding_rule</x:v>
      </x:c>
      <x:c r="AA1" s="49" t="str">
        <x:v>control_mapping_status</x:v>
      </x:c>
      <x:c r="AB1" s="49" t="str">
        <x:v>pantalla_objetivo</x:v>
      </x:c>
      <x:c r="AC1" s="49" t="str">
        <x:v>ruta_componente_real</x:v>
      </x:c>
      <x:c r="AD1" s="49" t="str">
        <x:v>estado_desarrollo_control</x:v>
      </x:c>
      <x:c r="AE1" s="49" t="str">
        <x:v>estado_binding_renderer</x:v>
      </x:c>
      <x:c r="AF1" s="49" t="str">
        <x:v>estado_submit_ingest</x:v>
      </x:c>
      <x:c r="AG1" s="49" t="str">
        <x:v>estado_prueba</x:v>
      </x:c>
      <x:c r="AH1" s="49" t="str">
        <x:v>conformance_slot</x:v>
      </x:c>
      <x:c r="AI1" s="49" t="str">
        <x:v>compatibilidad_runner_R3AT</x:v>
      </x:c>
      <x:c r="AJ1" s="49" t="str">
        <x:v>evidencia_prueba</x:v>
      </x:c>
      <x:c r="AK1" s="49" t="str">
        <x:v>bloqueador</x:v>
      </x:c>
      <x:c r="AL1" s="49" t="str">
        <x:v>mapping_authority</x:v>
      </x:c>
      <x:c r="AM1" s="49" t="str">
        <x:v>TR_refs</x:v>
      </x:c>
      <x:c r="AN1" s="49" t="str">
        <x:v>notas</x:v>
      </x:c>
    </x:row>
    <x:row r="2" ht="58" customHeight="1">
      <x:c r="A2" s="56" t="str">
        <x:v>B0-Q01</x:v>
      </x:c>
      <x:c r="B2" s="56" t="str">
        <x:v>0</x:v>
      </x:c>
      <x:c r="C2" s="56" t="str">
        <x:v>base_40</x:v>
      </x:c>
      <x:c r="D2" s="56" t="n">
        <x:v>1</x:v>
      </x:c>
      <x:c r="E2" s="56" t="n">
        <x:v>1</x:v>
      </x:c>
      <x:c r="F2" s="56" t="str">
        <x:v>B0_0_0</x:v>
      </x:c>
      <x:c r="G2" s="56" t="str">
        <x:v>0.0</x:v>
      </x:c>
      <x:c r="H2" s="56" t="str">
        <x:v>Carga interna de activity_literal_from_workmap y estado de calidad semántica desde WorkMapIntake.</x:v>
      </x:c>
      <x:c r="I2" s="56" t="str">
        <x:v>No aplica para usuario.</x:v>
      </x:c>
      <x:c r="J2" s="56" t="str">
        <x:v>internal_preload</x:v>
      </x:c>
      <x:c r="K2" s="56" t="str">
        <x:v>sistema</x:v>
      </x:c>
      <x:c r="L2" s="56" t="str">
        <x:v>N/A</x:v>
      </x:c>
      <x:c r="M2" s="56" t="str">
        <x:v>Obligatoria si existe actividad previa. Si la actividad llegó sin estructura usable, activar modo de reconstrucción guiada en 0.1/0.1a/0.2.</x:v>
      </x:c>
      <x:c r="N2" s="56" t="str">
        <x:v>No visible</x:v>
      </x:c>
      <x:c r="O2" s="56" t="str">
        <x:v>Si confidence baja, estructura parcial o asistencia fallida después de dos intentos, activar 0.D, 0.1a o modo de reconstrucción guiada según entry_mode.</x:v>
      </x:c>
      <x:c r="P2" s="56" t="str">
        <x:v>internal</x:v>
      </x:c>
      <x:c r="Q2" s="56" t="str">
        <x:v>SOURCE_OR_UNCONFIRMED_CONTEXT</x:v>
      </x:c>
      <x:c r="R2" s="56" t="str">
        <x:v>semantic_preload_used | activity_semantic_* | semantic_review_attempt_count | block0_entry_mode</x:v>
      </x:c>
      <x:c r="S2" s="56" t="str">
        <x:v>source_reference / ai_inferred_unconfirmed / weak_context</x:v>
      </x:c>
      <x:c r="T2" s="56" t="str">
        <x:v>Bloque_0_Documento_Madre_Capa1_v2_1_EVE_rev4_redisenado_robusto.docx</x:v>
      </x:c>
      <x:c r="U2" s="56" t="str">
        <x:v>09705631f85c35bb58b1cb491e132eb289ac47beadccbf568dafbbc025f939db</x:v>
      </x:c>
      <x:c r="V2" s="56" t="str">
        <x:v>Sin control visible / lógica interna</x:v>
      </x:c>
      <x:c r="W2" s="56" t="str">
        <x:v>No renderizar al usuario; resolver y auditar server-side.</x:v>
      </x:c>
      <x:c r="X2" s="56" t="str">
        <x:v>Sin valor de usuario</x:v>
      </x:c>
      <x:c r="Y2" s="56" t="str">
        <x:v>No aplica</x:v>
      </x:c>
      <x:c r="Z2" s="56" t="str">
        <x:v>Identidad interna por interaction/source tuple; no slot visible.</x:v>
      </x:c>
      <x:c r="AA2" s="56" t="str">
        <x:v>EXPLICIT_INTERNAL</x:v>
      </x:c>
      <x:c r="AB2" s="56" t="str">
        <x:v>Pantalla específica Bloque 0</x:v>
      </x:c>
      <x:c r="AC2" s="66" t="str"/>
      <x:c r="AD2" s="66" t="str">
        <x:v>No aplica</x:v>
      </x:c>
      <x:c r="AE2" s="66" t="str">
        <x:v>No evaluado</x:v>
      </x:c>
      <x:c r="AF2" s="66" t="str">
        <x:v>No evaluado</x:v>
      </x:c>
      <x:c r="AG2" s="66" t="str">
        <x:v>No ejecutado</x:v>
      </x:c>
      <x:c r="AH2" s="68" t="str">
        <x:f>IF(AND(AD2="No evaluado",AE2="No evaluado",AF2="No evaluado",AG2="No ejecutado"),"No evaluado",IF(OR(AD2="Bloqueado",AE2="Bloqueado",AF2="Bloqueado",AG2="Bloqueado"),"Bloqueado",IF(OR(AE2="No conforme",AF2="No conforme",AG2="Falló"),"No conforme",IF(AND(OR(AD2="Implementado",AD2="No aplica"),OR(AE2="Conforme",AE2="No aplica"),OR(AF2="Conforme",AF2="No aplica"),OR(AG2="Pasó",AG2="No aplica")),"Conforme","Parcial"))))</x:f>
        <x:v>Parcial</x:v>
      </x:c>
      <x:c r="AI2" s="56" t="str">
        <x:v>No aplica</x:v>
      </x:c>
      <x:c r="AJ2" s="66" t="str"/>
      <x:c r="AK2" s="66" t="str"/>
      <x:c r="AL2" s="56" t="str">
        <x:v>VALIDATED_044A3M / 170 identity tuples</x:v>
      </x:c>
      <x:c r="AM2" s="56" t="str">
        <x:v>TR-005; TR-006; TR-008; TR-016; TR-019; TR-028; TR-029</x:v>
      </x:c>
      <x:c r="AN2" s="66" t="str"/>
    </x:row>
    <x:row r="3" ht="58" customHeight="1">
      <x:c r="A3" s="56" t="str">
        <x:v>B0-Q01</x:v>
      </x:c>
      <x:c r="B3" s="56" t="str">
        <x:v>0</x:v>
      </x:c>
      <x:c r="C3" s="56" t="str">
        <x:v>base_40</x:v>
      </x:c>
      <x:c r="D3" s="56" t="n">
        <x:v>1</x:v>
      </x:c>
      <x:c r="E3" s="56" t="n">
        <x:v>2</x:v>
      </x:c>
      <x:c r="F3" s="56" t="str">
        <x:v>B0_0_1</x:v>
      </x:c>
      <x:c r="G3" s="56" t="str">
        <x:v>0.1</x:v>
      </x:c>
      <x:c r="H3" s="56" t="str">
        <x:v>Esto es lo que entendimos de esta actividad. ¿Está correcto?</x:v>
      </x:c>
      <x:c r="I3" s="56" t="str">
        <x:v>Revísalo rápido. Si algo no representa tu trabajo, corrígelo. Ejemplo: “Revisar facturas con soporte incompleto hasta dejarlas listas para pago”.</x:v>
      </x:c>
      <x:c r="J3" s="56" t="str">
        <x:v>generated_confirmed</x:v>
      </x:c>
      <x:c r="K3" s="56" t="str">
        <x:v>confirmar / corregir</x:v>
      </x:c>
      <x:c r="L3" s="56" t="str">
        <x:v>Sí, está correcto / Quiero corregirlo / No corresponde a esta actividad</x:v>
      </x:c>
      <x:c r="M3" s="56" t="str">
        <x:v>Obligatoria</x:v>
      </x:c>
      <x:c r="N3" s="56" t="str">
        <x:v>Siempre</x:v>
      </x:c>
      <x:c r="O3" s="56" t="str">
        <x:v>Si corrige, abrir 0.1a; si rechaza, permitir selección de otra actividad o reconstrucción guiada sin obligar a volver a WorkMapIntake.</x:v>
      </x:c>
      <x:c r="P3" s="56" t="str">
        <x:v>confirmation_or_correction</x:v>
      </x:c>
      <x:c r="Q3" s="56" t="str">
        <x:v>CONFIRMATION_OR_CORRECTION_REQUIRED</x:v>
      </x:c>
      <x:c r="R3" s="56" t="str">
        <x:v>activity_name_user_confirmed | semantic_confirmation_status | block0_entry_mode</x:v>
      </x:c>
      <x:c r="S3" s="56" t="str">
        <x:v>user_confirmed_evidence / user_corrected_evidence / reconstructed_user_evidence</x:v>
      </x:c>
      <x:c r="T3" s="56" t="str">
        <x:v>Bloque_0_Documento_Madre_Capa1_v2_1_EVE_rev4_redisenado_robusto.docx</x:v>
      </x:c>
      <x:c r="U3" s="56" t="str">
        <x:v>09705631f85c35bb58b1cb491e132eb289ac47beadccbf568dafbbc025f939db</x:v>
      </x:c>
      <x:c r="V3" s="56" t="str">
        <x:v>Confirmación + corrección editable</x:v>
      </x:c>
      <x:c r="W3" s="56" t="str">
        <x:v>Mostrar contenido prellenado/sugerido; permitir confirmar o corregir; conservar ambos resultados.</x:v>
      </x:c>
      <x:c r="X3" s="56" t="str">
        <x:v>decision:string + correction:string|null</x:v>
      </x:c>
      <x:c r="Y3" s="56" t="str">
        <x:v>Opciones literales del rector + texto de corrección cuando aplique</x:v>
      </x:c>
      <x:c r="Z3" s="56" t="str">
        <x:v>Un slot_ref por decisión/corrección visible; servidor resuelve provenance.</x:v>
      </x:c>
      <x:c r="AA3" s="56" t="str">
        <x:v>EXPLICIT_COMPOSITE</x:v>
      </x:c>
      <x:c r="AB3" s="56" t="str">
        <x:v>Pantalla específica Bloque 0</x:v>
      </x:c>
      <x:c r="AC3" s="66" t="str"/>
      <x:c r="AD3" s="66" t="str">
        <x:v>No evaluado</x:v>
      </x:c>
      <x:c r="AE3" s="66" t="str">
        <x:v>No evaluado</x:v>
      </x:c>
      <x:c r="AF3" s="66" t="str">
        <x:v>No evaluado</x:v>
      </x:c>
      <x:c r="AG3" s="66" t="str">
        <x:v>No ejecutado</x:v>
      </x:c>
      <x:c r="AH3" s="68" t="str">
        <x:f>IF(AND(AD3="No evaluado",AE3="No evaluado",AF3="No evaluado",AG3="No ejecutado"),"No evaluado",IF(OR(AD3="Bloqueado",AE3="Bloqueado",AF3="Bloqueado",AG3="Bloqueado"),"Bloqueado",IF(OR(AE3="No conforme",AF3="No conforme",AG3="Falló"),"No conforme",IF(AND(OR(AD3="Implementado",AD3="No aplica"),OR(AE3="Conforme",AE3="No aplica"),OR(AF3="Conforme",AF3="No aplica"),OR(AG3="Pasó",AG3="No aplica")),"Conforme","Parcial"))))</x:f>
        <x:v>No evaluado</x:v>
      </x:c>
      <x:c r="AI3" s="56" t="str">
        <x:v>No conforme</x:v>
      </x:c>
      <x:c r="AJ3" s="66" t="str"/>
      <x:c r="AK3" s="66" t="str"/>
      <x:c r="AL3" s="56" t="str">
        <x:v>VALIDATED_044A3M / 170 identity tuples</x:v>
      </x:c>
      <x:c r="AM3" s="56" t="str">
        <x:v>TR-005; TR-006; TR-008; TR-016; TR-019; TR-028; TR-029</x:v>
      </x:c>
      <x:c r="AN3" s="66" t="str"/>
    </x:row>
    <x:row r="4" ht="58" customHeight="1">
      <x:c r="A4" s="56" t="str">
        <x:v>B0-Q01</x:v>
      </x:c>
      <x:c r="B4" s="56" t="str">
        <x:v>0</x:v>
      </x:c>
      <x:c r="C4" s="56" t="str">
        <x:v>base_40</x:v>
      </x:c>
      <x:c r="D4" s="56" t="n">
        <x:v>1</x:v>
      </x:c>
      <x:c r="E4" s="56" t="n">
        <x:v>3</x:v>
      </x:c>
      <x:c r="F4" s="56" t="str">
        <x:v>B0_0_1a</x:v>
      </x:c>
      <x:c r="G4" s="56" t="str">
        <x:v>0.1a</x:v>
      </x:c>
      <x:c r="H4" s="56" t="str">
        <x:v>Corrige la frase para que diga claramente qué haces, sobre qué trabajas y qué queda listo.</x:v>
      </x:c>
      <x:c r="I4" s="56" t="str">
        <x:v>Usa una frase simple. Ejemplos: “Confirmar stock de pedidos urgentes antes de liberarlos” o “Reagendar una cita cancelada hasta dejarla confirmada”.</x:v>
      </x:c>
      <x:c r="J4" s="56" t="str">
        <x:v>free_text</x:v>
      </x:c>
      <x:c r="K4" s="56" t="str">
        <x:v>libre guiada</x:v>
      </x:c>
      <x:c r="L4" s="56" t="str">
        <x:v>N/A</x:v>
      </x:c>
      <x:c r="M4" s="56" t="str">
        <x:v>Obligatoria si 0.1 no se confirma, si la estructura llegó parcial o si la asistencia previa falló después de dos intentos</x:v>
      </x:c>
      <x:c r="N4" s="56" t="str">
        <x:v>Solo si el usuario corrige, si la confianza semántica es baja o si block0_entry_mode exige reconstrucción</x:v>
      </x:c>
      <x:c r="O4" s="56" t="str">
        <x:v>Si la frase sigue genérica, activar 0.A; si la escala no sirve, activar 0.C.</x:v>
      </x:c>
      <x:c r="P4" s="56" t="str">
        <x:v>visible_capture</x:v>
      </x:c>
      <x:c r="Q4" s="56" t="str">
        <x:v>CONFIRMATION_OR_CORRECTION_REQUIRED</x:v>
      </x:c>
      <x:c r="R4" s="56" t="str">
        <x:v>activity_name_user_confirmed | activity_semantic_structure_corrected | reconstructed_activity_minimum</x:v>
      </x:c>
      <x:c r="S4" s="56" t="str">
        <x:v>user_corrected_evidence</x:v>
      </x:c>
      <x:c r="T4" s="56" t="str">
        <x:v>Bloque_0_Documento_Madre_Capa1_v2_1_EVE_rev4_redisenado_robusto.docx</x:v>
      </x:c>
      <x:c r="U4" s="56" t="str">
        <x:v>09705631f85c35bb58b1cb491e132eb289ac47beadccbf568dafbbc025f939db</x:v>
      </x:c>
      <x:c r="V4" s="56" t="str">
        <x:v>Texto libre</x:v>
      </x:c>
      <x:c r="W4" s="56" t="str">
        <x:v>Capturar texto literal sin clasificación semántica cliente.</x:v>
      </x:c>
      <x:c r="X4" s="56" t="str">
        <x:v>scalar:string</x:v>
      </x:c>
      <x:c r="Y4" s="56" t="str">
        <x:v>No aplica</x:v>
      </x:c>
      <x:c r="Z4" s="56" t="str">
        <x:v>slot_ref server-issued; valor humano únicamente.</x:v>
      </x:c>
      <x:c r="AA4" s="56" t="str">
        <x:v>EXPLICIT_FIELD_TYPE</x:v>
      </x:c>
      <x:c r="AB4" s="56" t="str">
        <x:v>Pantalla específica Bloque 0</x:v>
      </x:c>
      <x:c r="AC4" s="66" t="str"/>
      <x:c r="AD4" s="66" t="str">
        <x:v>No evaluado</x:v>
      </x:c>
      <x:c r="AE4" s="66" t="str">
        <x:v>No evaluado</x:v>
      </x:c>
      <x:c r="AF4" s="66" t="str">
        <x:v>No evaluado</x:v>
      </x:c>
      <x:c r="AG4" s="66" t="str">
        <x:v>No ejecutado</x:v>
      </x:c>
      <x:c r="AH4" s="68" t="str">
        <x:f>IF(AND(AD4="No evaluado",AE4="No evaluado",AF4="No evaluado",AG4="No ejecutado"),"No evaluado",IF(OR(AD4="Bloqueado",AE4="Bloqueado",AF4="Bloqueado",AG4="Bloqueado"),"Bloqueado",IF(OR(AE4="No conforme",AF4="No conforme",AG4="Falló"),"No conforme",IF(AND(OR(AD4="Implementado",AD4="No aplica"),OR(AE4="Conforme",AE4="No aplica"),OR(AF4="Conforme",AF4="No aplica"),OR(AG4="Pasó",AG4="No aplica")),"Conforme","Parcial"))))</x:f>
        <x:v>No evaluado</x:v>
      </x:c>
      <x:c r="AI4" s="56" t="str">
        <x:v>Compatible</x:v>
      </x:c>
      <x:c r="AJ4" s="66" t="str"/>
      <x:c r="AK4" s="66" t="str"/>
      <x:c r="AL4" s="56" t="str">
        <x:v>VALIDATED_044A3M / 170 identity tuples</x:v>
      </x:c>
      <x:c r="AM4" s="56" t="str">
        <x:v>TR-005; TR-006; TR-008; TR-016; TR-019; TR-028; TR-029</x:v>
      </x:c>
      <x:c r="AN4" s="66" t="str"/>
    </x:row>
    <x:row r="5" ht="58" customHeight="1">
      <x:c r="A5" s="56" t="str">
        <x:v>B0-Q01</x:v>
      </x:c>
      <x:c r="B5" s="56" t="str">
        <x:v>0</x:v>
      </x:c>
      <x:c r="C5" s="56" t="str">
        <x:v>base_40</x:v>
      </x:c>
      <x:c r="D5" s="56" t="n">
        <x:v>1</x:v>
      </x:c>
      <x:c r="E5" s="56" t="n">
        <x:v>4</x:v>
      </x:c>
      <x:c r="F5" s="56" t="str">
        <x:v>B0_0_D</x:v>
      </x:c>
      <x:c r="G5" s="56" t="str">
        <x:v>0.D</x:v>
      </x:c>
      <x:c r="H5" s="56" t="str">
        <x:v>La estructura parece incompleta. ¿Qué falta: sobre qué trabajas, con qué criterio o qué queda listo?</x:v>
      </x:c>
      <x:c r="I5" s="56" t="str">
        <x:v>Ayúdanos a completar la frase. Debe quedar claro qué haces, sobre qué trabajas y qué resultado dejas.</x:v>
      </x:c>
      <x:c r="J5" s="56" t="str">
        <x:v>clarification</x:v>
      </x:c>
      <x:c r="K5" s="56" t="str">
        <x:v>aclarada</x:v>
      </x:c>
      <x:c r="L5" s="56" t="str">
        <x:v>Falta sobre qué trabajo / Falta criterio o estándar / Falta qué queda listo / Falta más de una cosa</x:v>
      </x:c>
      <x:c r="M5" s="56" t="str">
        <x:v>Obligatoria si falta componente semántico crítico y todavía puede completarse sin forzar una inferencia</x:v>
      </x:c>
      <x:c r="N5" s="56" t="str">
        <x:v>Solo por semantic_component_gap_flag o partial_structure_entry_mode</x:v>
      </x:c>
      <x:c r="O5" s="56" t="str">
        <x:v>Puede actualizar componentes semánticos confirmados; si el usuario no logra completarlos, deja flag visible y continúa con captura mínima de inicio/cierre.</x:v>
      </x:c>
      <x:c r="P5" s="56" t="str">
        <x:v>conditional_clarification</x:v>
      </x:c>
      <x:c r="Q5" s="56" t="str">
        <x:v>CLARIFICATION_SEPARATE</x:v>
      </x:c>
      <x:c r="R5" s="56" t="str">
        <x:v>activity_semantic_completion | semantic_gap_unresolved</x:v>
      </x:c>
      <x:c r="S5" s="56" t="str">
        <x:v>clarification / user_corrected_evidence</x:v>
      </x:c>
      <x:c r="T5" s="56" t="str">
        <x:v>Bloque_0_Documento_Madre_Capa1_v2_1_EVE_rev4_redisenado_robusto.docx</x:v>
      </x:c>
      <x:c r="U5" s="56" t="str">
        <x:v>09705631f85c35bb58b1cb491e132eb289ac47beadccbf568dafbbc025f939db</x:v>
      </x:c>
      <x:c r="V5" s="56" t="str">
        <x:v>Aclaración condicional</x:v>
      </x:c>
      <x:c r="W5" s="56" t="str">
        <x:v>Mostrar solo cuando visibility/branching lo autoriza; capturar aclaración separada.</x:v>
      </x:c>
      <x:c r="X5" s="56" t="str">
        <x:v>scalar:string|null</x:v>
      </x:c>
      <x:c r="Y5" s="56" t="str">
        <x:v>Opciones rectoras si existen; de lo contrario texto</x:v>
      </x:c>
      <x:c r="Z5" s="56" t="str">
        <x:v>slot_ref condicional server-issued; no fusionar con respuesta base.</x:v>
      </x:c>
      <x:c r="AA5" s="56" t="str">
        <x:v>EXPLICIT_CONDITIONAL</x:v>
      </x:c>
      <x:c r="AB5" s="56" t="str">
        <x:v>Pantalla específica Bloque 0</x:v>
      </x:c>
      <x:c r="AC5" s="66" t="str"/>
      <x:c r="AD5" s="66" t="str">
        <x:v>No evaluado</x:v>
      </x:c>
      <x:c r="AE5" s="66" t="str">
        <x:v>No evaluado</x:v>
      </x:c>
      <x:c r="AF5" s="66" t="str">
        <x:v>No evaluado</x:v>
      </x:c>
      <x:c r="AG5" s="66" t="str">
        <x:v>No ejecutado</x:v>
      </x:c>
      <x:c r="AH5" s="68" t="str">
        <x:f>IF(AND(AD5="No evaluado",AE5="No evaluado",AF5="No evaluado",AG5="No ejecutado"),"No evaluado",IF(OR(AD5="Bloqueado",AE5="Bloqueado",AF5="Bloqueado",AG5="Bloqueado"),"Bloqueado",IF(OR(AE5="No conforme",AF5="No conforme",AG5="Falló"),"No conforme",IF(AND(OR(AD5="Implementado",AD5="No aplica"),OR(AE5="Conforme",AE5="No aplica"),OR(AF5="Conforme",AF5="No aplica"),OR(AG5="Pasó",AG5="No aplica")),"Conforme","Parcial"))))</x:f>
        <x:v>No evaluado</x:v>
      </x:c>
      <x:c r="AI5" s="56" t="str">
        <x:v>Parcial</x:v>
      </x:c>
      <x:c r="AJ5" s="66" t="str"/>
      <x:c r="AK5" s="66" t="str"/>
      <x:c r="AL5" s="56" t="str">
        <x:v>VALIDATED_044A3M / 170 identity tuples</x:v>
      </x:c>
      <x:c r="AM5" s="56" t="str">
        <x:v>TR-005; TR-006; TR-008; TR-016; TR-019; TR-028; TR-029</x:v>
      </x:c>
      <x:c r="AN5" s="66" t="str"/>
    </x:row>
    <x:row r="6" ht="58" customHeight="1">
      <x:c r="A6" s="56" t="str">
        <x:v>B0-Q01</x:v>
      </x:c>
      <x:c r="B6" s="56" t="str">
        <x:v>0</x:v>
      </x:c>
      <x:c r="C6" s="56" t="str">
        <x:v>base_40</x:v>
      </x:c>
      <x:c r="D6" s="56" t="n">
        <x:v>1</x:v>
      </x:c>
      <x:c r="E6" s="56" t="n">
        <x:v>5</x:v>
      </x:c>
      <x:c r="F6" s="56" t="str">
        <x:v>B0_block0_entry_control</x:v>
      </x:c>
      <x:c r="G6" s="56" t="str">
        <x:v>block0_entry_control</x:v>
      </x:c>
      <x:c r="H6" s="56" t="str">
        <x:v>semantic_review_status, semantic_review_attempt_count, semantic_assistance_failed_flag, block0_entry_mode.</x:v>
      </x:c>
      <x:c r="I6" s="56" t="str">
        <x:v>No aplica: nodo de control runtime; no es pregunta visible.</x:v>
      </x:c>
      <x:c r="J6" s="56" t="str">
        <x:v>internal_control</x:v>
      </x:c>
      <x:c r="K6" s="56" t="str">
        <x:v>system</x:v>
      </x:c>
      <x:c r="L6" s="56" t="str">
        <x:v>N/A</x:v>
      </x:c>
      <x:c r="M6" s="56" t="str">
        <x:v>Siempre que exista entrada desde WorkMapIntake.</x:v>
      </x:c>
      <x:c r="N6" s="56" t="str">
        <x:v>No visible</x:v>
      </x:c>
      <x:c r="O6" s="56" t="str">
        <x:v>Controla entry_mode, review_status, retries y gap de asistencia.</x:v>
      </x:c>
      <x:c r="P6" s="56" t="str">
        <x:v>control_metadata</x:v>
      </x:c>
      <x:c r="Q6" s="56" t="str">
        <x:v>CONTROL_METADATA</x:v>
      </x:c>
      <x:c r="R6" s="56" t="str">
        <x:v>semantic_review_status | semantic_review_attempt_count | semantic_assistance_failed_flag | block0_entry_mode</x:v>
      </x:c>
      <x:c r="S6" s="56" t="str">
        <x:v>source_reference / system_status / audit_metadata / consistency_flag</x:v>
      </x:c>
      <x:c r="T6" s="56" t="str">
        <x:v>Bloque_0_Documento_Madre_Capa1_v2_1_EVE_rev4_redisenado_robusto.docx</x:v>
      </x:c>
      <x:c r="U6" s="56"/>
      <x:c r="V6" s="56" t="str">
        <x:v>Sin control visible / lógica interna</x:v>
      </x:c>
      <x:c r="W6" s="56" t="str">
        <x:v>No renderizar al usuario; resolver y auditar server-side.</x:v>
      </x:c>
      <x:c r="X6" s="56" t="str">
        <x:v>Sin valor de usuario</x:v>
      </x:c>
      <x:c r="Y6" s="56" t="str">
        <x:v>No aplica</x:v>
      </x:c>
      <x:c r="Z6" s="56" t="str">
        <x:v>Identidad interna por interaction/source tuple; no slot visible.</x:v>
      </x:c>
      <x:c r="AA6" s="56" t="str">
        <x:v>EXPLICIT_INTERNAL</x:v>
      </x:c>
      <x:c r="AB6" s="56" t="str">
        <x:v>Pantalla específica Bloque 0</x:v>
      </x:c>
      <x:c r="AC6" s="66" t="str"/>
      <x:c r="AD6" s="66" t="str">
        <x:v>No aplica</x:v>
      </x:c>
      <x:c r="AE6" s="66" t="str">
        <x:v>No evaluado</x:v>
      </x:c>
      <x:c r="AF6" s="66" t="str">
        <x:v>No evaluado</x:v>
      </x:c>
      <x:c r="AG6" s="66" t="str">
        <x:v>No ejecutado</x:v>
      </x:c>
      <x:c r="AH6" s="68" t="str">
        <x:f>IF(AND(AD6="No evaluado",AE6="No evaluado",AF6="No evaluado",AG6="No ejecutado"),"No evaluado",IF(OR(AD6="Bloqueado",AE6="Bloqueado",AF6="Bloqueado",AG6="Bloqueado"),"Bloqueado",IF(OR(AE6="No conforme",AF6="No conforme",AG6="Falló"),"No conforme",IF(AND(OR(AD6="Implementado",AD6="No aplica"),OR(AE6="Conforme",AE6="No aplica"),OR(AF6="Conforme",AF6="No aplica"),OR(AG6="Pasó",AG6="No aplica")),"Conforme","Parcial"))))</x:f>
        <x:v>Parcial</x:v>
      </x:c>
      <x:c r="AI6" s="56" t="str">
        <x:v>No aplica</x:v>
      </x:c>
      <x:c r="AJ6" s="66" t="str"/>
      <x:c r="AK6" s="66" t="str"/>
      <x:c r="AL6" s="56" t="str">
        <x:v>VALIDATED_044A3M / 170 identity tuples</x:v>
      </x:c>
      <x:c r="AM6" s="56" t="str">
        <x:v>TR-005; TR-006; TR-008; TR-016; TR-019; TR-028; TR-029</x:v>
      </x:c>
      <x:c r="AN6" s="66" t="str"/>
    </x:row>
    <x:row r="7" ht="58" customHeight="1">
      <x:c r="A7" s="56" t="str">
        <x:v>B0-Q02</x:v>
      </x:c>
      <x:c r="B7" s="56" t="str">
        <x:v>0</x:v>
      </x:c>
      <x:c r="C7" s="56" t="str">
        <x:v>base_40</x:v>
      </x:c>
      <x:c r="D7" s="56" t="n">
        <x:v>2</x:v>
      </x:c>
      <x:c r="E7" s="56" t="n">
        <x:v>1</x:v>
      </x:c>
      <x:c r="F7" s="56" t="str">
        <x:v>B0_0_2</x:v>
      </x:c>
      <x:c r="G7" s="56" t="str">
        <x:v>0.2</x:v>
      </x:c>
      <x:c r="H7" s="56" t="str">
        <x:v>En tus palabras, ¿qué ocurre cuando haces esta actividad?</x:v>
      </x:c>
      <x:c r="I7" s="56" t="str">
        <x:v>Cuéntalo en una o dos frases. No necesitamos todavía causas ni problemas. Ejemplo: “Reviso los datos, comparo contra el soporte y dejo marcado lo que puede avanzar”.</x:v>
      </x:c>
      <x:c r="J7" s="56" t="str">
        <x:v>free_text</x:v>
      </x:c>
      <x:c r="K7" s="56" t="str">
        <x:v>libre</x:v>
      </x:c>
      <x:c r="L7" s="56" t="str">
        <x:v>N/A</x:v>
      </x:c>
      <x:c r="M7" s="56" t="str">
        <x:v>Obligatoria salvo que 0.1 incluya una descripción suficiente y el usuario la confirme explícitamente</x:v>
      </x:c>
      <x:c r="N7" s="56" t="str">
        <x:v>Siempre</x:v>
      </x:c>
      <x:c r="O7" s="56" t="str">
        <x:v>Si es macroproceso o microacción, activar 0.C; si contradice 0.1, flag semántico.</x:v>
      </x:c>
      <x:c r="P7" s="56" t="str">
        <x:v>visible_capture</x:v>
      </x:c>
      <x:c r="Q7" s="56" t="str">
        <x:v>CONFIRMATION_OR_CORRECTION_REQUIRED</x:v>
      </x:c>
      <x:c r="R7" s="56" t="str">
        <x:v>activity_summary_literal | scene_summary_literal</x:v>
      </x:c>
      <x:c r="S7" s="56" t="str">
        <x:v>captured_user_evidence or user_confirmed_suggestion</x:v>
      </x:c>
      <x:c r="T7" s="56" t="str">
        <x:v>Bloque_0_Documento_Madre_Capa1_v2_1_EVE_rev4_redisenado_robusto.docx</x:v>
      </x:c>
      <x:c r="U7" s="56" t="str">
        <x:v>09705631f85c35bb58b1cb491e132eb289ac47beadccbf568dafbbc025f939db</x:v>
      </x:c>
      <x:c r="V7" s="56" t="str">
        <x:v>Texto libre</x:v>
      </x:c>
      <x:c r="W7" s="56" t="str">
        <x:v>Capturar texto literal sin clasificación semántica cliente.</x:v>
      </x:c>
      <x:c r="X7" s="56" t="str">
        <x:v>scalar:string</x:v>
      </x:c>
      <x:c r="Y7" s="56" t="str">
        <x:v>No aplica</x:v>
      </x:c>
      <x:c r="Z7" s="56" t="str">
        <x:v>slot_ref server-issued; valor humano únicamente.</x:v>
      </x:c>
      <x:c r="AA7" s="56" t="str">
        <x:v>EXPLICIT_FIELD_TYPE</x:v>
      </x:c>
      <x:c r="AB7" s="56" t="str">
        <x:v>Pantalla específica Bloque 0</x:v>
      </x:c>
      <x:c r="AC7" s="66" t="str"/>
      <x:c r="AD7" s="66" t="str">
        <x:v>No evaluado</x:v>
      </x:c>
      <x:c r="AE7" s="66" t="str">
        <x:v>No evaluado</x:v>
      </x:c>
      <x:c r="AF7" s="66" t="str">
        <x:v>No evaluado</x:v>
      </x:c>
      <x:c r="AG7" s="66" t="str">
        <x:v>No ejecutado</x:v>
      </x:c>
      <x:c r="AH7" s="68" t="str">
        <x:f>IF(AND(AD7="No evaluado",AE7="No evaluado",AF7="No evaluado",AG7="No ejecutado"),"No evaluado",IF(OR(AD7="Bloqueado",AE7="Bloqueado",AF7="Bloqueado",AG7="Bloqueado"),"Bloqueado",IF(OR(AE7="No conforme",AF7="No conforme",AG7="Falló"),"No conforme",IF(AND(OR(AD7="Implementado",AD7="No aplica"),OR(AE7="Conforme",AE7="No aplica"),OR(AF7="Conforme",AF7="No aplica"),OR(AG7="Pasó",AG7="No aplica")),"Conforme","Parcial"))))</x:f>
        <x:v>No evaluado</x:v>
      </x:c>
      <x:c r="AI7" s="56" t="str">
        <x:v>Compatible</x:v>
      </x:c>
      <x:c r="AJ7" s="66" t="str"/>
      <x:c r="AK7" s="66" t="str"/>
      <x:c r="AL7" s="56" t="str">
        <x:v>VALIDATED_044A3M / 170 identity tuples</x:v>
      </x:c>
      <x:c r="AM7" s="56" t="str">
        <x:v>TR-005; TR-006; TR-008; TR-016; TR-019; TR-028; TR-029</x:v>
      </x:c>
      <x:c r="AN7" s="66" t="str"/>
    </x:row>
    <x:row r="8" ht="58" customHeight="1">
      <x:c r="A8" s="56" t="str">
        <x:v>B0-Q02</x:v>
      </x:c>
      <x:c r="B8" s="56" t="str">
        <x:v>0</x:v>
      </x:c>
      <x:c r="C8" s="56" t="str">
        <x:v>base_40</x:v>
      </x:c>
      <x:c r="D8" s="56" t="n">
        <x:v>2</x:v>
      </x:c>
      <x:c r="E8" s="56" t="n">
        <x:v>2</x:v>
      </x:c>
      <x:c r="F8" s="56" t="str">
        <x:v>B0_0_A</x:v>
      </x:c>
      <x:c r="G8" s="56" t="str">
        <x:v>0.A</x:v>
      </x:c>
      <x:c r="H8" s="56" t="str">
        <x:v>El nombre suena amplio. ¿Qué distingue esta actividad de otras parecidas?</x:v>
      </x:c>
      <x:c r="I8" s="56" t="str">
        <x:v>Por ejemplo, “dar seguimiento” puede significar muchas cosas. Dinos seguimiento a qué, con qué propósito y hasta qué queda listo.</x:v>
      </x:c>
      <x:c r="J8" s="56" t="str">
        <x:v>clarification</x:v>
      </x:c>
      <x:c r="K8" s="56" t="str">
        <x:v>aclarada</x:v>
      </x:c>
      <x:c r="L8" s="56" t="str">
        <x:v>N/A</x:v>
      </x:c>
      <x:c r="M8" s="56" t="str">
        <x:v>Obligatoria si hay genericidad</x:v>
      </x:c>
      <x:c r="N8" s="56" t="str">
        <x:v>Solo por flag de genericidad</x:v>
      </x:c>
      <x:c r="O8" s="56" t="str">
        <x:v>Puede actualizar activity_name_user_confirmed y resumen.</x:v>
      </x:c>
      <x:c r="P8" s="56" t="str">
        <x:v>conditional_clarification</x:v>
      </x:c>
      <x:c r="Q8" s="56" t="str">
        <x:v>CLARIFICATION_SEPARATE</x:v>
      </x:c>
      <x:c r="R8" s="56" t="str">
        <x:v>activity_name_disambiguation</x:v>
      </x:c>
      <x:c r="S8" s="56" t="str">
        <x:v>clarification</x:v>
      </x:c>
      <x:c r="T8" s="56" t="str">
        <x:v>Bloque_0_Documento_Madre_Capa1_v2_1_EVE_rev4_redisenado_robusto.docx</x:v>
      </x:c>
      <x:c r="U8" s="56" t="str">
        <x:v>09705631f85c35bb58b1cb491e132eb289ac47beadccbf568dafbbc025f939db</x:v>
      </x:c>
      <x:c r="V8" s="56" t="str">
        <x:v>Aclaración condicional</x:v>
      </x:c>
      <x:c r="W8" s="56" t="str">
        <x:v>Mostrar solo cuando visibility/branching lo autoriza; capturar aclaración separada.</x:v>
      </x:c>
      <x:c r="X8" s="56" t="str">
        <x:v>scalar:string|null</x:v>
      </x:c>
      <x:c r="Y8" s="56" t="str">
        <x:v>Opciones rectoras si existen; de lo contrario texto</x:v>
      </x:c>
      <x:c r="Z8" s="56" t="str">
        <x:v>slot_ref condicional server-issued; no fusionar con respuesta base.</x:v>
      </x:c>
      <x:c r="AA8" s="56" t="str">
        <x:v>EXPLICIT_CONDITIONAL</x:v>
      </x:c>
      <x:c r="AB8" s="56" t="str">
        <x:v>Pantalla específica Bloque 0</x:v>
      </x:c>
      <x:c r="AC8" s="66" t="str"/>
      <x:c r="AD8" s="66" t="str">
        <x:v>No evaluado</x:v>
      </x:c>
      <x:c r="AE8" s="66" t="str">
        <x:v>No evaluado</x:v>
      </x:c>
      <x:c r="AF8" s="66" t="str">
        <x:v>No evaluado</x:v>
      </x:c>
      <x:c r="AG8" s="66" t="str">
        <x:v>No ejecutado</x:v>
      </x:c>
      <x:c r="AH8" s="68" t="str">
        <x:f>IF(AND(AD8="No evaluado",AE8="No evaluado",AF8="No evaluado",AG8="No ejecutado"),"No evaluado",IF(OR(AD8="Bloqueado",AE8="Bloqueado",AF8="Bloqueado",AG8="Bloqueado"),"Bloqueado",IF(OR(AE8="No conforme",AF8="No conforme",AG8="Falló"),"No conforme",IF(AND(OR(AD8="Implementado",AD8="No aplica"),OR(AE8="Conforme",AE8="No aplica"),OR(AF8="Conforme",AF8="No aplica"),OR(AG8="Pasó",AG8="No aplica")),"Conforme","Parcial"))))</x:f>
        <x:v>No evaluado</x:v>
      </x:c>
      <x:c r="AI8" s="56" t="str">
        <x:v>Parcial</x:v>
      </x:c>
      <x:c r="AJ8" s="66" t="str"/>
      <x:c r="AK8" s="66" t="str"/>
      <x:c r="AL8" s="56" t="str">
        <x:v>VALIDATED_044A3M / 170 identity tuples</x:v>
      </x:c>
      <x:c r="AM8" s="56" t="str">
        <x:v>TR-005; TR-006; TR-008; TR-016; TR-019; TR-028; TR-029</x:v>
      </x:c>
      <x:c r="AN8" s="66" t="str"/>
    </x:row>
    <x:row r="9" ht="58" customHeight="1">
      <x:c r="A9" s="56" t="str">
        <x:v>B0-Q02</x:v>
      </x:c>
      <x:c r="B9" s="56" t="str">
        <x:v>0</x:v>
      </x:c>
      <x:c r="C9" s="56" t="str">
        <x:v>base_40</x:v>
      </x:c>
      <x:c r="D9" s="56" t="n">
        <x:v>2</x:v>
      </x:c>
      <x:c r="E9" s="56" t="n">
        <x:v>3</x:v>
      </x:c>
      <x:c r="F9" s="56" t="str">
        <x:v>B0_0_C</x:v>
      </x:c>
      <x:c r="G9" s="56" t="str">
        <x:v>0.C</x:v>
      </x:c>
      <x:c r="H9" s="56" t="str">
        <x:v>Esta descripción parece muy grande o muy pequeña. ¿Qué parte concreta conviene revisar de inicio a fin?</x:v>
      </x:c>
      <x:c r="I9" s="56" t="str">
        <x:v>No buscamos algo tan grande como “gestionar compras” ni tan pequeño como “dar clic en aprobar”. Buscamos una unidad intermedia: “revisar una factura con incidencia antes de enviarla a pago”.</x:v>
      </x:c>
      <x:c r="J9" s="56" t="str">
        <x:v>clarification</x:v>
      </x:c>
      <x:c r="K9" s="56" t="str">
        <x:v>aclarada</x:v>
      </x:c>
      <x:c r="L9" s="56" t="str">
        <x:v>N/A</x:v>
      </x:c>
      <x:c r="M9" s="56" t="str">
        <x:v>Obligatoria si la escala no es recorrible</x:v>
      </x:c>
      <x:c r="N9" s="56" t="str">
        <x:v>Solo por flag de escala</x:v>
      </x:c>
      <x:c r="O9" s="56" t="str">
        <x:v>Puede redefinir 0.1, 0.2, 0.6 y 0.7.</x:v>
      </x:c>
      <x:c r="P9" s="56" t="str">
        <x:v>conditional_clarification</x:v>
      </x:c>
      <x:c r="Q9" s="56" t="str">
        <x:v>CLARIFICATION_SEPARATE</x:v>
      </x:c>
      <x:c r="R9" s="56" t="str">
        <x:v>activity_scale_adjustment</x:v>
      </x:c>
      <x:c r="S9" s="56" t="str">
        <x:v>clarification</x:v>
      </x:c>
      <x:c r="T9" s="56" t="str">
        <x:v>Bloque_0_Documento_Madre_Capa1_v2_1_EVE_rev4_redisenado_robusto.docx</x:v>
      </x:c>
      <x:c r="U9" s="56" t="str">
        <x:v>09705631f85c35bb58b1cb491e132eb289ac47beadccbf568dafbbc025f939db</x:v>
      </x:c>
      <x:c r="V9" s="56" t="str">
        <x:v>Aclaración condicional</x:v>
      </x:c>
      <x:c r="W9" s="56" t="str">
        <x:v>Mostrar solo cuando visibility/branching lo autoriza; capturar aclaración separada.</x:v>
      </x:c>
      <x:c r="X9" s="56" t="str">
        <x:v>scalar:string|null</x:v>
      </x:c>
      <x:c r="Y9" s="56" t="str">
        <x:v>Opciones rectoras si existen; de lo contrario texto</x:v>
      </x:c>
      <x:c r="Z9" s="56" t="str">
        <x:v>slot_ref condicional server-issued; no fusionar con respuesta base.</x:v>
      </x:c>
      <x:c r="AA9" s="56" t="str">
        <x:v>EXPLICIT_CONDITIONAL</x:v>
      </x:c>
      <x:c r="AB9" s="56" t="str">
        <x:v>Pantalla específica Bloque 0</x:v>
      </x:c>
      <x:c r="AC9" s="66" t="str"/>
      <x:c r="AD9" s="66" t="str">
        <x:v>No evaluado</x:v>
      </x:c>
      <x:c r="AE9" s="66" t="str">
        <x:v>No evaluado</x:v>
      </x:c>
      <x:c r="AF9" s="66" t="str">
        <x:v>No evaluado</x:v>
      </x:c>
      <x:c r="AG9" s="66" t="str">
        <x:v>No ejecutado</x:v>
      </x:c>
      <x:c r="AH9" s="68" t="str">
        <x:f>IF(AND(AD9="No evaluado",AE9="No evaluado",AF9="No evaluado",AG9="No ejecutado"),"No evaluado",IF(OR(AD9="Bloqueado",AE9="Bloqueado",AF9="Bloqueado",AG9="Bloqueado"),"Bloqueado",IF(OR(AE9="No conforme",AF9="No conforme",AG9="Falló"),"No conforme",IF(AND(OR(AD9="Implementado",AD9="No aplica"),OR(AE9="Conforme",AE9="No aplica"),OR(AF9="Conforme",AF9="No aplica"),OR(AG9="Pasó",AG9="No aplica")),"Conforme","Parcial"))))</x:f>
        <x:v>No evaluado</x:v>
      </x:c>
      <x:c r="AI9" s="56" t="str">
        <x:v>Parcial</x:v>
      </x:c>
      <x:c r="AJ9" s="66" t="str"/>
      <x:c r="AK9" s="66" t="str"/>
      <x:c r="AL9" s="56" t="str">
        <x:v>VALIDATED_044A3M / 170 identity tuples</x:v>
      </x:c>
      <x:c r="AM9" s="56" t="str">
        <x:v>TR-005; TR-006; TR-008; TR-016; TR-019; TR-028; TR-029</x:v>
      </x:c>
      <x:c r="AN9" s="66" t="str"/>
    </x:row>
    <x:row r="10" ht="58" customHeight="1">
      <x:c r="A10" s="56" t="str">
        <x:v>B0-Q03</x:v>
      </x:c>
      <x:c r="B10" s="56" t="str">
        <x:v>0</x:v>
      </x:c>
      <x:c r="C10" s="56" t="str">
        <x:v>base_40</x:v>
      </x:c>
      <x:c r="D10" s="56" t="n">
        <x:v>3</x:v>
      </x:c>
      <x:c r="E10" s="56" t="n">
        <x:v>1</x:v>
      </x:c>
      <x:c r="F10" s="56" t="str">
        <x:v>B0_0_3</x:v>
      </x:c>
      <x:c r="G10" s="56" t="str">
        <x:v>0.3</x:v>
      </x:c>
      <x:c r="H10" s="56" t="str">
        <x:v>¿Con qué frecuencia haces esta actividad?</x:v>
      </x:c>
      <x:c r="I10" s="56" t="str">
        <x:v>Elige lo que más se parece a una semana o mes normal. No pasa nada si es irregular.</x:v>
      </x:c>
      <x:c r="J10" s="56" t="str">
        <x:v>single_choice</x:v>
      </x:c>
      <x:c r="K10" s="56" t="str">
        <x:v>cerrada</x:v>
      </x:c>
      <x:c r="L10" s="56" t="str">
        <x:v>Varias veces al día / Diaria / Varias veces por semana / Semanal / Varias veces al mes / Mensual / Solo en cierre / Solo ante contingencias / Irregular / Estacional</x:v>
      </x:c>
      <x:c r="M10" s="56" t="str">
        <x:v>Obligatoria</x:v>
      </x:c>
      <x:c r="N10" s="56" t="str">
        <x:v>Siempre</x:v>
      </x:c>
      <x:c r="O10" s="56" t="str">
        <x:v>Si respuesta variable, activar 0.3a.</x:v>
      </x:c>
      <x:c r="P10" s="56" t="str">
        <x:v>visible_capture</x:v>
      </x:c>
      <x:c r="Q10" s="56" t="str">
        <x:v>DIRECT_CAPTURE_ONLY</x:v>
      </x:c>
      <x:c r="R10" s="56" t="str">
        <x:v>activity_frequency_base | scene_frequency_base</x:v>
      </x:c>
      <x:c r="S10" s="56" t="str">
        <x:v>captured_user_evidence</x:v>
      </x:c>
      <x:c r="T10" s="56" t="str">
        <x:v>Bloque_0_Documento_Madre_Capa1_v2_1_EVE_rev4_redisenado_robusto.docx</x:v>
      </x:c>
      <x:c r="U10" s="56" t="str">
        <x:v>09705631f85c35bb58b1cb491e132eb289ac47beadccbf568dafbbc025f939db</x:v>
      </x:c>
      <x:c r="V10" s="56" t="str">
        <x:v>Selección única</x:v>
      </x:c>
      <x:c r="W10" s="56" t="str">
        <x:v>Mostrar opciones autorizadas; permitir una sola selección; opción literal preservada.</x:v>
      </x:c>
      <x:c r="X10" s="56" t="str">
        <x:v>scalar:string</x:v>
      </x:c>
      <x:c r="Y10" s="56" t="str">
        <x:v>Campo options / catálogo dinámico rector</x:v>
      </x:c>
      <x:c r="Z10" s="56" t="str">
        <x:v>slot_ref server-issued; no mapear por label ni posición.</x:v>
      </x:c>
      <x:c r="AA10" s="56" t="str">
        <x:v>EXPLICIT_FIELD_TYPE</x:v>
      </x:c>
      <x:c r="AB10" s="56" t="str">
        <x:v>Pantalla específica Bloque 0</x:v>
      </x:c>
      <x:c r="AC10" s="66" t="str"/>
      <x:c r="AD10" s="66" t="str">
        <x:v>No evaluado</x:v>
      </x:c>
      <x:c r="AE10" s="66" t="str">
        <x:v>No evaluado</x:v>
      </x:c>
      <x:c r="AF10" s="66" t="str">
        <x:v>No evaluado</x:v>
      </x:c>
      <x:c r="AG10" s="66" t="str">
        <x:v>No ejecutado</x:v>
      </x:c>
      <x:c r="AH10" s="68" t="str">
        <x:f>IF(AND(AD10="No evaluado",AE10="No evaluado",AF10="No evaluado",AG10="No ejecutado"),"No evaluado",IF(OR(AD10="Bloqueado",AE10="Bloqueado",AF10="Bloqueado",AG10="Bloqueado"),"Bloqueado",IF(OR(AE10="No conforme",AF10="No conforme",AG10="Falló"),"No conforme",IF(AND(OR(AD10="Implementado",AD10="No aplica"),OR(AE10="Conforme",AE10="No aplica"),OR(AF10="Conforme",AF10="No aplica"),OR(AG10="Pasó",AG10="No aplica")),"Conforme","Parcial"))))</x:f>
        <x:v>No evaluado</x:v>
      </x:c>
      <x:c r="AI10" s="56" t="str">
        <x:v>No conforme</x:v>
      </x:c>
      <x:c r="AJ10" s="66" t="str"/>
      <x:c r="AK10" s="66" t="str"/>
      <x:c r="AL10" s="56" t="str">
        <x:v>VALIDATED_044A3M / 170 identity tuples</x:v>
      </x:c>
      <x:c r="AM10" s="56" t="str">
        <x:v>TR-005; TR-006; TR-008; TR-016; TR-019; TR-028; TR-029</x:v>
      </x:c>
      <x:c r="AN10" s="66" t="str"/>
    </x:row>
    <x:row r="11" ht="58" customHeight="1">
      <x:c r="A11" s="56" t="str">
        <x:v>B0-Q03</x:v>
      </x:c>
      <x:c r="B11" s="56" t="str">
        <x:v>0</x:v>
      </x:c>
      <x:c r="C11" s="56" t="str">
        <x:v>base_40</x:v>
      </x:c>
      <x:c r="D11" s="56" t="n">
        <x:v>3</x:v>
      </x:c>
      <x:c r="E11" s="56" t="n">
        <x:v>2</x:v>
      </x:c>
      <x:c r="F11" s="56" t="str">
        <x:v>B0_0_4</x:v>
      </x:c>
      <x:c r="G11" s="56" t="str">
        <x:v>0.4</x:v>
      </x:c>
      <x:c r="H11" s="56" t="str">
        <x:v>¿En qué situación suele aparecer esta actividad?</x:v>
      </x:c>
      <x:c r="I11" s="56" t="str">
        <x:v>Ejemplos: al iniciar el turno, cuando entra una solicitud, al cierre de mes, después de una aprobación, cuando falta información o cuando alguien pide corrección.</x:v>
      </x:c>
      <x:c r="J11" s="56" t="str">
        <x:v>free_text</x:v>
      </x:c>
      <x:c r="K11" s="56" t="str">
        <x:v>libre</x:v>
      </x:c>
      <x:c r="L11" s="56" t="str">
        <x:v>N/A</x:v>
      </x:c>
      <x:c r="M11" s="56" t="str">
        <x:v>Obligatoria</x:v>
      </x:c>
      <x:c r="N11" s="56" t="str">
        <x:v>Siempre</x:v>
      </x:c>
      <x:c r="O11" s="56" t="str">
        <x:v>Si describe un disparador completo, guardar como anticipo para Bloque 1 sin cerrar trigger todavía.</x:v>
      </x:c>
      <x:c r="P11" s="56" t="str">
        <x:v>visible_capture</x:v>
      </x:c>
      <x:c r="Q11" s="56" t="str">
        <x:v>DIRECT_CAPTURE_ONLY</x:v>
      </x:c>
      <x:c r="R11" s="56" t="str">
        <x:v>activity_typical_context | scene_typical_context</x:v>
      </x:c>
      <x:c r="S11" s="56" t="str">
        <x:v>captured_user_evidence</x:v>
      </x:c>
      <x:c r="T11" s="56" t="str">
        <x:v>Bloque_0_Documento_Madre_Capa1_v2_1_EVE_rev4_redisenado_robusto.docx</x:v>
      </x:c>
      <x:c r="U11" s="56" t="str">
        <x:v>09705631f85c35bb58b1cb491e132eb289ac47beadccbf568dafbbc025f939db</x:v>
      </x:c>
      <x:c r="V11" s="56" t="str">
        <x:v>Texto libre</x:v>
      </x:c>
      <x:c r="W11" s="56" t="str">
        <x:v>Capturar texto literal sin clasificación semántica cliente.</x:v>
      </x:c>
      <x:c r="X11" s="56" t="str">
        <x:v>scalar:string</x:v>
      </x:c>
      <x:c r="Y11" s="56" t="str">
        <x:v>No aplica</x:v>
      </x:c>
      <x:c r="Z11" s="56" t="str">
        <x:v>slot_ref server-issued; valor humano únicamente.</x:v>
      </x:c>
      <x:c r="AA11" s="56" t="str">
        <x:v>EXPLICIT_FIELD_TYPE</x:v>
      </x:c>
      <x:c r="AB11" s="56" t="str">
        <x:v>Pantalla específica Bloque 0</x:v>
      </x:c>
      <x:c r="AC11" s="66" t="str"/>
      <x:c r="AD11" s="66" t="str">
        <x:v>No evaluado</x:v>
      </x:c>
      <x:c r="AE11" s="66" t="str">
        <x:v>No evaluado</x:v>
      </x:c>
      <x:c r="AF11" s="66" t="str">
        <x:v>No evaluado</x:v>
      </x:c>
      <x:c r="AG11" s="66" t="str">
        <x:v>No ejecutado</x:v>
      </x:c>
      <x:c r="AH11" s="68" t="str">
        <x:f>IF(AND(AD11="No evaluado",AE11="No evaluado",AF11="No evaluado",AG11="No ejecutado"),"No evaluado",IF(OR(AD11="Bloqueado",AE11="Bloqueado",AF11="Bloqueado",AG11="Bloqueado"),"Bloqueado",IF(OR(AE11="No conforme",AF11="No conforme",AG11="Falló"),"No conforme",IF(AND(OR(AD11="Implementado",AD11="No aplica"),OR(AE11="Conforme",AE11="No aplica"),OR(AF11="Conforme",AF11="No aplica"),OR(AG11="Pasó",AG11="No aplica")),"Conforme","Parcial"))))</x:f>
        <x:v>No evaluado</x:v>
      </x:c>
      <x:c r="AI11" s="56" t="str">
        <x:v>Compatible</x:v>
      </x:c>
      <x:c r="AJ11" s="66" t="str"/>
      <x:c r="AK11" s="66" t="str"/>
      <x:c r="AL11" s="56" t="str">
        <x:v>VALIDATED_044A3M / 170 identity tuples</x:v>
      </x:c>
      <x:c r="AM11" s="56" t="str">
        <x:v>TR-005; TR-006; TR-008; TR-016; TR-019; TR-028; TR-029</x:v>
      </x:c>
      <x:c r="AN11" s="66" t="str"/>
    </x:row>
    <x:row r="12" ht="58" customHeight="1">
      <x:c r="A12" s="56" t="str">
        <x:v>B0-Q03</x:v>
      </x:c>
      <x:c r="B12" s="56" t="str">
        <x:v>0</x:v>
      </x:c>
      <x:c r="C12" s="56" t="str">
        <x:v>base_40</x:v>
      </x:c>
      <x:c r="D12" s="56" t="n">
        <x:v>3</x:v>
      </x:c>
      <x:c r="E12" s="56" t="n">
        <x:v>3</x:v>
      </x:c>
      <x:c r="F12" s="56" t="str">
        <x:v>B0_0_5_actor_scope</x:v>
      </x:c>
      <x:c r="G12" s="56" t="str">
        <x:v>0.5_actor_scope</x:v>
      </x:c>
      <x:c r="H12" s="56" t="str">
        <x:v>¿Quién la hace normalmente o sobre quién recae directamente?</x:v>
      </x:c>
      <x:c r="I12" s="56" t="str">
        <x:v>Puede ser tú, tu equipo, otra persona, otro equipo o un sistema con intervención humana. Aquí no preguntamos todavía por beneficiario final.</x:v>
      </x:c>
      <x:c r="J12" s="56" t="str">
        <x:v>hybrid_choice_text</x:v>
      </x:c>
      <x:c r="K12" s="56" t="str">
        <x:v>híbrida</x:v>
      </x:c>
      <x:c r="L12" s="56" t="str">
        <x:v>Yo mismo / Mi equipo / Otra persona del equipo / Otro equipo / Un sistema con intervención humana / Es compartida / Otro</x:v>
      </x:c>
      <x:c r="M12" s="56" t="str">
        <x:v>Obligatoria</x:v>
      </x:c>
      <x:c r="N12" s="56" t="str">
        <x:v>Siempre</x:v>
      </x:c>
      <x:c r="O12" s="56" t="str">
        <x:v>Si compartida u otro, pedir especificación. Si contradice responsabilidad, flag suave.</x:v>
      </x:c>
      <x:c r="P12" s="56" t="str">
        <x:v>visible_capture</x:v>
      </x:c>
      <x:c r="Q12" s="56" t="str">
        <x:v>DIRECT_CAPTURE_ONLY</x:v>
      </x:c>
      <x:c r="R12" s="56" t="str">
        <x:v>activity_primary_actor_scope | scene_primary_actor_scope</x:v>
      </x:c>
      <x:c r="S12" s="56" t="str">
        <x:v>captured_user_evidence or declared_confirmed_context</x:v>
      </x:c>
      <x:c r="T12" s="56" t="str">
        <x:v>Bloque_0_Documento_Madre_Capa1_v2_1_EVE_rev4_redisenado_robusto.docx</x:v>
      </x:c>
      <x:c r="U12" s="56" t="str">
        <x:v>09705631f85c35bb58b1cb491e132eb289ac47beadccbf568dafbbc025f939db</x:v>
      </x:c>
      <x:c r="V12" s="56" t="str">
        <x:v>Selección + texto complementario</x:v>
      </x:c>
      <x:c r="W12" s="56" t="str">
        <x:v>Persistir choice y free_text por separado; activar texto según regla.</x:v>
      </x:c>
      <x:c r="X12" s="56" t="str">
        <x:v>choice:string|array + free_text:string|null</x:v>
      </x:c>
      <x:c r="Y12" s="56" t="str">
        <x:v>Campo options rector / catálogo dinámico</x:v>
      </x:c>
      <x:c r="Z12" s="56" t="str">
        <x:v>slot_ref para la unidad híbrida; servidor preserva partes separadas.</x:v>
      </x:c>
      <x:c r="AA12" s="56" t="str">
        <x:v>EXPLICIT_COMPOSITE</x:v>
      </x:c>
      <x:c r="AB12" s="56" t="str">
        <x:v>Pantalla específica Bloque 0</x:v>
      </x:c>
      <x:c r="AC12" s="66" t="str"/>
      <x:c r="AD12" s="66" t="str">
        <x:v>No evaluado</x:v>
      </x:c>
      <x:c r="AE12" s="66" t="str">
        <x:v>No evaluado</x:v>
      </x:c>
      <x:c r="AF12" s="66" t="str">
        <x:v>No evaluado</x:v>
      </x:c>
      <x:c r="AG12" s="66" t="str">
        <x:v>No ejecutado</x:v>
      </x:c>
      <x:c r="AH12" s="68" t="str">
        <x:f>IF(AND(AD12="No evaluado",AE12="No evaluado",AF12="No evaluado",AG12="No ejecutado"),"No evaluado",IF(OR(AD12="Bloqueado",AE12="Bloqueado",AF12="Bloqueado",AG12="Bloqueado"),"Bloqueado",IF(OR(AE12="No conforme",AF12="No conforme",AG12="Falló"),"No conforme",IF(AND(OR(AD12="Implementado",AD12="No aplica"),OR(AE12="Conforme",AE12="No aplica"),OR(AF12="Conforme",AF12="No aplica"),OR(AG12="Pasó",AG12="No aplica")),"Conforme","Parcial"))))</x:f>
        <x:v>No evaluado</x:v>
      </x:c>
      <x:c r="AI12" s="56" t="str">
        <x:v>No conforme</x:v>
      </x:c>
      <x:c r="AJ12" s="66" t="str"/>
      <x:c r="AK12" s="66" t="str"/>
      <x:c r="AL12" s="56" t="str">
        <x:v>VALIDATED_044A3M / 170 identity tuples</x:v>
      </x:c>
      <x:c r="AM12" s="56" t="str">
        <x:v>TR-005; TR-006; TR-008; TR-016; TR-019; TR-028; TR-029</x:v>
      </x:c>
      <x:c r="AN12" s="66" t="str"/>
    </x:row>
    <x:row r="13" ht="58" customHeight="1">
      <x:c r="A13" s="56" t="str">
        <x:v>B0-Q04</x:v>
      </x:c>
      <x:c r="B13" s="56" t="str">
        <x:v>0</x:v>
      </x:c>
      <x:c r="C13" s="56" t="str">
        <x:v>base_40</x:v>
      </x:c>
      <x:c r="D13" s="56" t="n">
        <x:v>4</x:v>
      </x:c>
      <x:c r="E13" s="56" t="n">
        <x:v>1</x:v>
      </x:c>
      <x:c r="F13" s="56" t="str">
        <x:v>B0_0_6</x:v>
      </x:c>
      <x:c r="G13" s="56" t="str">
        <x:v>0.6</x:v>
      </x:c>
      <x:c r="H13" s="56" t="str">
        <x:v>¿Qué recibes, ves o necesitas para empezar esta actividad?</x:v>
      </x:c>
      <x:c r="I13" s="56" t="str">
        <x:v>Piensa en la señal mínima. Ejemplos: llega una solicitud, aparece una factura, recibes una alerta, se aprueba un caso, alguien te pide corrección.</x:v>
      </x:c>
      <x:c r="J13" s="56" t="str">
        <x:v>free_text / generated_confirmed</x:v>
      </x:c>
      <x:c r="K13" s="56" t="str">
        <x:v>libre o confirmación editable</x:v>
      </x:c>
      <x:c r="L13" s="56" t="str">
        <x:v>N/A</x:v>
      </x:c>
      <x:c r="M13" s="56" t="str">
        <x:v>Obligatoria</x:v>
      </x:c>
      <x:c r="N13" s="56" t="str">
        <x:v>Siempre</x:v>
      </x:c>
      <x:c r="O13" s="56" t="str">
        <x:v>Comparar con 0.7; si no hay borde, activar 0.B.</x:v>
      </x:c>
      <x:c r="P13" s="56" t="str">
        <x:v>confirmation_or_correction</x:v>
      </x:c>
      <x:c r="Q13" s="56" t="str">
        <x:v>CONFIRMATION_OR_CORRECTION_REQUIRED</x:v>
      </x:c>
      <x:c r="R13" s="56" t="str">
        <x:v>activity_start_condition_hint | scene_boundary_start_hint</x:v>
      </x:c>
      <x:c r="S13" s="56" t="str">
        <x:v>captured_user_evidence or user_confirmed_suggestion</x:v>
      </x:c>
      <x:c r="T13" s="56" t="str">
        <x:v>Bloque_0_Documento_Madre_Capa1_v2_1_EVE_rev4_redisenado_robusto.docx</x:v>
      </x:c>
      <x:c r="U13" s="56" t="str">
        <x:v>09705631f85c35bb58b1cb491e132eb289ac47beadccbf568dafbbc025f939db</x:v>
      </x:c>
      <x:c r="V13" s="56" t="str">
        <x:v>Confirmación + corrección editable</x:v>
      </x:c>
      <x:c r="W13" s="56" t="str">
        <x:v>Mostrar contenido prellenado/sugerido; permitir confirmar o corregir; conservar ambos resultados.</x:v>
      </x:c>
      <x:c r="X13" s="56" t="str">
        <x:v>decision:string + correction:string|null</x:v>
      </x:c>
      <x:c r="Y13" s="56" t="str">
        <x:v>Opciones literales del rector + texto de corrección cuando aplique</x:v>
      </x:c>
      <x:c r="Z13" s="56" t="str">
        <x:v>Un slot_ref por decisión/corrección visible; servidor resuelve provenance.</x:v>
      </x:c>
      <x:c r="AA13" s="56" t="str">
        <x:v>EXPLICIT_COMPOSITE</x:v>
      </x:c>
      <x:c r="AB13" s="56" t="str">
        <x:v>Pantalla específica Bloque 0</x:v>
      </x:c>
      <x:c r="AC13" s="66" t="str"/>
      <x:c r="AD13" s="66" t="str">
        <x:v>No evaluado</x:v>
      </x:c>
      <x:c r="AE13" s="66" t="str">
        <x:v>No evaluado</x:v>
      </x:c>
      <x:c r="AF13" s="66" t="str">
        <x:v>No evaluado</x:v>
      </x:c>
      <x:c r="AG13" s="66" t="str">
        <x:v>No ejecutado</x:v>
      </x:c>
      <x:c r="AH13" s="68" t="str">
        <x:f>IF(AND(AD13="No evaluado",AE13="No evaluado",AF13="No evaluado",AG13="No ejecutado"),"No evaluado",IF(OR(AD13="Bloqueado",AE13="Bloqueado",AF13="Bloqueado",AG13="Bloqueado"),"Bloqueado",IF(OR(AE13="No conforme",AF13="No conforme",AG13="Falló"),"No conforme",IF(AND(OR(AD13="Implementado",AD13="No aplica"),OR(AE13="Conforme",AE13="No aplica"),OR(AF13="Conforme",AF13="No aplica"),OR(AG13="Pasó",AG13="No aplica")),"Conforme","Parcial"))))</x:f>
        <x:v>No evaluado</x:v>
      </x:c>
      <x:c r="AI13" s="56" t="str">
        <x:v>No conforme</x:v>
      </x:c>
      <x:c r="AJ13" s="66" t="str"/>
      <x:c r="AK13" s="66" t="str"/>
      <x:c r="AL13" s="56" t="str">
        <x:v>VALIDATED_044A3M / 170 identity tuples</x:v>
      </x:c>
      <x:c r="AM13" s="56" t="str">
        <x:v>TR-005; TR-006; TR-008; TR-016; TR-019; TR-028; TR-029</x:v>
      </x:c>
      <x:c r="AN13" s="66" t="str"/>
    </x:row>
    <x:row r="14" ht="58" customHeight="1">
      <x:c r="A14" s="56" t="str">
        <x:v>B0-Q04</x:v>
      </x:c>
      <x:c r="B14" s="56" t="str">
        <x:v>0</x:v>
      </x:c>
      <x:c r="C14" s="56" t="str">
        <x:v>base_40</x:v>
      </x:c>
      <x:c r="D14" s="56" t="n">
        <x:v>4</x:v>
      </x:c>
      <x:c r="E14" s="56" t="n">
        <x:v>2</x:v>
      </x:c>
      <x:c r="F14" s="56" t="str">
        <x:v>B0_0_7</x:v>
      </x:c>
      <x:c r="G14" s="56" t="str">
        <x:v>0.7</x:v>
      </x:c>
      <x:c r="H14" s="56" t="str">
        <x:v>¿Qué queda listo para darla por terminada?</x:v>
      </x:c>
      <x:c r="I14" s="56" t="str">
        <x:v>No hace falta explicar todavía quién lo recibe. Solo qué debe quedar listo. Ejemplos: factura validada, cita confirmada, pedido liberado, reporte enviado, caso marcado para revisión.</x:v>
      </x:c>
      <x:c r="J14" s="56" t="str">
        <x:v>free_text / generated_confirmed</x:v>
      </x:c>
      <x:c r="K14" s="56" t="str">
        <x:v>libre o confirmación editable</x:v>
      </x:c>
      <x:c r="L14" s="56" t="str">
        <x:v>N/A</x:v>
      </x:c>
      <x:c r="M14" s="56" t="str">
        <x:v>Obligatoria</x:v>
      </x:c>
      <x:c r="N14" s="56" t="str">
        <x:v>Siempre</x:v>
      </x:c>
      <x:c r="O14" s="56" t="str">
        <x:v>Comparar con 0.6; si inicio y cierre se mezclan, activar 0.B.</x:v>
      </x:c>
      <x:c r="P14" s="56" t="str">
        <x:v>confirmation_or_correction</x:v>
      </x:c>
      <x:c r="Q14" s="56" t="str">
        <x:v>CONFIRMATION_OR_CORRECTION_REQUIRED</x:v>
      </x:c>
      <x:c r="R14" s="56" t="str">
        <x:v>activity_end_result_hint | scene_boundary_end_hint</x:v>
      </x:c>
      <x:c r="S14" s="56" t="str">
        <x:v>captured_user_evidence or user_confirmed_suggestion</x:v>
      </x:c>
      <x:c r="T14" s="56" t="str">
        <x:v>Bloque_0_Documento_Madre_Capa1_v2_1_EVE_rev4_redisenado_robusto.docx</x:v>
      </x:c>
      <x:c r="U14" s="56" t="str">
        <x:v>09705631f85c35bb58b1cb491e132eb289ac47beadccbf568dafbbc025f939db</x:v>
      </x:c>
      <x:c r="V14" s="56" t="str">
        <x:v>Confirmación + corrección editable</x:v>
      </x:c>
      <x:c r="W14" s="56" t="str">
        <x:v>Mostrar contenido prellenado/sugerido; permitir confirmar o corregir; conservar ambos resultados.</x:v>
      </x:c>
      <x:c r="X14" s="56" t="str">
        <x:v>decision:string + correction:string|null</x:v>
      </x:c>
      <x:c r="Y14" s="56" t="str">
        <x:v>Opciones literales del rector + texto de corrección cuando aplique</x:v>
      </x:c>
      <x:c r="Z14" s="56" t="str">
        <x:v>Un slot_ref por decisión/corrección visible; servidor resuelve provenance.</x:v>
      </x:c>
      <x:c r="AA14" s="56" t="str">
        <x:v>EXPLICIT_COMPOSITE</x:v>
      </x:c>
      <x:c r="AB14" s="56" t="str">
        <x:v>Pantalla específica Bloque 0</x:v>
      </x:c>
      <x:c r="AC14" s="66" t="str"/>
      <x:c r="AD14" s="66" t="str">
        <x:v>No evaluado</x:v>
      </x:c>
      <x:c r="AE14" s="66" t="str">
        <x:v>No evaluado</x:v>
      </x:c>
      <x:c r="AF14" s="66" t="str">
        <x:v>No evaluado</x:v>
      </x:c>
      <x:c r="AG14" s="66" t="str">
        <x:v>No ejecutado</x:v>
      </x:c>
      <x:c r="AH14" s="68" t="str">
        <x:f>IF(AND(AD14="No evaluado",AE14="No evaluado",AF14="No evaluado",AG14="No ejecutado"),"No evaluado",IF(OR(AD14="Bloqueado",AE14="Bloqueado",AF14="Bloqueado",AG14="Bloqueado"),"Bloqueado",IF(OR(AE14="No conforme",AF14="No conforme",AG14="Falló"),"No conforme",IF(AND(OR(AD14="Implementado",AD14="No aplica"),OR(AE14="Conforme",AE14="No aplica"),OR(AF14="Conforme",AF14="No aplica"),OR(AG14="Pasó",AG14="No aplica")),"Conforme","Parcial"))))</x:f>
        <x:v>No evaluado</x:v>
      </x:c>
      <x:c r="AI14" s="56" t="str">
        <x:v>No conforme</x:v>
      </x:c>
      <x:c r="AJ14" s="66" t="str"/>
      <x:c r="AK14" s="66" t="str"/>
      <x:c r="AL14" s="56" t="str">
        <x:v>VALIDATED_044A3M / 170 identity tuples</x:v>
      </x:c>
      <x:c r="AM14" s="56" t="str">
        <x:v>TR-005; TR-006; TR-008; TR-016; TR-019; TR-028; TR-029</x:v>
      </x:c>
      <x:c r="AN14" s="66" t="str"/>
    </x:row>
    <x:row r="15" ht="58" customHeight="1">
      <x:c r="A15" s="56" t="str">
        <x:v>B0-Q04</x:v>
      </x:c>
      <x:c r="B15" s="56" t="str">
        <x:v>0</x:v>
      </x:c>
      <x:c r="C15" s="56" t="str">
        <x:v>base_40</x:v>
      </x:c>
      <x:c r="D15" s="56" t="n">
        <x:v>4</x:v>
      </x:c>
      <x:c r="E15" s="56" t="n">
        <x:v>3</x:v>
      </x:c>
      <x:c r="F15" s="56" t="str">
        <x:v>B0_0_B</x:v>
      </x:c>
      <x:c r="G15" s="56" t="str">
        <x:v>0.B</x:v>
      </x:c>
      <x:c r="H15" s="56" t="str">
        <x:v>Parece que el inicio y el cierre se mezclan. Completa: empieza cuando ___ y termina cuando ___.</x:v>
      </x:c>
      <x:c r="I15" s="56" t="str">
        <x:v>Buscamos el borde práctico de la actividad, no una explicación perfecta. Ejemplo: “empieza cuando recibo la factura; termina cuando queda marcada para pago”.</x:v>
      </x:c>
      <x:c r="J15" s="56" t="str">
        <x:v>clarification</x:v>
      </x:c>
      <x:c r="K15" s="56" t="str">
        <x:v>aclarada</x:v>
      </x:c>
      <x:c r="L15" s="56" t="str">
        <x:v>N/A</x:v>
      </x:c>
      <x:c r="M15" s="56" t="str">
        <x:v>Obligatoria si hay frontera difusa</x:v>
      </x:c>
      <x:c r="N15" s="56" t="str">
        <x:v>Solo por flag de frontera</x:v>
      </x:c>
      <x:c r="O15" s="56" t="str">
        <x:v>Puede corregir start_condition y end_result.</x:v>
      </x:c>
      <x:c r="P15" s="56" t="str">
        <x:v>conditional_clarification</x:v>
      </x:c>
      <x:c r="Q15" s="56" t="str">
        <x:v>CLARIFICATION_SEPARATE</x:v>
      </x:c>
      <x:c r="R15" s="56" t="str">
        <x:v>activity_boundary_clarification</x:v>
      </x:c>
      <x:c r="S15" s="56" t="str">
        <x:v>clarification</x:v>
      </x:c>
      <x:c r="T15" s="56" t="str">
        <x:v>Bloque_0_Documento_Madre_Capa1_v2_1_EVE_rev4_redisenado_robusto.docx</x:v>
      </x:c>
      <x:c r="U15" s="56" t="str">
        <x:v>09705631f85c35bb58b1cb491e132eb289ac47beadccbf568dafbbc025f939db</x:v>
      </x:c>
      <x:c r="V15" s="56" t="str">
        <x:v>Aclaración condicional</x:v>
      </x:c>
      <x:c r="W15" s="56" t="str">
        <x:v>Mostrar solo cuando visibility/branching lo autoriza; capturar aclaración separada.</x:v>
      </x:c>
      <x:c r="X15" s="56" t="str">
        <x:v>scalar:string|null</x:v>
      </x:c>
      <x:c r="Y15" s="56" t="str">
        <x:v>Opciones rectoras si existen; de lo contrario texto</x:v>
      </x:c>
      <x:c r="Z15" s="56" t="str">
        <x:v>slot_ref condicional server-issued; no fusionar con respuesta base.</x:v>
      </x:c>
      <x:c r="AA15" s="56" t="str">
        <x:v>EXPLICIT_CONDITIONAL</x:v>
      </x:c>
      <x:c r="AB15" s="56" t="str">
        <x:v>Pantalla específica Bloque 0</x:v>
      </x:c>
      <x:c r="AC15" s="66" t="str"/>
      <x:c r="AD15" s="66" t="str">
        <x:v>No evaluado</x:v>
      </x:c>
      <x:c r="AE15" s="66" t="str">
        <x:v>No evaluado</x:v>
      </x:c>
      <x:c r="AF15" s="66" t="str">
        <x:v>No evaluado</x:v>
      </x:c>
      <x:c r="AG15" s="66" t="str">
        <x:v>No ejecutado</x:v>
      </x:c>
      <x:c r="AH15" s="68" t="str">
        <x:f>IF(AND(AD15="No evaluado",AE15="No evaluado",AF15="No evaluado",AG15="No ejecutado"),"No evaluado",IF(OR(AD15="Bloqueado",AE15="Bloqueado",AF15="Bloqueado",AG15="Bloqueado"),"Bloqueado",IF(OR(AE15="No conforme",AF15="No conforme",AG15="Falló"),"No conforme",IF(AND(OR(AD15="Implementado",AD15="No aplica"),OR(AE15="Conforme",AE15="No aplica"),OR(AF15="Conforme",AF15="No aplica"),OR(AG15="Pasó",AG15="No aplica")),"Conforme","Parcial"))))</x:f>
        <x:v>No evaluado</x:v>
      </x:c>
      <x:c r="AI15" s="56" t="str">
        <x:v>Parcial</x:v>
      </x:c>
      <x:c r="AJ15" s="66" t="str"/>
      <x:c r="AK15" s="66" t="str"/>
      <x:c r="AL15" s="56" t="str">
        <x:v>VALIDATED_044A3M / 170 identity tuples</x:v>
      </x:c>
      <x:c r="AM15" s="56" t="str">
        <x:v>TR-005; TR-006; TR-008; TR-016; TR-019; TR-028; TR-029</x:v>
      </x:c>
      <x:c r="AN15" s="66" t="str"/>
    </x:row>
    <x:row r="16" ht="58" customHeight="1">
      <x:c r="A16" s="56" t="str">
        <x:v>B05-Q05</x:v>
      </x:c>
      <x:c r="B16" s="56" t="str">
        <x:v>0.5</x:v>
      </x:c>
      <x:c r="C16" s="56" t="str">
        <x:v>base_40</x:v>
      </x:c>
      <x:c r="D16" s="56" t="n">
        <x:v>5</x:v>
      </x:c>
      <x:c r="E16" s="56" t="n">
        <x:v>1</x:v>
      </x:c>
      <x:c r="F16" s="56" t="str">
        <x:v>B0_5_0_5_1</x:v>
      </x:c>
      <x:c r="G16" s="56" t="str">
        <x:v>0.5.1</x:v>
      </x:c>
      <x:c r="H16" s="56" t="str">
        <x:v>Independientemente de a quién le entregues tu trabajo directamente, ¿quién es la persona, área o actor que finalmente se beneficia si esta actividad sale bien?</x:v>
      </x:c>
      <x:c r="I16" s="56" t="str">
        <x:v>No pienses primero en quién recibe tu entregable inmediato, sino en quién obtiene valor real cuando esto funciona. Puede ser otra área, un cliente interno, un cliente externo o un actor más lejano en la cadena. Ejemplo: tú entregas a tesorería, pero quien finalmente se beneficia puede ser el proveedor porque recibe pago a tiempo.</x:v>
      </x:c>
      <x:c r="J16" s="56" t="str">
        <x:v>single_choice</x:v>
      </x:c>
      <x:c r="K16" s="56" t="str">
        <x:v>single_choice</x:v>
      </x:c>
      <x:c r="L16" s="56" t="str">
        <x:v>Dinámicas desde company_role_catalog / company_area_catalog; fallback_options: Cliente externo / Otro (especificar)</x:v>
      </x:c>
      <x:c r="M16" s="56" t="str">
        <x:v>Obligatoria para toda escena profunda y abreviada que pase por Bloque 0.5</x:v>
      </x:c>
      <x:c r="N16" s="56" t="str">
        <x:v>Siempre</x:v>
      </x:c>
      <x:c r="O16" s="56" t="str">
        <x:v>Después de responder 0.5.1 y 0.5.1a, activar 0.5.1_rel. Si la opción es Otro, abrir campo libre. Si la respuesta coincide con receptor inmediato de Bloque 3 en revisión posterior, no corregir aquí; solo dejar trazabilidad para consistencia cruzada.</x:v>
      </x:c>
      <x:c r="P16" s="56" t="str">
        <x:v>visible_capture</x:v>
      </x:c>
      <x:c r="Q16" s="56" t="str">
        <x:v>DIRECT_CAPTURE_ONLY</x:v>
      </x:c>
      <x:c r="R16" s="56" t="str">
        <x:v>beneficiario_final_0_5_1 | scene_functional_client</x:v>
      </x:c>
      <x:c r="S16" s="56" t="str">
        <x:v>capturado (captured_user_evidence)</x:v>
      </x:c>
      <x:c r="T16" s="56" t="str">
        <x:v>Bloque_0_5_Documento_Madre_Capa1_v2_1_EVE.docx</x:v>
      </x:c>
      <x:c r="U16" s="56" t="str">
        <x:v>d8d4ee2bbf35d603e5237cd90b811ff196c9f2f48e4a51ea652f1a2161862199</x:v>
      </x:c>
      <x:c r="V16" s="56" t="str">
        <x:v>Selección única</x:v>
      </x:c>
      <x:c r="W16" s="56" t="str">
        <x:v>Mostrar opciones autorizadas; permitir una sola selección; opción literal preservada.</x:v>
      </x:c>
      <x:c r="X16" s="56" t="str">
        <x:v>scalar:string</x:v>
      </x:c>
      <x:c r="Y16" s="56" t="str">
        <x:v>Campo options / catálogo dinámico rector</x:v>
      </x:c>
      <x:c r="Z16" s="56" t="str">
        <x:v>slot_ref server-issued; no mapear por label ni posición.</x:v>
      </x:c>
      <x:c r="AA16" s="56" t="str">
        <x:v>EXPLICIT_FIELD_TYPE</x:v>
      </x:c>
      <x:c r="AB16" s="56" t="str">
        <x:v>Pantalla específica Bloque 0.5</x:v>
      </x:c>
      <x:c r="AC16" s="66" t="str"/>
      <x:c r="AD16" s="66" t="str">
        <x:v>No evaluado</x:v>
      </x:c>
      <x:c r="AE16" s="66" t="str">
        <x:v>No evaluado</x:v>
      </x:c>
      <x:c r="AF16" s="66" t="str">
        <x:v>No evaluado</x:v>
      </x:c>
      <x:c r="AG16" s="66" t="str">
        <x:v>No ejecutado</x:v>
      </x:c>
      <x:c r="AH16" s="68" t="str">
        <x:f>IF(AND(AD16="No evaluado",AE16="No evaluado",AF16="No evaluado",AG16="No ejecutado"),"No evaluado",IF(OR(AD16="Bloqueado",AE16="Bloqueado",AF16="Bloqueado",AG16="Bloqueado"),"Bloqueado",IF(OR(AE16="No conforme",AF16="No conforme",AG16="Falló"),"No conforme",IF(AND(OR(AD16="Implementado",AD16="No aplica"),OR(AE16="Conforme",AE16="No aplica"),OR(AF16="Conforme",AF16="No aplica"),OR(AG16="Pasó",AG16="No aplica")),"Conforme","Parcial"))))</x:f>
        <x:v>No evaluado</x:v>
      </x:c>
      <x:c r="AI16" s="56" t="str">
        <x:v>No conforme</x:v>
      </x:c>
      <x:c r="AJ16" s="66" t="str"/>
      <x:c r="AK16" s="66" t="str"/>
      <x:c r="AL16" s="56" t="str">
        <x:v>VALIDATED_044A3M / 170 identity tuples</x:v>
      </x:c>
      <x:c r="AM16" s="56" t="str">
        <x:v>TR-005; TR-006; TR-008; TR-016; TR-019; TR-028; TR-029</x:v>
      </x:c>
      <x:c r="AN16" s="66" t="str"/>
    </x:row>
    <x:row r="17" ht="58" customHeight="1">
      <x:c r="A17" s="56" t="str">
        <x:v>B05-Q05</x:v>
      </x:c>
      <x:c r="B17" s="56" t="str">
        <x:v>0.5</x:v>
      </x:c>
      <x:c r="C17" s="56" t="str">
        <x:v>base_40</x:v>
      </x:c>
      <x:c r="D17" s="56" t="n">
        <x:v>5</x:v>
      </x:c>
      <x:c r="E17" s="56" t="n">
        <x:v>2</x:v>
      </x:c>
      <x:c r="F17" s="56" t="str">
        <x:v>B0_5_0_5_1a</x:v>
      </x:c>
      <x:c r="G17" s="56" t="str">
        <x:v>0.5.1a</x:v>
      </x:c>
      <x:c r="H17" s="56" t="str">
        <x:v>Independientemente de a quién le entregues tu trabajo directamente, ¿quién es la persona, área o actor que finalmente sufre si esta actividad sale mal o no sale?</x:v>
      </x:c>
      <x:c r="I17" s="56" t="str">
        <x:v>Aquí no preguntamos quién se entera primero ni quién te reclama primero, sino quién absorbe realmente el daño cuando la actividad falla o no ocurre. Ejemplo: si tú entregas a un jefe, pero quien sufre de verdad es el cliente final porque el servicio se retrasa, eso es lo que importa aquí.</x:v>
      </x:c>
      <x:c r="J17" s="56" t="str">
        <x:v>single_choice</x:v>
      </x:c>
      <x:c r="K17" s="56" t="str">
        <x:v>single_choice</x:v>
      </x:c>
      <x:c r="L17" s="56" t="str">
        <x:v>Dinámicas desde company_role_catalog / company_area_catalog; fallback_options: Cliente externo / Otro (especificar)</x:v>
      </x:c>
      <x:c r="M17" s="56" t="str">
        <x:v>Obligatoria</x:v>
      </x:c>
      <x:c r="N17" s="56" t="str">
        <x:v>Siempre</x:v>
      </x:c>
      <x:c r="O17" s="56" t="str">
        <x:v>Después de 0.5.1a y 0.5.1, activar 0.5.1_rel. Si la opción es Otro, abrir campo libre.</x:v>
      </x:c>
      <x:c r="P17" s="56" t="str">
        <x:v>visible_capture</x:v>
      </x:c>
      <x:c r="Q17" s="56" t="str">
        <x:v>DIRECT_CAPTURE_ONLY</x:v>
      </x:c>
      <x:c r="R17" s="56" t="str">
        <x:v>afectado_final_0_5_1a</x:v>
      </x:c>
      <x:c r="S17" s="56" t="str">
        <x:v>capturado (captured_user_evidence)</x:v>
      </x:c>
      <x:c r="T17" s="56" t="str">
        <x:v>Bloque_0_5_Documento_Madre_Capa1_v2_1_EVE.docx</x:v>
      </x:c>
      <x:c r="U17" s="56" t="str">
        <x:v>d8d4ee2bbf35d603e5237cd90b811ff196c9f2f48e4a51ea652f1a2161862199</x:v>
      </x:c>
      <x:c r="V17" s="56" t="str">
        <x:v>Selección única</x:v>
      </x:c>
      <x:c r="W17" s="56" t="str">
        <x:v>Mostrar opciones autorizadas; permitir una sola selección; opción literal preservada.</x:v>
      </x:c>
      <x:c r="X17" s="56" t="str">
        <x:v>scalar:string</x:v>
      </x:c>
      <x:c r="Y17" s="56" t="str">
        <x:v>Campo options / catálogo dinámico rector</x:v>
      </x:c>
      <x:c r="Z17" s="56" t="str">
        <x:v>slot_ref server-issued; no mapear por label ni posición.</x:v>
      </x:c>
      <x:c r="AA17" s="56" t="str">
        <x:v>EXPLICIT_FIELD_TYPE</x:v>
      </x:c>
      <x:c r="AB17" s="56" t="str">
        <x:v>Pantalla específica Bloque 0.5</x:v>
      </x:c>
      <x:c r="AC17" s="66" t="str"/>
      <x:c r="AD17" s="66" t="str">
        <x:v>No evaluado</x:v>
      </x:c>
      <x:c r="AE17" s="66" t="str">
        <x:v>No evaluado</x:v>
      </x:c>
      <x:c r="AF17" s="66" t="str">
        <x:v>No evaluado</x:v>
      </x:c>
      <x:c r="AG17" s="66" t="str">
        <x:v>No ejecutado</x:v>
      </x:c>
      <x:c r="AH17" s="68" t="str">
        <x:f>IF(AND(AD17="No evaluado",AE17="No evaluado",AF17="No evaluado",AG17="No ejecutado"),"No evaluado",IF(OR(AD17="Bloqueado",AE17="Bloqueado",AF17="Bloqueado",AG17="Bloqueado"),"Bloqueado",IF(OR(AE17="No conforme",AF17="No conforme",AG17="Falló"),"No conforme",IF(AND(OR(AD17="Implementado",AD17="No aplica"),OR(AE17="Conforme",AE17="No aplica"),OR(AF17="Conforme",AF17="No aplica"),OR(AG17="Pasó",AG17="No aplica")),"Conforme","Parcial"))))</x:f>
        <x:v>No evaluado</x:v>
      </x:c>
      <x:c r="AI17" s="56" t="str">
        <x:v>No conforme</x:v>
      </x:c>
      <x:c r="AJ17" s="66" t="str"/>
      <x:c r="AK17" s="66" t="str"/>
      <x:c r="AL17" s="56" t="str">
        <x:v>VALIDATED_044A3M / 170 identity tuples</x:v>
      </x:c>
      <x:c r="AM17" s="56" t="str">
        <x:v>TR-005; TR-006; TR-008; TR-016; TR-019; TR-028; TR-029</x:v>
      </x:c>
      <x:c r="AN17" s="66" t="str"/>
    </x:row>
    <x:row r="18" ht="58" customHeight="1">
      <x:c r="A18" s="56" t="str">
        <x:v>B05-Q05</x:v>
      </x:c>
      <x:c r="B18" s="56" t="str">
        <x:v>0.5</x:v>
      </x:c>
      <x:c r="C18" s="56" t="str">
        <x:v>base_40</x:v>
      </x:c>
      <x:c r="D18" s="56" t="n">
        <x:v>5</x:v>
      </x:c>
      <x:c r="E18" s="56" t="n">
        <x:v>3</x:v>
      </x:c>
      <x:c r="F18" s="56" t="str">
        <x:v>B0_5_0_5_1_rel</x:v>
      </x:c>
      <x:c r="G18" s="56" t="str">
        <x:v>0.5.1_rel</x:v>
      </x:c>
      <x:c r="H18" s="56" t="str">
        <x:v>¿El que se beneficia cuando esto sale bien y el que sufre cuando esto sale mal son el mismo actor o son distintos?</x:v>
      </x:c>
      <x:c r="I18" s="56" t="str">
        <x:v>Esta pregunta no busca sofisticar de más; busca hacer visible una diferencia que en muchas organizaciones sí existe. A veces la misma área gana cuando sale bien y pierde cuando sale mal. A veces no. Y cuando no coincide, conviene dejarlo explícito.</x:v>
      </x:c>
      <x:c r="J18" s="56" t="str">
        <x:v>single_choice</x:v>
      </x:c>
      <x:c r="K18" s="56" t="str">
        <x:v>single_choice</x:v>
      </x:c>
      <x:c r="L18" s="56" t="str">
        <x:v>Es el mismo actor / Son actores distintos / No estoy seguro</x:v>
      </x:c>
      <x:c r="M18" s="56" t="str">
        <x:v>Obligatoria, una vez capturados 0.5.1 y 0.5.1a</x:v>
      </x:c>
      <x:c r="N18" s="56" t="str">
        <x:v>Siempre después de 0.5.1 y 0.5.1a</x:v>
      </x:c>
      <x:c r="O18" s="56" t="str">
        <x:v>Si respuesta = Son actores distintos, activar 0.5.1b. Si respuesta = No estoy seguro, habilitar posible aclaración 0.5.A en chequeo de consistencia.</x:v>
      </x:c>
      <x:c r="P18" s="56" t="str">
        <x:v>visible_capture</x:v>
      </x:c>
      <x:c r="Q18" s="56" t="str">
        <x:v>DIRECT_CAPTURE_ONLY</x:v>
      </x:c>
      <x:c r="R18" s="56" t="str">
        <x:v>relacion_beneficiario_afectado_0_5_1_rel</x:v>
      </x:c>
      <x:c r="S18" s="56" t="str">
        <x:v>capturado (captured_user_evidence)</x:v>
      </x:c>
      <x:c r="T18" s="56" t="str">
        <x:v>Bloque_0_5_Documento_Madre_Capa1_v2_1_EVE.docx</x:v>
      </x:c>
      <x:c r="U18" s="56" t="str">
        <x:v>d8d4ee2bbf35d603e5237cd90b811ff196c9f2f48e4a51ea652f1a2161862199</x:v>
      </x:c>
      <x:c r="V18" s="56" t="str">
        <x:v>Selección única</x:v>
      </x:c>
      <x:c r="W18" s="56" t="str">
        <x:v>Mostrar opciones autorizadas; permitir una sola selección; opción literal preservada.</x:v>
      </x:c>
      <x:c r="X18" s="56" t="str">
        <x:v>scalar:string</x:v>
      </x:c>
      <x:c r="Y18" s="56" t="str">
        <x:v>Campo options / catálogo dinámico rector</x:v>
      </x:c>
      <x:c r="Z18" s="56" t="str">
        <x:v>slot_ref server-issued; no mapear por label ni posición.</x:v>
      </x:c>
      <x:c r="AA18" s="56" t="str">
        <x:v>EXPLICIT_FIELD_TYPE</x:v>
      </x:c>
      <x:c r="AB18" s="56" t="str">
        <x:v>Pantalla específica Bloque 0.5</x:v>
      </x:c>
      <x:c r="AC18" s="66" t="str"/>
      <x:c r="AD18" s="66" t="str">
        <x:v>No evaluado</x:v>
      </x:c>
      <x:c r="AE18" s="66" t="str">
        <x:v>No evaluado</x:v>
      </x:c>
      <x:c r="AF18" s="66" t="str">
        <x:v>No evaluado</x:v>
      </x:c>
      <x:c r="AG18" s="66" t="str">
        <x:v>No ejecutado</x:v>
      </x:c>
      <x:c r="AH18" s="68" t="str">
        <x:f>IF(AND(AD18="No evaluado",AE18="No evaluado",AF18="No evaluado",AG18="No ejecutado"),"No evaluado",IF(OR(AD18="Bloqueado",AE18="Bloqueado",AF18="Bloqueado",AG18="Bloqueado"),"Bloqueado",IF(OR(AE18="No conforme",AF18="No conforme",AG18="Falló"),"No conforme",IF(AND(OR(AD18="Implementado",AD18="No aplica"),OR(AE18="Conforme",AE18="No aplica"),OR(AF18="Conforme",AF18="No aplica"),OR(AG18="Pasó",AG18="No aplica")),"Conforme","Parcial"))))</x:f>
        <x:v>No evaluado</x:v>
      </x:c>
      <x:c r="AI18" s="56" t="str">
        <x:v>No conforme</x:v>
      </x:c>
      <x:c r="AJ18" s="66" t="str"/>
      <x:c r="AK18" s="66" t="str"/>
      <x:c r="AL18" s="56" t="str">
        <x:v>VALIDATED_044A3M / 170 identity tuples</x:v>
      </x:c>
      <x:c r="AM18" s="56" t="str">
        <x:v>TR-005; TR-006; TR-008; TR-016; TR-019; TR-028; TR-029</x:v>
      </x:c>
      <x:c r="AN18" s="66" t="str"/>
    </x:row>
    <x:row r="19" ht="58" customHeight="1">
      <x:c r="A19" s="56" t="str">
        <x:v>B05-Q05</x:v>
      </x:c>
      <x:c r="B19" s="56" t="str">
        <x:v>0.5</x:v>
      </x:c>
      <x:c r="C19" s="56" t="str">
        <x:v>base_40</x:v>
      </x:c>
      <x:c r="D19" s="56" t="n">
        <x:v>5</x:v>
      </x:c>
      <x:c r="E19" s="56" t="n">
        <x:v>4</x:v>
      </x:c>
      <x:c r="F19" s="56" t="str">
        <x:v>B0_5_0_5_1c</x:v>
      </x:c>
      <x:c r="G19" s="56" t="str">
        <x:v>0.5.1c</x:v>
      </x:c>
      <x:c r="H19" s="56" t="str">
        <x:v>¿Qué tan claro tienes quién se beneficia realmente de que esta actividad salga bien?</x:v>
      </x:c>
      <x:c r="I19" s="56" t="str">
        <x:v>No responde sobre la empresa; responde sobre tu claridad al verla. Si lo tienes totalmente claro, selecciónalo. Si solo lo supones o te cuesta ubicarlo, también es válido decirlo.</x:v>
      </x:c>
      <x:c r="J19" s="56" t="str">
        <x:v>single_choice</x:v>
      </x:c>
      <x:c r="K19" s="56" t="str">
        <x:v>single_choice</x:v>
      </x:c>
      <x:c r="L19" s="56" t="str">
        <x:v>Muy claro / Más o menos claro / Poco claro / No lo tengo claro</x:v>
      </x:c>
      <x:c r="M19" s="56" t="str">
        <x:v>Obligatoria</x:v>
      </x:c>
      <x:c r="N19" s="56" t="str">
        <x:v>Siempre</x:v>
      </x:c>
      <x:c r="O19" s="56" t="str">
        <x:v>Si respuesta = Poco claro o No lo tengo claro, elevar peso de flag para posible 0.5.A y bajar scene_frame_confidence.</x:v>
      </x:c>
      <x:c r="P19" s="56" t="str">
        <x:v>visible_capture</x:v>
      </x:c>
      <x:c r="Q19" s="56" t="str">
        <x:v>SELF_ASSESSMENT_NOT_SYSTEM_FACT</x:v>
      </x:c>
      <x:c r="R19" s="56" t="str">
        <x:v>claridad_beneficiario_0_5_1c</x:v>
      </x:c>
      <x:c r="S19" s="56" t="str">
        <x:v>captured_user_self_assessment</x:v>
      </x:c>
      <x:c r="T19" s="56" t="str">
        <x:v>Bloque_0_5_Documento_Madre_Capa1_v2_1_EVE.docx</x:v>
      </x:c>
      <x:c r="U19" s="56" t="str">
        <x:v>d8d4ee2bbf35d603e5237cd90b811ff196c9f2f48e4a51ea652f1a2161862199</x:v>
      </x:c>
      <x:c r="V19" s="56" t="str">
        <x:v>Selección única</x:v>
      </x:c>
      <x:c r="W19" s="56" t="str">
        <x:v>Mostrar opciones autorizadas; permitir una sola selección; opción literal preservada.</x:v>
      </x:c>
      <x:c r="X19" s="56" t="str">
        <x:v>scalar:string</x:v>
      </x:c>
      <x:c r="Y19" s="56" t="str">
        <x:v>Campo options / catálogo dinámico rector</x:v>
      </x:c>
      <x:c r="Z19" s="56" t="str">
        <x:v>slot_ref server-issued; no mapear por label ni posición.</x:v>
      </x:c>
      <x:c r="AA19" s="56" t="str">
        <x:v>EXPLICIT_FIELD_TYPE</x:v>
      </x:c>
      <x:c r="AB19" s="56" t="str">
        <x:v>Pantalla específica Bloque 0.5</x:v>
      </x:c>
      <x:c r="AC19" s="66" t="str"/>
      <x:c r="AD19" s="66" t="str">
        <x:v>No evaluado</x:v>
      </x:c>
      <x:c r="AE19" s="66" t="str">
        <x:v>No evaluado</x:v>
      </x:c>
      <x:c r="AF19" s="66" t="str">
        <x:v>No evaluado</x:v>
      </x:c>
      <x:c r="AG19" s="66" t="str">
        <x:v>No ejecutado</x:v>
      </x:c>
      <x:c r="AH19" s="68" t="str">
        <x:f>IF(AND(AD19="No evaluado",AE19="No evaluado",AF19="No evaluado",AG19="No ejecutado"),"No evaluado",IF(OR(AD19="Bloqueado",AE19="Bloqueado",AF19="Bloqueado",AG19="Bloqueado"),"Bloqueado",IF(OR(AE19="No conforme",AF19="No conforme",AG19="Falló"),"No conforme",IF(AND(OR(AD19="Implementado",AD19="No aplica"),OR(AE19="Conforme",AE19="No aplica"),OR(AF19="Conforme",AF19="No aplica"),OR(AG19="Pasó",AG19="No aplica")),"Conforme","Parcial"))))</x:f>
        <x:v>No evaluado</x:v>
      </x:c>
      <x:c r="AI19" s="56" t="str">
        <x:v>No conforme</x:v>
      </x:c>
      <x:c r="AJ19" s="66" t="str"/>
      <x:c r="AK19" s="66" t="str"/>
      <x:c r="AL19" s="56" t="str">
        <x:v>VALIDATED_044A3M / 170 identity tuples</x:v>
      </x:c>
      <x:c r="AM19" s="56" t="str">
        <x:v>TR-005; TR-006; TR-008; TR-016; TR-019; TR-028; TR-029</x:v>
      </x:c>
      <x:c r="AN19" s="66" t="str"/>
    </x:row>
    <x:row r="20" ht="58" customHeight="1">
      <x:c r="A20" s="56" t="str">
        <x:v>B05-Q05</x:v>
      </x:c>
      <x:c r="B20" s="56" t="str">
        <x:v>0.5</x:v>
      </x:c>
      <x:c r="C20" s="56" t="str">
        <x:v>base_40</x:v>
      </x:c>
      <x:c r="D20" s="56" t="n">
        <x:v>5</x:v>
      </x:c>
      <x:c r="E20" s="56" t="n">
        <x:v>5</x:v>
      </x:c>
      <x:c r="F20" s="56" t="str">
        <x:v>B0_5_0_5_1d</x:v>
      </x:c>
      <x:c r="G20" s="56" t="str">
        <x:v>0.5.1d</x:v>
      </x:c>
      <x:c r="H20" s="56" t="str">
        <x:v>¿Qué tan claro tienes quién sufre realmente si esta actividad sale mal?</x:v>
      </x:c>
      <x:c r="I20" s="56" t="str">
        <x:v>Aquí también importa tu nivel de claridad, no una respuesta 'correcta'. Si sospechas pero no lo ves del todo claro, conviene registrarlo; ese borde borroso también dice algo del sistema.</x:v>
      </x:c>
      <x:c r="J20" s="56" t="str">
        <x:v>single_choice</x:v>
      </x:c>
      <x:c r="K20" s="56" t="str">
        <x:v>single_choice</x:v>
      </x:c>
      <x:c r="L20" s="56" t="str">
        <x:v>Muy claro / Más o menos claro / Poco claro / No lo tengo claro</x:v>
      </x:c>
      <x:c r="M20" s="56" t="str">
        <x:v>Obligatoria</x:v>
      </x:c>
      <x:c r="N20" s="56" t="str">
        <x:v>Siempre</x:v>
      </x:c>
      <x:c r="O20" s="56" t="str">
        <x:v>Si respuesta = Poco claro o No lo tengo claro, elevar peso de flag para posible 0.5.A y bajar scene_frame_confidence.</x:v>
      </x:c>
      <x:c r="P20" s="56" t="str">
        <x:v>visible_capture</x:v>
      </x:c>
      <x:c r="Q20" s="56" t="str">
        <x:v>SELF_ASSESSMENT_NOT_SYSTEM_FACT</x:v>
      </x:c>
      <x:c r="R20" s="56" t="str">
        <x:v>claridad_afectado_0_5_1d</x:v>
      </x:c>
      <x:c r="S20" s="56" t="str">
        <x:v>captured_user_self_assessment</x:v>
      </x:c>
      <x:c r="T20" s="56" t="str">
        <x:v>Bloque_0_5_Documento_Madre_Capa1_v2_1_EVE.docx</x:v>
      </x:c>
      <x:c r="U20" s="56" t="str">
        <x:v>d8d4ee2bbf35d603e5237cd90b811ff196c9f2f48e4a51ea652f1a2161862199</x:v>
      </x:c>
      <x:c r="V20" s="56" t="str">
        <x:v>Selección única</x:v>
      </x:c>
      <x:c r="W20" s="56" t="str">
        <x:v>Mostrar opciones autorizadas; permitir una sola selección; opción literal preservada.</x:v>
      </x:c>
      <x:c r="X20" s="56" t="str">
        <x:v>scalar:string</x:v>
      </x:c>
      <x:c r="Y20" s="56" t="str">
        <x:v>Campo options / catálogo dinámico rector</x:v>
      </x:c>
      <x:c r="Z20" s="56" t="str">
        <x:v>slot_ref server-issued; no mapear por label ni posición.</x:v>
      </x:c>
      <x:c r="AA20" s="56" t="str">
        <x:v>EXPLICIT_FIELD_TYPE</x:v>
      </x:c>
      <x:c r="AB20" s="56" t="str">
        <x:v>Pantalla específica Bloque 0.5</x:v>
      </x:c>
      <x:c r="AC20" s="66" t="str"/>
      <x:c r="AD20" s="66" t="str">
        <x:v>No evaluado</x:v>
      </x:c>
      <x:c r="AE20" s="66" t="str">
        <x:v>No evaluado</x:v>
      </x:c>
      <x:c r="AF20" s="66" t="str">
        <x:v>No evaluado</x:v>
      </x:c>
      <x:c r="AG20" s="66" t="str">
        <x:v>No ejecutado</x:v>
      </x:c>
      <x:c r="AH20" s="68" t="str">
        <x:f>IF(AND(AD20="No evaluado",AE20="No evaluado",AF20="No evaluado",AG20="No ejecutado"),"No evaluado",IF(OR(AD20="Bloqueado",AE20="Bloqueado",AF20="Bloqueado",AG20="Bloqueado"),"Bloqueado",IF(OR(AE20="No conforme",AF20="No conforme",AG20="Falló"),"No conforme",IF(AND(OR(AD20="Implementado",AD20="No aplica"),OR(AE20="Conforme",AE20="No aplica"),OR(AF20="Conforme",AF20="No aplica"),OR(AG20="Pasó",AG20="No aplica")),"Conforme","Parcial"))))</x:f>
        <x:v>No evaluado</x:v>
      </x:c>
      <x:c r="AI20" s="56" t="str">
        <x:v>No conforme</x:v>
      </x:c>
      <x:c r="AJ20" s="66" t="str"/>
      <x:c r="AK20" s="66" t="str"/>
      <x:c r="AL20" s="56" t="str">
        <x:v>VALIDATED_044A3M / 170 identity tuples</x:v>
      </x:c>
      <x:c r="AM20" s="56" t="str">
        <x:v>TR-005; TR-006; TR-008; TR-016; TR-019; TR-028; TR-029</x:v>
      </x:c>
      <x:c r="AN20" s="66" t="str"/>
    </x:row>
    <x:row r="21" ht="58" customHeight="1">
      <x:c r="A21" s="56" t="str">
        <x:v>B05-Q06</x:v>
      </x:c>
      <x:c r="B21" s="56" t="str">
        <x:v>0.5</x:v>
      </x:c>
      <x:c r="C21" s="56" t="str">
        <x:v>base_40</x:v>
      </x:c>
      <x:c r="D21" s="56" t="n">
        <x:v>6</x:v>
      </x:c>
      <x:c r="E21" s="56" t="n">
        <x:v>1</x:v>
      </x:c>
      <x:c r="F21" s="56" t="str">
        <x:v>B0_5_0_5_2</x:v>
      </x:c>
      <x:c r="G21" s="56" t="str">
        <x:v>0.5.2</x:v>
      </x:c>
      <x:c r="H21" s="56" t="str">
        <x:v>¿A qué gran proceso de la empresa pertenece esta actividad?</x:v>
      </x:c>
      <x:c r="I21" s="56" t="str">
        <x:v>Piensa en el proceso más grande dentro del cual esta actividad tiene sentido. No nombres tu tarea; nombra el proceso contenedor. Ejemplos: Recursos Humanos, Finanzas, Compras, Ventas, Atención al cliente, Producción. Si haces nómina, probablemente pertenece a Recursos Humanos; si validas facturas, probablemente a Finanzas o Compras, según el caso.</x:v>
      </x:c>
      <x:c r="J21" s="56" t="str">
        <x:v>single_choice</x:v>
      </x:c>
      <x:c r="K21" s="56" t="str">
        <x:v>single_choice</x:v>
      </x:c>
      <x:c r="L21" s="56" t="str">
        <x:v>Dinámicas desde company_process_catalog; fallback_options: Otro (especificar) / No estoy seguro</x:v>
      </x:c>
      <x:c r="M21" s="56" t="str">
        <x:v>Obligatoria</x:v>
      </x:c>
      <x:c r="N21" s="56" t="str">
        <x:v>Siempre</x:v>
      </x:c>
      <x:c r="O21" s="56" t="str">
        <x:v>Si respuesta = Otro, abrir especificación. Si respuesta = No estoy seguro o es excesivamente local/genérica, considerar 0.5.B.</x:v>
      </x:c>
      <x:c r="P21" s="56" t="str">
        <x:v>visible_capture</x:v>
      </x:c>
      <x:c r="Q21" s="56" t="str">
        <x:v>DIRECT_CAPTURE_ONLY</x:v>
      </x:c>
      <x:c r="R21" s="56" t="str">
        <x:v>scene_macro_process</x:v>
      </x:c>
      <x:c r="S21" s="56" t="str">
        <x:v>capturado (captured_user_evidence)</x:v>
      </x:c>
      <x:c r="T21" s="56" t="str">
        <x:v>Bloque_0_5_Documento_Madre_Capa1_v2_1_EVE.docx</x:v>
      </x:c>
      <x:c r="U21" s="56" t="str">
        <x:v>d8d4ee2bbf35d603e5237cd90b811ff196c9f2f48e4a51ea652f1a2161862199</x:v>
      </x:c>
      <x:c r="V21" s="56" t="str">
        <x:v>Selección única</x:v>
      </x:c>
      <x:c r="W21" s="56" t="str">
        <x:v>Mostrar opciones autorizadas; permitir una sola selección; opción literal preservada.</x:v>
      </x:c>
      <x:c r="X21" s="56" t="str">
        <x:v>scalar:string</x:v>
      </x:c>
      <x:c r="Y21" s="56" t="str">
        <x:v>Campo options / catálogo dinámico rector</x:v>
      </x:c>
      <x:c r="Z21" s="56" t="str">
        <x:v>slot_ref server-issued; no mapear por label ni posición.</x:v>
      </x:c>
      <x:c r="AA21" s="56" t="str">
        <x:v>EXPLICIT_FIELD_TYPE</x:v>
      </x:c>
      <x:c r="AB21" s="56" t="str">
        <x:v>Pantalla específica Bloque 0.5</x:v>
      </x:c>
      <x:c r="AC21" s="66" t="str"/>
      <x:c r="AD21" s="66" t="str">
        <x:v>No evaluado</x:v>
      </x:c>
      <x:c r="AE21" s="66" t="str">
        <x:v>No evaluado</x:v>
      </x:c>
      <x:c r="AF21" s="66" t="str">
        <x:v>No evaluado</x:v>
      </x:c>
      <x:c r="AG21" s="66" t="str">
        <x:v>No ejecutado</x:v>
      </x:c>
      <x:c r="AH21" s="68" t="str">
        <x:f>IF(AND(AD21="No evaluado",AE21="No evaluado",AF21="No evaluado",AG21="No ejecutado"),"No evaluado",IF(OR(AD21="Bloqueado",AE21="Bloqueado",AF21="Bloqueado",AG21="Bloqueado"),"Bloqueado",IF(OR(AE21="No conforme",AF21="No conforme",AG21="Falló"),"No conforme",IF(AND(OR(AD21="Implementado",AD21="No aplica"),OR(AE21="Conforme",AE21="No aplica"),OR(AF21="Conforme",AF21="No aplica"),OR(AG21="Pasó",AG21="No aplica")),"Conforme","Parcial"))))</x:f>
        <x:v>No evaluado</x:v>
      </x:c>
      <x:c r="AI21" s="56" t="str">
        <x:v>No conforme</x:v>
      </x:c>
      <x:c r="AJ21" s="66" t="str"/>
      <x:c r="AK21" s="66" t="str"/>
      <x:c r="AL21" s="56" t="str">
        <x:v>VALIDATED_044A3M / 170 identity tuples</x:v>
      </x:c>
      <x:c r="AM21" s="56" t="str">
        <x:v>TR-005; TR-006; TR-008; TR-016; TR-019; TR-028; TR-029</x:v>
      </x:c>
      <x:c r="AN21" s="66" t="str"/>
    </x:row>
    <x:row r="22" ht="58" customHeight="1">
      <x:c r="A22" s="56" t="str">
        <x:v>B05-Q06</x:v>
      </x:c>
      <x:c r="B22" s="56" t="str">
        <x:v>0.5</x:v>
      </x:c>
      <x:c r="C22" s="56" t="str">
        <x:v>base_40</x:v>
      </x:c>
      <x:c r="D22" s="56" t="n">
        <x:v>6</x:v>
      </x:c>
      <x:c r="E22" s="56" t="n">
        <x:v>2</x:v>
      </x:c>
      <x:c r="F22" s="56" t="str">
        <x:v>B0_5_0_5_B</x:v>
      </x:c>
      <x:c r="G22" s="56" t="str">
        <x:v>0.5.B</x:v>
      </x:c>
      <x:c r="H22" s="56" t="str">
        <x:v>La respuesta sobre el proceso quedó demasiado amplia o demasiado pegada a la tarea. ¿En qué proceso más grande vive realmente esta actividad dentro de la empresa?</x:v>
      </x:c>
      <x:c r="I22" s="56" t="str">
        <x:v>Sirve cuando el usuario responde con algo demasiado local como 'revisar pagos' o demasiado vago como 'operación'. La idea es subir o bajar un nivel hasta encontrar el proceso contenedor correcto. Ejemplos: Compras, Finanzas, Nómina, Atención al cliente, Producción.</x:v>
      </x:c>
      <x:c r="J22" s="56" t="str">
        <x:v>clarification</x:v>
      </x:c>
      <x:c r="K22" s="56" t="str">
        <x:v>clarification</x:v>
      </x:c>
      <x:c r="L22" s="56" t="str">
        <x:v>N/A</x:v>
      </x:c>
      <x:c r="M22" s="56" t="str">
        <x:v>Nunca en flujo base</x:v>
      </x:c>
      <x:c r="N22" s="56" t="str">
        <x:v>Solo por flag</x:v>
      </x:c>
      <x:c r="O22" s="56" t="str">
        <x:v>No abre más preguntas; corrige precisión de proceso.</x:v>
      </x:c>
      <x:c r="P22" s="56" t="str">
        <x:v>conditional_clarification</x:v>
      </x:c>
      <x:c r="Q22" s="56" t="str">
        <x:v>CLARIFICATION_SEPARATE</x:v>
      </x:c>
      <x:c r="R22" s="56" t="str">
        <x:v>scene_macro_process | clarifications_bundle_0_5_B</x:v>
      </x:c>
      <x:c r="S22" s="56" t="str">
        <x:v>aclarado (clarification)</x:v>
      </x:c>
      <x:c r="T22" s="56" t="str">
        <x:v>Bloque_0_5_Documento_Madre_Capa1_v2_1_EVE.docx</x:v>
      </x:c>
      <x:c r="U22" s="56" t="str">
        <x:v>d8d4ee2bbf35d603e5237cd90b811ff196c9f2f48e4a51ea652f1a2161862199</x:v>
      </x:c>
      <x:c r="V22" s="56" t="str">
        <x:v>Aclaración condicional</x:v>
      </x:c>
      <x:c r="W22" s="56" t="str">
        <x:v>Mostrar solo cuando visibility/branching lo autoriza; capturar aclaración separada.</x:v>
      </x:c>
      <x:c r="X22" s="56" t="str">
        <x:v>scalar:string|null</x:v>
      </x:c>
      <x:c r="Y22" s="56" t="str">
        <x:v>Opciones rectoras si existen; de lo contrario texto</x:v>
      </x:c>
      <x:c r="Z22" s="56" t="str">
        <x:v>slot_ref condicional server-issued; no fusionar con respuesta base.</x:v>
      </x:c>
      <x:c r="AA22" s="56" t="str">
        <x:v>EXPLICIT_CONDITIONAL</x:v>
      </x:c>
      <x:c r="AB22" s="56" t="str">
        <x:v>Pantalla específica Bloque 0.5</x:v>
      </x:c>
      <x:c r="AC22" s="66" t="str"/>
      <x:c r="AD22" s="66" t="str">
        <x:v>No evaluado</x:v>
      </x:c>
      <x:c r="AE22" s="66" t="str">
        <x:v>No evaluado</x:v>
      </x:c>
      <x:c r="AF22" s="66" t="str">
        <x:v>No evaluado</x:v>
      </x:c>
      <x:c r="AG22" s="66" t="str">
        <x:v>No ejecutado</x:v>
      </x:c>
      <x:c r="AH22" s="68" t="str">
        <x:f>IF(AND(AD22="No evaluado",AE22="No evaluado",AF22="No evaluado",AG22="No ejecutado"),"No evaluado",IF(OR(AD22="Bloqueado",AE22="Bloqueado",AF22="Bloqueado",AG22="Bloqueado"),"Bloqueado",IF(OR(AE22="No conforme",AF22="No conforme",AG22="Falló"),"No conforme",IF(AND(OR(AD22="Implementado",AD22="No aplica"),OR(AE22="Conforme",AE22="No aplica"),OR(AF22="Conforme",AF22="No aplica"),OR(AG22="Pasó",AG22="No aplica")),"Conforme","Parcial"))))</x:f>
        <x:v>No evaluado</x:v>
      </x:c>
      <x:c r="AI22" s="56" t="str">
        <x:v>Parcial</x:v>
      </x:c>
      <x:c r="AJ22" s="66" t="str"/>
      <x:c r="AK22" s="66" t="str"/>
      <x:c r="AL22" s="56" t="str">
        <x:v>VALIDATED_044A3M / 170 identity tuples</x:v>
      </x:c>
      <x:c r="AM22" s="56" t="str">
        <x:v>TR-005; TR-006; TR-008; TR-016; TR-019; TR-028; TR-029</x:v>
      </x:c>
      <x:c r="AN22" s="66" t="str"/>
    </x:row>
    <x:row r="23" ht="58" customHeight="1">
      <x:c r="A23" s="56" t="str">
        <x:v>B05-Q07</x:v>
      </x:c>
      <x:c r="B23" s="56" t="str">
        <x:v>0.5</x:v>
      </x:c>
      <x:c r="C23" s="56" t="str">
        <x:v>base_40</x:v>
      </x:c>
      <x:c r="D23" s="56" t="n">
        <x:v>7</x:v>
      </x:c>
      <x:c r="E23" s="56" t="n">
        <x:v>1</x:v>
      </x:c>
      <x:c r="F23" s="56" t="str">
        <x:v>B0_5_0_5_3</x:v>
      </x:c>
      <x:c r="G23" s="56" t="str">
        <x:v>0.5.3</x:v>
      </x:c>
      <x:c r="H23" s="56" t="str">
        <x:v>Cuando terminas esta actividad con éxito, ¿qué hito importante se desbloquea en la empresa para que otros puedan avanzar?</x:v>
      </x:c>
      <x:c r="I23" s="56" t="str">
        <x:v>No repitas solo lo que tú entregas; describe qué se vuelve posible gracias a que esto salió bien. Piensa en el siguiente avance importante del sistema. Ejemplos: 'Se libera el presupuesto', 'El proveedor puede ser pagado', 'El cliente recibe el producto', 'Se puede iniciar producción', 'Se puede cerrar el mes'.</x:v>
      </x:c>
      <x:c r="J23" s="56" t="str">
        <x:v>free_text</x:v>
      </x:c>
      <x:c r="K23" s="56" t="str">
        <x:v>free_text</x:v>
      </x:c>
      <x:c r="L23" s="56" t="str">
        <x:v>N/A</x:v>
      </x:c>
      <x:c r="M23" s="56" t="str">
        <x:v>Obligatoria</x:v>
      </x:c>
      <x:c r="N23" s="56" t="str">
        <x:v>Siempre</x:v>
      </x:c>
      <x:c r="O23" s="56" t="str">
        <x:v>Si la respuesta describe solo una tarea local y no un hito habilitado, considerar 0.5.C.</x:v>
      </x:c>
      <x:c r="P23" s="56" t="str">
        <x:v>visible_capture</x:v>
      </x:c>
      <x:c r="Q23" s="56" t="str">
        <x:v>DIRECT_CAPTURE_ONLY</x:v>
      </x:c>
      <x:c r="R23" s="56" t="str">
        <x:v>scene_enabled_milestone</x:v>
      </x:c>
      <x:c r="S23" s="56" t="str">
        <x:v>capturado (captured_user_evidence)</x:v>
      </x:c>
      <x:c r="T23" s="56" t="str">
        <x:v>Bloque_0_5_Documento_Madre_Capa1_v2_1_EVE.docx</x:v>
      </x:c>
      <x:c r="U23" s="56" t="str">
        <x:v>d8d4ee2bbf35d603e5237cd90b811ff196c9f2f48e4a51ea652f1a2161862199</x:v>
      </x:c>
      <x:c r="V23" s="56" t="str">
        <x:v>Texto libre</x:v>
      </x:c>
      <x:c r="W23" s="56" t="str">
        <x:v>Capturar texto literal sin clasificación semántica cliente.</x:v>
      </x:c>
      <x:c r="X23" s="56" t="str">
        <x:v>scalar:string</x:v>
      </x:c>
      <x:c r="Y23" s="56" t="str">
        <x:v>No aplica</x:v>
      </x:c>
      <x:c r="Z23" s="56" t="str">
        <x:v>slot_ref server-issued; valor humano únicamente.</x:v>
      </x:c>
      <x:c r="AA23" s="56" t="str">
        <x:v>EXPLICIT_FIELD_TYPE</x:v>
      </x:c>
      <x:c r="AB23" s="56" t="str">
        <x:v>Pantalla específica Bloque 0.5</x:v>
      </x:c>
      <x:c r="AC23" s="66" t="str"/>
      <x:c r="AD23" s="66" t="str">
        <x:v>No evaluado</x:v>
      </x:c>
      <x:c r="AE23" s="66" t="str">
        <x:v>No evaluado</x:v>
      </x:c>
      <x:c r="AF23" s="66" t="str">
        <x:v>No evaluado</x:v>
      </x:c>
      <x:c r="AG23" s="66" t="str">
        <x:v>No ejecutado</x:v>
      </x:c>
      <x:c r="AH23" s="68" t="str">
        <x:f>IF(AND(AD23="No evaluado",AE23="No evaluado",AF23="No evaluado",AG23="No ejecutado"),"No evaluado",IF(OR(AD23="Bloqueado",AE23="Bloqueado",AF23="Bloqueado",AG23="Bloqueado"),"Bloqueado",IF(OR(AE23="No conforme",AF23="No conforme",AG23="Falló"),"No conforme",IF(AND(OR(AD23="Implementado",AD23="No aplica"),OR(AE23="Conforme",AE23="No aplica"),OR(AF23="Conforme",AF23="No aplica"),OR(AG23="Pasó",AG23="No aplica")),"Conforme","Parcial"))))</x:f>
        <x:v>No evaluado</x:v>
      </x:c>
      <x:c r="AI23" s="56" t="str">
        <x:v>Compatible</x:v>
      </x:c>
      <x:c r="AJ23" s="66" t="str"/>
      <x:c r="AK23" s="66" t="str"/>
      <x:c r="AL23" s="56" t="str">
        <x:v>VALIDATED_044A3M / 170 identity tuples</x:v>
      </x:c>
      <x:c r="AM23" s="56" t="str">
        <x:v>TR-005; TR-006; TR-008; TR-016; TR-019; TR-028; TR-029</x:v>
      </x:c>
      <x:c r="AN23" s="66" t="str"/>
    </x:row>
    <x:row r="24" ht="58" customHeight="1">
      <x:c r="A24" s="56" t="str">
        <x:v>B05-Q07</x:v>
      </x:c>
      <x:c r="B24" s="56" t="str">
        <x:v>0.5</x:v>
      </x:c>
      <x:c r="C24" s="56" t="str">
        <x:v>base_40</x:v>
      </x:c>
      <x:c r="D24" s="56" t="n">
        <x:v>7</x:v>
      </x:c>
      <x:c r="E24" s="56" t="n">
        <x:v>2</x:v>
      </x:c>
      <x:c r="F24" s="56" t="str">
        <x:v>B0_5_0_5_4</x:v>
      </x:c>
      <x:c r="G24" s="56" t="str">
        <x:v>0.5.4</x:v>
      </x:c>
      <x:c r="H24" s="56" t="str">
        <x:v>Si tienes muchas cosas que hacer y no hay tiempo para todo, ¿quién o qué define que esta actividad en particular debe hacerse primero?</x:v>
      </x:c>
      <x:c r="I24" s="56" t="str">
        <x:v>Piensa en condiciones normales de presión o competencia entre tareas. ¿Quién marca la prioridad efectiva? Puede ser tu jefe, un sistema, el cliente, una política o incluso tú mismo si no hay una fuente clara arriba. Eso último también es dato.</x:v>
      </x:c>
      <x:c r="J24" s="56" t="str">
        <x:v>single_choice</x:v>
      </x:c>
      <x:c r="K24" s="56" t="str">
        <x:v>single_choice</x:v>
      </x:c>
      <x:c r="L24" s="56" t="str">
        <x:v>Mi jefe directo / Un sistema o ticket / El cliente lo exige / Yo mismo / Un comité o política / Otro (especificar)</x:v>
      </x:c>
      <x:c r="M24" s="56" t="str">
        <x:v>Obligatoria</x:v>
      </x:c>
      <x:c r="N24" s="56" t="str">
        <x:v>Siempre</x:v>
      </x:c>
      <x:c r="O24" s="56" t="str">
        <x:v>Después de 0.5.4, mostrar 0.5.4a. Si opción = Yo mismo, registrar posible señal de vacío regulatorio o subsidiariedad invertida para lectura posterior, sin diagnosticar aquí.</x:v>
      </x:c>
      <x:c r="P24" s="56" t="str">
        <x:v>visible_capture</x:v>
      </x:c>
      <x:c r="Q24" s="56" t="str">
        <x:v>DIRECT_CAPTURE_ONLY</x:v>
      </x:c>
      <x:c r="R24" s="56" t="str">
        <x:v>scene_priority_source</x:v>
      </x:c>
      <x:c r="S24" s="56" t="str">
        <x:v>capturado (captured_user_evidence)</x:v>
      </x:c>
      <x:c r="T24" s="56" t="str">
        <x:v>Bloque_0_5_Documento_Madre_Capa1_v2_1_EVE.docx</x:v>
      </x:c>
      <x:c r="U24" s="56" t="str">
        <x:v>d8d4ee2bbf35d603e5237cd90b811ff196c9f2f48e4a51ea652f1a2161862199</x:v>
      </x:c>
      <x:c r="V24" s="56" t="str">
        <x:v>Selección única</x:v>
      </x:c>
      <x:c r="W24" s="56" t="str">
        <x:v>Mostrar opciones autorizadas; permitir una sola selección; opción literal preservada.</x:v>
      </x:c>
      <x:c r="X24" s="56" t="str">
        <x:v>scalar:string</x:v>
      </x:c>
      <x:c r="Y24" s="56" t="str">
        <x:v>Campo options / catálogo dinámico rector</x:v>
      </x:c>
      <x:c r="Z24" s="56" t="str">
        <x:v>slot_ref server-issued; no mapear por label ni posición.</x:v>
      </x:c>
      <x:c r="AA24" s="56" t="str">
        <x:v>EXPLICIT_FIELD_TYPE</x:v>
      </x:c>
      <x:c r="AB24" s="56" t="str">
        <x:v>Pantalla específica Bloque 0.5</x:v>
      </x:c>
      <x:c r="AC24" s="66" t="str"/>
      <x:c r="AD24" s="66" t="str">
        <x:v>No evaluado</x:v>
      </x:c>
      <x:c r="AE24" s="66" t="str">
        <x:v>No evaluado</x:v>
      </x:c>
      <x:c r="AF24" s="66" t="str">
        <x:v>No evaluado</x:v>
      </x:c>
      <x:c r="AG24" s="66" t="str">
        <x:v>No ejecutado</x:v>
      </x:c>
      <x:c r="AH24" s="68" t="str">
        <x:f>IF(AND(AD24="No evaluado",AE24="No evaluado",AF24="No evaluado",AG24="No ejecutado"),"No evaluado",IF(OR(AD24="Bloqueado",AE24="Bloqueado",AF24="Bloqueado",AG24="Bloqueado"),"Bloqueado",IF(OR(AE24="No conforme",AF24="No conforme",AG24="Falló"),"No conforme",IF(AND(OR(AD24="Implementado",AD24="No aplica"),OR(AE24="Conforme",AE24="No aplica"),OR(AF24="Conforme",AF24="No aplica"),OR(AG24="Pasó",AG24="No aplica")),"Conforme","Parcial"))))</x:f>
        <x:v>No evaluado</x:v>
      </x:c>
      <x:c r="AI24" s="56" t="str">
        <x:v>No conforme</x:v>
      </x:c>
      <x:c r="AJ24" s="66" t="str"/>
      <x:c r="AK24" s="66" t="str"/>
      <x:c r="AL24" s="56" t="str">
        <x:v>VALIDATED_044A3M / 170 identity tuples</x:v>
      </x:c>
      <x:c r="AM24" s="56" t="str">
        <x:v>TR-005; TR-006; TR-008; TR-016; TR-019; TR-028; TR-029</x:v>
      </x:c>
      <x:c r="AN24" s="66" t="str"/>
    </x:row>
    <x:row r="25" ht="58" customHeight="1">
      <x:c r="A25" s="56" t="str">
        <x:v>B05-Q07</x:v>
      </x:c>
      <x:c r="B25" s="56" t="str">
        <x:v>0.5</x:v>
      </x:c>
      <x:c r="C25" s="56" t="str">
        <x:v>base_40</x:v>
      </x:c>
      <x:c r="D25" s="56" t="n">
        <x:v>7</x:v>
      </x:c>
      <x:c r="E25" s="56" t="n">
        <x:v>3</x:v>
      </x:c>
      <x:c r="F25" s="56" t="str">
        <x:v>B0_5_0_5_4a</x:v>
      </x:c>
      <x:c r="G25" s="56" t="str">
        <x:v>0.5.4a</x:v>
      </x:c>
      <x:c r="H25" s="56" t="str">
        <x:v>Si ya estás trabajando en esta actividad y te entra otra urgencia que la desplaza, ¿de quién o de dónde suele venir esa nueva prioridad?</x:v>
      </x:c>
      <x:c r="I25" s="56" t="str">
        <x:v>Aquí ya no hablamos de prioridad normal, sino de quién reordena el sistema cuando aparece una urgencia competidora. A veces coincide con la prioridad normal; a veces no. Y cuando no coincide, ahí suele haber una señal estructural valiosa.</x:v>
      </x:c>
      <x:c r="J25" s="56" t="str">
        <x:v>single_choice</x:v>
      </x:c>
      <x:c r="K25" s="56" t="str">
        <x:v>single_choice</x:v>
      </x:c>
      <x:c r="L25" s="56" t="str">
        <x:v>Mi jefe directo / Un sistema o ticket / El cliente lo exige / Yo mismo / Un comité o política / Otro (especificar) / Casi nunca me desplazan</x:v>
      </x:c>
      <x:c r="M25" s="56" t="str">
        <x:v>Obligatoria</x:v>
      </x:c>
      <x:c r="N25" s="56" t="str">
        <x:v>Siempre, después de 0.5.4</x:v>
      </x:c>
      <x:c r="O25" s="56" t="str">
        <x:v>Si la fuente difiere de 0.5.4, derivar scene_priority_pattern = prioridad fragmentada o desplazamiento competitivo. Si responde Casi nunca me desplazan, registrar estabilidad relativa.</x:v>
      </x:c>
      <x:c r="P25" s="56" t="str">
        <x:v>visible_capture</x:v>
      </x:c>
      <x:c r="Q25" s="56" t="str">
        <x:v>DIRECT_CAPTURE_WITH_PARTIAL_DERIVATION</x:v>
      </x:c>
      <x:c r="R25" s="56" t="str">
        <x:v>scene_priority_displacement_source | scene_priority_pattern</x:v>
      </x:c>
      <x:c r="S25" s="56" t="str">
        <x:v>capturado + derivado (captured_user_evidence / canonical_derivation)</x:v>
      </x:c>
      <x:c r="T25" s="56" t="str">
        <x:v>Bloque_0_5_Documento_Madre_Capa1_v2_1_EVE.docx</x:v>
      </x:c>
      <x:c r="U25" s="56" t="str">
        <x:v>d8d4ee2bbf35d603e5237cd90b811ff196c9f2f48e4a51ea652f1a2161862199</x:v>
      </x:c>
      <x:c r="V25" s="56" t="str">
        <x:v>Selección única</x:v>
      </x:c>
      <x:c r="W25" s="56" t="str">
        <x:v>Mostrar opciones autorizadas; permitir una sola selección; opción literal preservada.</x:v>
      </x:c>
      <x:c r="X25" s="56" t="str">
        <x:v>scalar:string</x:v>
      </x:c>
      <x:c r="Y25" s="56" t="str">
        <x:v>Campo options / catálogo dinámico rector</x:v>
      </x:c>
      <x:c r="Z25" s="56" t="str">
        <x:v>slot_ref server-issued; no mapear por label ni posición.</x:v>
      </x:c>
      <x:c r="AA25" s="56" t="str">
        <x:v>EXPLICIT_FIELD_TYPE</x:v>
      </x:c>
      <x:c r="AB25" s="56" t="str">
        <x:v>Pantalla específica Bloque 0.5</x:v>
      </x:c>
      <x:c r="AC25" s="66" t="str"/>
      <x:c r="AD25" s="66" t="str">
        <x:v>No evaluado</x:v>
      </x:c>
      <x:c r="AE25" s="66" t="str">
        <x:v>No evaluado</x:v>
      </x:c>
      <x:c r="AF25" s="66" t="str">
        <x:v>No evaluado</x:v>
      </x:c>
      <x:c r="AG25" s="66" t="str">
        <x:v>No ejecutado</x:v>
      </x:c>
      <x:c r="AH25" s="68" t="str">
        <x:f>IF(AND(AD25="No evaluado",AE25="No evaluado",AF25="No evaluado",AG25="No ejecutado"),"No evaluado",IF(OR(AD25="Bloqueado",AE25="Bloqueado",AF25="Bloqueado",AG25="Bloqueado"),"Bloqueado",IF(OR(AE25="No conforme",AF25="No conforme",AG25="Falló"),"No conforme",IF(AND(OR(AD25="Implementado",AD25="No aplica"),OR(AE25="Conforme",AE25="No aplica"),OR(AF25="Conforme",AF25="No aplica"),OR(AG25="Pasó",AG25="No aplica")),"Conforme","Parcial"))))</x:f>
        <x:v>No evaluado</x:v>
      </x:c>
      <x:c r="AI25" s="56" t="str">
        <x:v>No conforme</x:v>
      </x:c>
      <x:c r="AJ25" s="66" t="str"/>
      <x:c r="AK25" s="66" t="str"/>
      <x:c r="AL25" s="56" t="str">
        <x:v>VALIDATED_044A3M / 170 identity tuples</x:v>
      </x:c>
      <x:c r="AM25" s="56" t="str">
        <x:v>TR-005; TR-006; TR-008; TR-016; TR-019; TR-028; TR-029</x:v>
      </x:c>
      <x:c r="AN25" s="66" t="str"/>
    </x:row>
    <x:row r="26" ht="58" customHeight="1">
      <x:c r="A26" s="56" t="str">
        <x:v>B1-Q08</x:v>
      </x:c>
      <x:c r="B26" s="56" t="str">
        <x:v>1</x:v>
      </x:c>
      <x:c r="C26" s="56" t="str">
        <x:v>base_40</x:v>
      </x:c>
      <x:c r="D26" s="56" t="n">
        <x:v>8</x:v>
      </x:c>
      <x:c r="E26" s="56" t="n">
        <x:v>1</x:v>
      </x:c>
      <x:c r="F26" s="56" t="str">
        <x:v>B1_1_1</x:v>
      </x:c>
      <x:c r="G26" s="56" t="str">
        <x:v>1.1</x:v>
      </x:c>
      <x:c r="H26" s="56" t="str">
        <x:v>¿De dónde viene normalmente la señal que te indica empezar?</x:v>
      </x:c>
      <x:c r="I26" s="56" t="str">
        <x:v>Piensa en qué te avisa normalmente que esta actividad ya puede o debe comenzar. Ejemplos: un cliente lo solicita, un sistema lo notifica, tu jefe lo ordena o tú mismo lo disparas por rutina.</x:v>
      </x:c>
      <x:c r="J26" s="56" t="str">
        <x:v>single_choice</x:v>
      </x:c>
      <x:c r="K26" s="56" t="str">
        <x:v>single_choice</x:v>
      </x:c>
      <x:c r="L26" s="56" t="str">
        <x:v>1) Un cliente (interno o externo) me lo solicita; 2) Un sistema o aplicación me lo notifica; 3) Mi jefe o superior me lo ordena; 4) Un compañero me lo pasa; 5) Yo mismo lo decido; 6) Una combinación de los anteriores</x:v>
      </x:c>
      <x:c r="M26" s="56" t="str">
        <x:v>Siempre obligatoria.</x:v>
      </x:c>
      <x:c r="N26" s="56" t="str">
        <x:v>Siempre visible al iniciar el bloque.</x:v>
      </x:c>
      <x:c r="O26" s="56" t="str">
        <x:v>Si responde “Una combinación de los anteriores”, habilita posible aclaración 1.C y puede requerir normalización múltiple.</x:v>
      </x:c>
      <x:c r="P26" s="56" t="str">
        <x:v>visible_capture</x:v>
      </x:c>
      <x:c r="Q26" s="56" t="str">
        <x:v>DIRECT_CAPTURE_ONLY</x:v>
      </x:c>
      <x:c r="R26" s="56" t="str">
        <x:v>trigger_source</x:v>
      </x:c>
      <x:c r="S26" s="56" t="str">
        <x:v>captured_user_evidence</x:v>
      </x:c>
      <x:c r="T26" s="56" t="str">
        <x:v>Bloque_1_Documento_Madre_Capa1_v2_1_EVE.docx</x:v>
      </x:c>
      <x:c r="U26" s="56" t="str">
        <x:v>d5d92a1d38a1f1030d64a9762e59a225baed0d4293cf25a43f47a37b6b2d8319</x:v>
      </x:c>
      <x:c r="V26" s="56" t="str">
        <x:v>Selección única</x:v>
      </x:c>
      <x:c r="W26" s="56" t="str">
        <x:v>Mostrar opciones autorizadas; permitir una sola selección; opción literal preservada.</x:v>
      </x:c>
      <x:c r="X26" s="56" t="str">
        <x:v>scalar:string</x:v>
      </x:c>
      <x:c r="Y26" s="56" t="str">
        <x:v>Campo options / catálogo dinámico rector</x:v>
      </x:c>
      <x:c r="Z26" s="56" t="str">
        <x:v>slot_ref server-issued; no mapear por label ni posición.</x:v>
      </x:c>
      <x:c r="AA26" s="56" t="str">
        <x:v>EXPLICIT_FIELD_TYPE</x:v>
      </x:c>
      <x:c r="AB26" s="56" t="str">
        <x:v>Pantalla específica Bloque 1</x:v>
      </x:c>
      <x:c r="AC26" s="66" t="str"/>
      <x:c r="AD26" s="66" t="str">
        <x:v>No evaluado</x:v>
      </x:c>
      <x:c r="AE26" s="66" t="str">
        <x:v>No evaluado</x:v>
      </x:c>
      <x:c r="AF26" s="66" t="str">
        <x:v>No evaluado</x:v>
      </x:c>
      <x:c r="AG26" s="66" t="str">
        <x:v>No ejecutado</x:v>
      </x:c>
      <x:c r="AH26" s="68" t="str">
        <x:f>IF(AND(AD26="No evaluado",AE26="No evaluado",AF26="No evaluado",AG26="No ejecutado"),"No evaluado",IF(OR(AD26="Bloqueado",AE26="Bloqueado",AF26="Bloqueado",AG26="Bloqueado"),"Bloqueado",IF(OR(AE26="No conforme",AF26="No conforme",AG26="Falló"),"No conforme",IF(AND(OR(AD26="Implementado",AD26="No aplica"),OR(AE26="Conforme",AE26="No aplica"),OR(AF26="Conforme",AF26="No aplica"),OR(AG26="Pasó",AG26="No aplica")),"Conforme","Parcial"))))</x:f>
        <x:v>No evaluado</x:v>
      </x:c>
      <x:c r="AI26" s="56" t="str">
        <x:v>No conforme</x:v>
      </x:c>
      <x:c r="AJ26" s="66" t="str"/>
      <x:c r="AK26" s="66" t="str"/>
      <x:c r="AL26" s="56" t="str">
        <x:v>VALIDATED_044A3M / 170 identity tuples</x:v>
      </x:c>
      <x:c r="AM26" s="56" t="str">
        <x:v>TR-005; TR-006; TR-008; TR-016; TR-019; TR-028; TR-029</x:v>
      </x:c>
      <x:c r="AN26" s="66" t="str"/>
    </x:row>
    <x:row r="27" ht="58" customHeight="1">
      <x:c r="A27" s="56" t="str">
        <x:v>B1-Q08</x:v>
      </x:c>
      <x:c r="B27" s="56" t="str">
        <x:v>1</x:v>
      </x:c>
      <x:c r="C27" s="56" t="str">
        <x:v>base_40</x:v>
      </x:c>
      <x:c r="D27" s="56" t="n">
        <x:v>8</x:v>
      </x:c>
      <x:c r="E27" s="56" t="n">
        <x:v>2</x:v>
      </x:c>
      <x:c r="F27" s="56" t="str">
        <x:v>B1_1_5</x:v>
      </x:c>
      <x:c r="G27" s="56" t="str">
        <x:v>1.5</x:v>
      </x:c>
      <x:c r="H27" s="56" t="str">
        <x:v>¿Por qué medio te llega la noticia de que debes comenzar?</x:v>
      </x:c>
      <x:c r="I27" s="56" t="str">
        <x:v>Piensa en el medio concreto por el que te enteras normalmente. Puedes marcar más de uno si en la práctica llega por varios canales. Ejemplos: email, sistema, mensaje, presencial o reunión. Si marcas “Otro”, escribe cuál.</x:v>
      </x:c>
      <x:c r="J27" s="56" t="str">
        <x:v>multi_choice</x:v>
      </x:c>
      <x:c r="K27" s="56" t="str">
        <x:v>multi_choice</x:v>
      </x:c>
      <x:c r="L27" s="56" t="str">
        <x:v>1) Email; 2) Teléfono o mensaje de texto; 3) Un sistema o aplicación; 4) Presencial; 5) Reunión o llamada de equipo; 6) Otro (especificar)</x:v>
      </x:c>
      <x:c r="M27" s="56" t="str">
        <x:v>Siempre obligatoria.</x:v>
      </x:c>
      <x:c r="N27" s="56" t="str">
        <x:v>Siempre visible después de 1.4.</x:v>
      </x:c>
      <x:c r="O27" s="56" t="str">
        <x:v>Si hay múltiples canales o si 1.1 = combinación, puede disparar aclaración 1.C. Si “Otro”, habilita texto complementario.</x:v>
      </x:c>
      <x:c r="P27" s="56" t="str">
        <x:v>visible_capture</x:v>
      </x:c>
      <x:c r="Q27" s="56" t="str">
        <x:v>DIRECT_CAPTURE_ONLY</x:v>
      </x:c>
      <x:c r="R27" s="56" t="str">
        <x:v>trigger_channel</x:v>
      </x:c>
      <x:c r="S27" s="56" t="str">
        <x:v>captured_user_evidence</x:v>
      </x:c>
      <x:c r="T27" s="56" t="str">
        <x:v>Bloque_1_Documento_Madre_Capa1_v2_1_EVE.docx</x:v>
      </x:c>
      <x:c r="U27" s="56" t="str">
        <x:v>d5d92a1d38a1f1030d64a9762e59a225baed0d4293cf25a43f47a37b6b2d8319</x:v>
      </x:c>
      <x:c r="V27" s="56" t="str">
        <x:v>Selección múltiple</x:v>
      </x:c>
      <x:c r="W27" s="56" t="str">
        <x:v>Mostrar opciones autorizadas; preservar conjunto exacto y exclusiones rectoras.</x:v>
      </x:c>
      <x:c r="X27" s="56" t="str">
        <x:v>array&lt;string&gt;</x:v>
      </x:c>
      <x:c r="Y27" s="56" t="str">
        <x:v>Campo options rector</x:v>
      </x:c>
      <x:c r="Z27" s="56" t="str">
        <x:v>slot_ref server-issued; cada selección conserva código literal.</x:v>
      </x:c>
      <x:c r="AA27" s="56" t="str">
        <x:v>EXPLICIT_FIELD_TYPE</x:v>
      </x:c>
      <x:c r="AB27" s="56" t="str">
        <x:v>Pantalla específica Bloque 1</x:v>
      </x:c>
      <x:c r="AC27" s="66" t="str"/>
      <x:c r="AD27" s="66" t="str">
        <x:v>No evaluado</x:v>
      </x:c>
      <x:c r="AE27" s="66" t="str">
        <x:v>No evaluado</x:v>
      </x:c>
      <x:c r="AF27" s="66" t="str">
        <x:v>No evaluado</x:v>
      </x:c>
      <x:c r="AG27" s="66" t="str">
        <x:v>No ejecutado</x:v>
      </x:c>
      <x:c r="AH27" s="68" t="str">
        <x:f>IF(AND(AD27="No evaluado",AE27="No evaluado",AF27="No evaluado",AG27="No ejecutado"),"No evaluado",IF(OR(AD27="Bloqueado",AE27="Bloqueado",AF27="Bloqueado",AG27="Bloqueado"),"Bloqueado",IF(OR(AE27="No conforme",AF27="No conforme",AG27="Falló"),"No conforme",IF(AND(OR(AD27="Implementado",AD27="No aplica"),OR(AE27="Conforme",AE27="No aplica"),OR(AF27="Conforme",AF27="No aplica"),OR(AG27="Pasó",AG27="No aplica")),"Conforme","Parcial"))))</x:f>
        <x:v>No evaluado</x:v>
      </x:c>
      <x:c r="AI27" s="56" t="str">
        <x:v>No conforme</x:v>
      </x:c>
      <x:c r="AJ27" s="66" t="str"/>
      <x:c r="AK27" s="66" t="str"/>
      <x:c r="AL27" s="56" t="str">
        <x:v>VALIDATED_044A3M / 170 identity tuples</x:v>
      </x:c>
      <x:c r="AM27" s="56" t="str">
        <x:v>TR-005; TR-006; TR-008; TR-016; TR-019; TR-028; TR-029</x:v>
      </x:c>
      <x:c r="AN27" s="66" t="str"/>
    </x:row>
    <x:row r="28" ht="58" customHeight="1">
      <x:c r="A28" s="56" t="str">
        <x:v>B1-Q09</x:v>
      </x:c>
      <x:c r="B28" s="56" t="str">
        <x:v>1</x:v>
      </x:c>
      <x:c r="C28" s="56" t="str">
        <x:v>base_40</x:v>
      </x:c>
      <x:c r="D28" s="56" t="n">
        <x:v>9</x:v>
      </x:c>
      <x:c r="E28" s="56" t="n">
        <x:v>1</x:v>
      </x:c>
      <x:c r="F28" s="56" t="str">
        <x:v>B1_1_2</x:v>
      </x:c>
      <x:c r="G28" s="56" t="str">
        <x:v>1.2</x:v>
      </x:c>
      <x:c r="H28" s="56" t="str">
        <x:v>Cuando esto comienza, ¿es algo que esperas que ocurra o es algo que te sorprende?</x:v>
      </x:c>
      <x:c r="I28" s="56" t="str">
        <x:v>Ayudanos entender si esta actividad vive en una rutina esperable o en un régimen de sorpresa. Ejemplo: “sé que cada fin de mes pasa” versus “me cae de repente”.</x:v>
      </x:c>
      <x:c r="J28" s="56" t="str">
        <x:v>single_choice</x:v>
      </x:c>
      <x:c r="K28" s="56" t="str">
        <x:v>single_choice</x:v>
      </x:c>
      <x:c r="L28" s="56" t="str">
        <x:v>1) Es planificado: sé que va a ocurrir y más o menos cuándo; 2) Es reactivo: me sorprende, no lo veo venir; 3) Es una mezcla: a veces es planificado, a veces es sorpresa</x:v>
      </x:c>
      <x:c r="M28" s="56" t="str">
        <x:v>Siempre obligatoria.</x:v>
      </x:c>
      <x:c r="N28" s="56" t="str">
        <x:v>Siempre visible después de 1.1.</x:v>
      </x:c>
      <x:c r="O28" s="56" t="str">
        <x:v>Puede activar flags de mezcla regulatoria o sobrecarga de vigilancia si se combina con 1.3 ambiguo y 1.7 con excepciones.</x:v>
      </x:c>
      <x:c r="P28" s="56" t="str">
        <x:v>visible_capture</x:v>
      </x:c>
      <x:c r="Q28" s="56" t="str">
        <x:v>DIRECT_CAPTURE_ONLY</x:v>
      </x:c>
      <x:c r="R28" s="56" t="str">
        <x:v>trigger_type</x:v>
      </x:c>
      <x:c r="S28" s="56" t="str">
        <x:v>captured_user_evidence</x:v>
      </x:c>
      <x:c r="T28" s="56" t="str">
        <x:v>Bloque_1_Documento_Madre_Capa1_v2_1_EVE.docx</x:v>
      </x:c>
      <x:c r="U28" s="56" t="str">
        <x:v>d5d92a1d38a1f1030d64a9762e59a225baed0d4293cf25a43f47a37b6b2d8319</x:v>
      </x:c>
      <x:c r="V28" s="56" t="str">
        <x:v>Selección única</x:v>
      </x:c>
      <x:c r="W28" s="56" t="str">
        <x:v>Mostrar opciones autorizadas; permitir una sola selección; opción literal preservada.</x:v>
      </x:c>
      <x:c r="X28" s="56" t="str">
        <x:v>scalar:string</x:v>
      </x:c>
      <x:c r="Y28" s="56" t="str">
        <x:v>Campo options / catálogo dinámico rector</x:v>
      </x:c>
      <x:c r="Z28" s="56" t="str">
        <x:v>slot_ref server-issued; no mapear por label ni posición.</x:v>
      </x:c>
      <x:c r="AA28" s="56" t="str">
        <x:v>EXPLICIT_FIELD_TYPE</x:v>
      </x:c>
      <x:c r="AB28" s="56" t="str">
        <x:v>Pantalla específica Bloque 1</x:v>
      </x:c>
      <x:c r="AC28" s="66" t="str"/>
      <x:c r="AD28" s="66" t="str">
        <x:v>No evaluado</x:v>
      </x:c>
      <x:c r="AE28" s="66" t="str">
        <x:v>No evaluado</x:v>
      </x:c>
      <x:c r="AF28" s="66" t="str">
        <x:v>No evaluado</x:v>
      </x:c>
      <x:c r="AG28" s="66" t="str">
        <x:v>No ejecutado</x:v>
      </x:c>
      <x:c r="AH28" s="68" t="str">
        <x:f>IF(AND(AD28="No evaluado",AE28="No evaluado",AF28="No evaluado",AG28="No ejecutado"),"No evaluado",IF(OR(AD28="Bloqueado",AE28="Bloqueado",AF28="Bloqueado",AG28="Bloqueado"),"Bloqueado",IF(OR(AE28="No conforme",AF28="No conforme",AG28="Falló"),"No conforme",IF(AND(OR(AD28="Implementado",AD28="No aplica"),OR(AE28="Conforme",AE28="No aplica"),OR(AF28="Conforme",AF28="No aplica"),OR(AG28="Pasó",AG28="No aplica")),"Conforme","Parcial"))))</x:f>
        <x:v>No evaluado</x:v>
      </x:c>
      <x:c r="AI28" s="56" t="str">
        <x:v>No conforme</x:v>
      </x:c>
      <x:c r="AJ28" s="66" t="str"/>
      <x:c r="AK28" s="66" t="str"/>
      <x:c r="AL28" s="56" t="str">
        <x:v>VALIDATED_044A3M / 170 identity tuples</x:v>
      </x:c>
      <x:c r="AM28" s="56" t="str">
        <x:v>TR-005; TR-006; TR-008; TR-016; TR-019; TR-028; TR-029</x:v>
      </x:c>
      <x:c r="AN28" s="66" t="str"/>
    </x:row>
    <x:row r="29" ht="58" customHeight="1">
      <x:c r="A29" s="56" t="str">
        <x:v>B1-Q09</x:v>
      </x:c>
      <x:c r="B29" s="56" t="str">
        <x:v>1</x:v>
      </x:c>
      <x:c r="C29" s="56" t="str">
        <x:v>base_40</x:v>
      </x:c>
      <x:c r="D29" s="56" t="n">
        <x:v>9</x:v>
      </x:c>
      <x:c r="E29" s="56" t="n">
        <x:v>2</x:v>
      </x:c>
      <x:c r="F29" s="56" t="str">
        <x:v>B1_1_3</x:v>
      </x:c>
      <x:c r="G29" s="56" t="str">
        <x:v>1.3</x:v>
      </x:c>
      <x:c r="H29" s="56" t="str">
        <x:v>Cuando esto debe comenzar, ¿está muy claro para ti que es el momento, o hay ambigüedad?</x:v>
      </x:c>
      <x:c r="I29" s="56" t="str">
        <x:v>Piensa si normalmente sabes con claridad “ya es momento de empezar” o si muchas veces dudas si debes comenzar ahora, esperar, o revisar algo antes. Ejemplo claro: una notificación con hora definida. Ejemplo ambiguo: señales incompletas o mensajes contradictorios.</x:v>
      </x:c>
      <x:c r="J29" s="56" t="str">
        <x:v>single_choice</x:v>
      </x:c>
      <x:c r="K29" s="56" t="str">
        <x:v>single_choice</x:v>
      </x:c>
      <x:c r="L29" s="56" t="str">
        <x:v>1) Muy claro; 2) Claro; 3) Ambiguo; 4) Muy ambiguo</x:v>
      </x:c>
      <x:c r="M29" s="56" t="str">
        <x:v>Siempre obligatoria.</x:v>
      </x:c>
      <x:c r="N29" s="56" t="str">
        <x:v>Siempre visible después de 1.2.</x:v>
      </x:c>
      <x:c r="O29" s="56" t="str">
        <x:v>Si responde Ambiguo o Muy ambiguo, puede disparar aclaración 1.A y flags de trigger_silence_risk.</x:v>
      </x:c>
      <x:c r="P29" s="56" t="str">
        <x:v>visible_capture</x:v>
      </x:c>
      <x:c r="Q29" s="56" t="str">
        <x:v>DIRECT_CAPTURE_ONLY</x:v>
      </x:c>
      <x:c r="R29" s="56" t="str">
        <x:v>trigger_clarity</x:v>
      </x:c>
      <x:c r="S29" s="56" t="str">
        <x:v>captured_user_evidence</x:v>
      </x:c>
      <x:c r="T29" s="56" t="str">
        <x:v>Bloque_1_Documento_Madre_Capa1_v2_1_EVE.docx</x:v>
      </x:c>
      <x:c r="U29" s="56" t="str">
        <x:v>d5d92a1d38a1f1030d64a9762e59a225baed0d4293cf25a43f47a37b6b2d8319</x:v>
      </x:c>
      <x:c r="V29" s="56" t="str">
        <x:v>Selección única</x:v>
      </x:c>
      <x:c r="W29" s="56" t="str">
        <x:v>Mostrar opciones autorizadas; permitir una sola selección; opción literal preservada.</x:v>
      </x:c>
      <x:c r="X29" s="56" t="str">
        <x:v>scalar:string</x:v>
      </x:c>
      <x:c r="Y29" s="56" t="str">
        <x:v>Campo options / catálogo dinámico rector</x:v>
      </x:c>
      <x:c r="Z29" s="56" t="str">
        <x:v>slot_ref server-issued; no mapear por label ni posición.</x:v>
      </x:c>
      <x:c r="AA29" s="56" t="str">
        <x:v>EXPLICIT_FIELD_TYPE</x:v>
      </x:c>
      <x:c r="AB29" s="56" t="str">
        <x:v>Pantalla específica Bloque 1</x:v>
      </x:c>
      <x:c r="AC29" s="66" t="str"/>
      <x:c r="AD29" s="66" t="str">
        <x:v>No evaluado</x:v>
      </x:c>
      <x:c r="AE29" s="66" t="str">
        <x:v>No evaluado</x:v>
      </x:c>
      <x:c r="AF29" s="66" t="str">
        <x:v>No evaluado</x:v>
      </x:c>
      <x:c r="AG29" s="66" t="str">
        <x:v>No ejecutado</x:v>
      </x:c>
      <x:c r="AH29" s="68" t="str">
        <x:f>IF(AND(AD29="No evaluado",AE29="No evaluado",AF29="No evaluado",AG29="No ejecutado"),"No evaluado",IF(OR(AD29="Bloqueado",AE29="Bloqueado",AF29="Bloqueado",AG29="Bloqueado"),"Bloqueado",IF(OR(AE29="No conforme",AF29="No conforme",AG29="Falló"),"No conforme",IF(AND(OR(AD29="Implementado",AD29="No aplica"),OR(AE29="Conforme",AE29="No aplica"),OR(AF29="Conforme",AF29="No aplica"),OR(AG29="Pasó",AG29="No aplica")),"Conforme","Parcial"))))</x:f>
        <x:v>No evaluado</x:v>
      </x:c>
      <x:c r="AI29" s="56" t="str">
        <x:v>No conforme</x:v>
      </x:c>
      <x:c r="AJ29" s="66" t="str"/>
      <x:c r="AK29" s="66" t="str"/>
      <x:c r="AL29" s="56" t="str">
        <x:v>VALIDATED_044A3M / 170 identity tuples</x:v>
      </x:c>
      <x:c r="AM29" s="56" t="str">
        <x:v>TR-005; TR-006; TR-008; TR-016; TR-019; TR-028; TR-029</x:v>
      </x:c>
      <x:c r="AN29" s="66" t="str"/>
    </x:row>
    <x:row r="30" ht="58" customHeight="1">
      <x:c r="A30" s="56" t="str">
        <x:v>B1-Q10</x:v>
      </x:c>
      <x:c r="B30" s="56" t="str">
        <x:v>1</x:v>
      </x:c>
      <x:c r="C30" s="56" t="str">
        <x:v>base_40</x:v>
      </x:c>
      <x:c r="D30" s="56" t="n">
        <x:v>10</x:v>
      </x:c>
      <x:c r="E30" s="56" t="n">
        <x:v>1</x:v>
      </x:c>
      <x:c r="F30" s="56" t="str">
        <x:v>B1_1_4</x:v>
      </x:c>
      <x:c r="G30" s="56" t="str">
        <x:v>1.4</x:v>
      </x:c>
      <x:c r="H30" s="56" t="str">
        <x:v>¿Con qué frecuencia ocurre este disparador y si hay un patrón que puedas predecir?</x:v>
      </x:c>
      <x:c r="I30" s="56" t="str">
        <x:v>Queremos saber si esto ocurre con un ritmo reconocible o si aparece sin patrón. Responde pensando en cómo suele pasar la mayor parte del tiempo. Ejemplos: diaria, semanal, mensual, bajo demanda, continuo o completamente irregular.</x:v>
      </x:c>
      <x:c r="J30" s="56" t="str">
        <x:v>single_choice</x:v>
      </x:c>
      <x:c r="K30" s="56" t="str">
        <x:v>single_choice</x:v>
      </x:c>
      <x:c r="L30" s="56" t="str">
        <x:v>1) Diaria; 2) Semanal; 3) Mensual; 4) Bajo demanda; 5) Continuo; 6) Irregular</x:v>
      </x:c>
      <x:c r="M30" s="56" t="str">
        <x:v>Siempre obligatoria.</x:v>
      </x:c>
      <x:c r="N30" s="56" t="str">
        <x:v>Siempre visible después de 1.3.</x:v>
      </x:c>
      <x:c r="O30" s="56" t="str">
        <x:v>La respuesta deriva trigger_pattern. Si es diaria, semanal o mensual, trigger_pattern = true. Si es bajo demanda o irregular, trigger_pattern = false. Si es continuo, trigger_pattern = parcial/normalización según implementación.</x:v>
      </x:c>
      <x:c r="P30" s="56" t="str">
        <x:v>visible_capture</x:v>
      </x:c>
      <x:c r="Q30" s="56" t="str">
        <x:v>DIRECT_CAPTURE_WITH_EXPLICIT_DERIVATION</x:v>
      </x:c>
      <x:c r="R30" s="56" t="str">
        <x:v>trigger_frequency | trigger_pattern</x:v>
      </x:c>
      <x:c r="S30" s="56" t="str">
        <x:v>captured_user_evidence + canonical_derivation</x:v>
      </x:c>
      <x:c r="T30" s="56" t="str">
        <x:v>Bloque_1_Documento_Madre_Capa1_v2_1_EVE.docx</x:v>
      </x:c>
      <x:c r="U30" s="56" t="str">
        <x:v>d5d92a1d38a1f1030d64a9762e59a225baed0d4293cf25a43f47a37b6b2d8319</x:v>
      </x:c>
      <x:c r="V30" s="56" t="str">
        <x:v>Selección única</x:v>
      </x:c>
      <x:c r="W30" s="56" t="str">
        <x:v>Mostrar opciones autorizadas; permitir una sola selección; opción literal preservada.</x:v>
      </x:c>
      <x:c r="X30" s="56" t="str">
        <x:v>scalar:string</x:v>
      </x:c>
      <x:c r="Y30" s="56" t="str">
        <x:v>Campo options / catálogo dinámico rector</x:v>
      </x:c>
      <x:c r="Z30" s="56" t="str">
        <x:v>slot_ref server-issued; no mapear por label ni posición.</x:v>
      </x:c>
      <x:c r="AA30" s="56" t="str">
        <x:v>EXPLICIT_FIELD_TYPE</x:v>
      </x:c>
      <x:c r="AB30" s="56" t="str">
        <x:v>Pantalla específica Bloque 1</x:v>
      </x:c>
      <x:c r="AC30" s="66" t="str"/>
      <x:c r="AD30" s="66" t="str">
        <x:v>No evaluado</x:v>
      </x:c>
      <x:c r="AE30" s="66" t="str">
        <x:v>No evaluado</x:v>
      </x:c>
      <x:c r="AF30" s="66" t="str">
        <x:v>No evaluado</x:v>
      </x:c>
      <x:c r="AG30" s="66" t="str">
        <x:v>No ejecutado</x:v>
      </x:c>
      <x:c r="AH30" s="68" t="str">
        <x:f>IF(AND(AD30="No evaluado",AE30="No evaluado",AF30="No evaluado",AG30="No ejecutado"),"No evaluado",IF(OR(AD30="Bloqueado",AE30="Bloqueado",AF30="Bloqueado",AG30="Bloqueado"),"Bloqueado",IF(OR(AE30="No conforme",AF30="No conforme",AG30="Falló"),"No conforme",IF(AND(OR(AD30="Implementado",AD30="No aplica"),OR(AE30="Conforme",AE30="No aplica"),OR(AF30="Conforme",AF30="No aplica"),OR(AG30="Pasó",AG30="No aplica")),"Conforme","Parcial"))))</x:f>
        <x:v>No evaluado</x:v>
      </x:c>
      <x:c r="AI30" s="56" t="str">
        <x:v>No conforme</x:v>
      </x:c>
      <x:c r="AJ30" s="66" t="str"/>
      <x:c r="AK30" s="66" t="str"/>
      <x:c r="AL30" s="56" t="str">
        <x:v>VALIDATED_044A3M / 170 identity tuples</x:v>
      </x:c>
      <x:c r="AM30" s="56" t="str">
        <x:v>TR-005; TR-006; TR-008; TR-016; TR-019; TR-028; TR-029</x:v>
      </x:c>
      <x:c r="AN30" s="66" t="str"/>
    </x:row>
    <x:row r="31" ht="58" customHeight="1">
      <x:c r="A31" s="56" t="str">
        <x:v>B1-Q11</x:v>
      </x:c>
      <x:c r="B31" s="56" t="str">
        <x:v>1</x:v>
      </x:c>
      <x:c r="C31" s="56" t="str">
        <x:v>base_40</x:v>
      </x:c>
      <x:c r="D31" s="56" t="n">
        <x:v>11</x:v>
      </x:c>
      <x:c r="E31" s="56" t="n">
        <x:v>1</x:v>
      </x:c>
      <x:c r="F31" s="56" t="str">
        <x:v>B1_1_6</x:v>
      </x:c>
      <x:c r="G31" s="56" t="str">
        <x:v>1.6</x:v>
      </x:c>
      <x:c r="H31" s="56" t="str">
        <x:v>Para que este disparador ocurra, ¿qué debe haber ocurrido antes?</x:v>
      </x:c>
      <x:c r="I31" s="56" t="str">
        <x:v>Escribe la condición previa mínima para que la actividad sí tenga sentido empezar. No describas todo el proceso; solo lo que necesariamente debe haber pasado antes. Ejemplos: “el cliente debe haber pagado”, “debe ser fin de mes”, “debe existir stock”, “debe llegar aprobación”.</x:v>
      </x:c>
      <x:c r="J31" s="56" t="str">
        <x:v>free_text</x:v>
      </x:c>
      <x:c r="K31" s="56" t="str">
        <x:v>free_text</x:v>
      </x:c>
      <x:c r="L31" s="56" t="str">
        <x:v>Texto corto guiado, máximo 150 caracteres.</x:v>
      </x:c>
      <x:c r="M31" s="56" t="str">
        <x:v>Siempre obligatoria.</x:v>
      </x:c>
      <x:c r="N31" s="56" t="str">
        <x:v>Siempre visible después de 1.5.</x:v>
      </x:c>
      <x:c r="O31" s="56" t="str">
        <x:v>Si la respuesta es demasiado genérica, vacía o tautológica, puede activarse consistencia y requerir aclaración contextual en QA o reentrada.</x:v>
      </x:c>
      <x:c r="P31" s="56" t="str">
        <x:v>visible_capture</x:v>
      </x:c>
      <x:c r="Q31" s="56" t="str">
        <x:v>DIRECT_CAPTURE_ONLY</x:v>
      </x:c>
      <x:c r="R31" s="56" t="str">
        <x:v>trigger_preconditions</x:v>
      </x:c>
      <x:c r="S31" s="56" t="str">
        <x:v>captured_user_evidence</x:v>
      </x:c>
      <x:c r="T31" s="56" t="str">
        <x:v>Bloque_1_Documento_Madre_Capa1_v2_1_EVE.docx</x:v>
      </x:c>
      <x:c r="U31" s="56" t="str">
        <x:v>d5d92a1d38a1f1030d64a9762e59a225baed0d4293cf25a43f47a37b6b2d8319</x:v>
      </x:c>
      <x:c r="V31" s="56" t="str">
        <x:v>Texto libre</x:v>
      </x:c>
      <x:c r="W31" s="56" t="str">
        <x:v>Capturar texto literal sin clasificación semántica cliente.</x:v>
      </x:c>
      <x:c r="X31" s="56" t="str">
        <x:v>scalar:string</x:v>
      </x:c>
      <x:c r="Y31" s="56" t="str">
        <x:v>No aplica</x:v>
      </x:c>
      <x:c r="Z31" s="56" t="str">
        <x:v>slot_ref server-issued; valor humano únicamente.</x:v>
      </x:c>
      <x:c r="AA31" s="56" t="str">
        <x:v>EXPLICIT_FIELD_TYPE</x:v>
      </x:c>
      <x:c r="AB31" s="56" t="str">
        <x:v>Pantalla específica Bloque 1</x:v>
      </x:c>
      <x:c r="AC31" s="66" t="str"/>
      <x:c r="AD31" s="66" t="str">
        <x:v>No evaluado</x:v>
      </x:c>
      <x:c r="AE31" s="66" t="str">
        <x:v>No evaluado</x:v>
      </x:c>
      <x:c r="AF31" s="66" t="str">
        <x:v>No evaluado</x:v>
      </x:c>
      <x:c r="AG31" s="66" t="str">
        <x:v>No ejecutado</x:v>
      </x:c>
      <x:c r="AH31" s="68" t="str">
        <x:f>IF(AND(AD31="No evaluado",AE31="No evaluado",AF31="No evaluado",AG31="No ejecutado"),"No evaluado",IF(OR(AD31="Bloqueado",AE31="Bloqueado",AF31="Bloqueado",AG31="Bloqueado"),"Bloqueado",IF(OR(AE31="No conforme",AF31="No conforme",AG31="Falló"),"No conforme",IF(AND(OR(AD31="Implementado",AD31="No aplica"),OR(AE31="Conforme",AE31="No aplica"),OR(AF31="Conforme",AF31="No aplica"),OR(AG31="Pasó",AG31="No aplica")),"Conforme","Parcial"))))</x:f>
        <x:v>No evaluado</x:v>
      </x:c>
      <x:c r="AI31" s="56" t="str">
        <x:v>Compatible</x:v>
      </x:c>
      <x:c r="AJ31" s="66" t="str"/>
      <x:c r="AK31" s="66" t="str"/>
      <x:c r="AL31" s="56" t="str">
        <x:v>VALIDATED_044A3M / 170 identity tuples</x:v>
      </x:c>
      <x:c r="AM31" s="56" t="str">
        <x:v>TR-005; TR-006; TR-008; TR-016; TR-019; TR-028; TR-029</x:v>
      </x:c>
      <x:c r="AN31" s="66" t="str"/>
    </x:row>
    <x:row r="32" ht="58" customHeight="1">
      <x:c r="A32" s="56" t="str">
        <x:v>B1-Q11</x:v>
      </x:c>
      <x:c r="B32" s="56" t="str">
        <x:v>1</x:v>
      </x:c>
      <x:c r="C32" s="56" t="str">
        <x:v>base_40</x:v>
      </x:c>
      <x:c r="D32" s="56" t="n">
        <x:v>11</x:v>
      </x:c>
      <x:c r="E32" s="56" t="n">
        <x:v>2</x:v>
      </x:c>
      <x:c r="F32" s="56" t="str">
        <x:v>B1_1_7</x:v>
      </x:c>
      <x:c r="G32" s="56" t="str">
        <x:v>1.7</x:v>
      </x:c>
      <x:c r="H32" s="56" t="str">
        <x:v>¿Hay momentos en que esto debería comenzar pero no comienza?</x:v>
      </x:c>
      <x:c r="I32" s="56" t="str">
        <x:v>Piensa en los casos en que, en teoría, ya debería haber empezado, pero algo falla y no arranca. No importa si pasa poco o mucho; importa registrarlo. Ejemplo: el cliente sí solicita algo, pero nadie lo registra; el sistema debería avisar, pero la notificación no llega.</x:v>
      </x:c>
      <x:c r="J32" s="56" t="str">
        <x:v>single_choice</x:v>
      </x:c>
      <x:c r="K32" s="56" t="str">
        <x:v>single_choice</x:v>
      </x:c>
      <x:c r="L32" s="56" t="str">
        <x:v>1) No, siempre funciona como debería; 2) Sí, a veces ocurre pero es raro; 3) Sí, ocurre regularmente; 4) Sí, ocurre frecuentemente</x:v>
      </x:c>
      <x:c r="M32" s="56" t="str">
        <x:v>Siempre obligatoria.</x:v>
      </x:c>
      <x:c r="N32" s="56" t="str">
        <x:v>Siempre visible después de 1.6.</x:v>
      </x:c>
      <x:c r="O32" s="56" t="str">
        <x:v>Si la respuesta es cualquiera de las opciones de sí, aparece 1.8. También deriva trigger_exception_exists = true.</x:v>
      </x:c>
      <x:c r="P32" s="56" t="str">
        <x:v>visible_capture</x:v>
      </x:c>
      <x:c r="Q32" s="56" t="str">
        <x:v>DIRECT_CAPTURE_WITH_EXPLICIT_DERIVATION</x:v>
      </x:c>
      <x:c r="R32" s="56" t="str">
        <x:v>trigger_exception_exists</x:v>
      </x:c>
      <x:c r="S32" s="56" t="str">
        <x:v>captured_user_evidence + canonical_derivation</x:v>
      </x:c>
      <x:c r="T32" s="56" t="str">
        <x:v>Bloque_1_Documento_Madre_Capa1_v2_1_EVE.docx</x:v>
      </x:c>
      <x:c r="U32" s="56" t="str">
        <x:v>d5d92a1d38a1f1030d64a9762e59a225baed0d4293cf25a43f47a37b6b2d8319</x:v>
      </x:c>
      <x:c r="V32" s="56" t="str">
        <x:v>Selección única</x:v>
      </x:c>
      <x:c r="W32" s="56" t="str">
        <x:v>Mostrar opciones autorizadas; permitir una sola selección; opción literal preservada.</x:v>
      </x:c>
      <x:c r="X32" s="56" t="str">
        <x:v>scalar:string</x:v>
      </x:c>
      <x:c r="Y32" s="56" t="str">
        <x:v>Campo options / catálogo dinámico rector</x:v>
      </x:c>
      <x:c r="Z32" s="56" t="str">
        <x:v>slot_ref server-issued; no mapear por label ni posición.</x:v>
      </x:c>
      <x:c r="AA32" s="56" t="str">
        <x:v>EXPLICIT_FIELD_TYPE</x:v>
      </x:c>
      <x:c r="AB32" s="56" t="str">
        <x:v>Pantalla específica Bloque 1</x:v>
      </x:c>
      <x:c r="AC32" s="66" t="str"/>
      <x:c r="AD32" s="66" t="str">
        <x:v>No evaluado</x:v>
      </x:c>
      <x:c r="AE32" s="66" t="str">
        <x:v>No evaluado</x:v>
      </x:c>
      <x:c r="AF32" s="66" t="str">
        <x:v>No evaluado</x:v>
      </x:c>
      <x:c r="AG32" s="66" t="str">
        <x:v>No ejecutado</x:v>
      </x:c>
      <x:c r="AH32" s="68" t="str">
        <x:f>IF(AND(AD32="No evaluado",AE32="No evaluado",AF32="No evaluado",AG32="No ejecutado"),"No evaluado",IF(OR(AD32="Bloqueado",AE32="Bloqueado",AF32="Bloqueado",AG32="Bloqueado"),"Bloqueado",IF(OR(AE32="No conforme",AF32="No conforme",AG32="Falló"),"No conforme",IF(AND(OR(AD32="Implementado",AD32="No aplica"),OR(AE32="Conforme",AE32="No aplica"),OR(AF32="Conforme",AF32="No aplica"),OR(AG32="Pasó",AG32="No aplica")),"Conforme","Parcial"))))</x:f>
        <x:v>No evaluado</x:v>
      </x:c>
      <x:c r="AI32" s="56" t="str">
        <x:v>No conforme</x:v>
      </x:c>
      <x:c r="AJ32" s="66" t="str"/>
      <x:c r="AK32" s="66" t="str"/>
      <x:c r="AL32" s="56" t="str">
        <x:v>VALIDATED_044A3M / 170 identity tuples</x:v>
      </x:c>
      <x:c r="AM32" s="56" t="str">
        <x:v>TR-005; TR-006; TR-008; TR-016; TR-019; TR-028; TR-029</x:v>
      </x:c>
      <x:c r="AN32" s="66" t="str"/>
    </x:row>
    <x:row r="33" ht="58" customHeight="1">
      <x:c r="A33" s="56" t="str">
        <x:v>B2-Q12</x:v>
      </x:c>
      <x:c r="B33" s="56" t="str">
        <x:v>2</x:v>
      </x:c>
      <x:c r="C33" s="56" t="str">
        <x:v>base_40</x:v>
      </x:c>
      <x:c r="D33" s="56" t="n">
        <x:v>12</x:v>
      </x:c>
      <x:c r="E33" s="56" t="n">
        <x:v>1</x:v>
      </x:c>
      <x:c r="F33" s="56" t="str">
        <x:v>B2_2_1</x:v>
      </x:c>
      <x:c r="G33" s="56" t="str">
        <x:v>2.1</x:v>
      </x:c>
      <x:c r="H33" s="56" t="str">
        <x:v>¿Qué es lo principal que creas, cambias o afectas con esta actividad?</x:v>
      </x:c>
      <x:c r="I33" s="56" t="str">
        <x:v>Piensa en aquello que realmente sale distinto después de que haces esta actividad. Puede ser una cosa concreta como una factura o un pedido; puede ser una persona o entidad como un cliente o proveedor; o puede ser la propia acción/proceso si lo que cambia de verdad es coordinar, validar, revisar o comunicar. Puedes elegir una, dos o tres dimensiones.</x:v>
      </x:c>
      <x:c r="J33" s="56" t="str">
        <x:v>multi_choice</x:v>
      </x:c>
      <x:c r="K33" s="56" t="str">
        <x:v>multi_choice</x:v>
      </x:c>
      <x:c r="L33" s="56" t="str">
        <x:v>1) Un OBJETO (cosa); 2) Un SUJETO (persona/entidad); 3) Una ACCIÓN/PROCESO</x:v>
      </x:c>
      <x:c r="M33" s="56" t="str">
        <x:v>Siempre obligatoria.</x:v>
      </x:c>
      <x:c r="N33" s="56" t="str">
        <x:v>Siempre visible al iniciar el bloque.</x:v>
      </x:c>
      <x:c r="O33" s="56" t="str">
        <x:v>Si selecciona una dimensión, dispara solo la subpregunta correspondiente. Si selecciona dos, dispara ambas subpreguntas y la pregunta de relación asociada. Si selecciona las tres, dispara 2.1a, 2.1b, 2.1c, 2.1_ABC_Relacion y 2.1_ABC_Prioridad.</x:v>
      </x:c>
      <x:c r="P33" s="56" t="str">
        <x:v>visible_capture</x:v>
      </x:c>
      <x:c r="Q33" s="56" t="str">
        <x:v>DIRECT_CAPTURE_ONLY</x:v>
      </x:c>
      <x:c r="R33" s="56" t="str">
        <x:v>transformation_primary_dimensions</x:v>
      </x:c>
      <x:c r="S33" s="56" t="str">
        <x:v>captured_user_evidence</x:v>
      </x:c>
      <x:c r="T33" s="56" t="str">
        <x:v>Bloque_2_Documento_Madre_Capa1_v2_1_EVE.docx</x:v>
      </x:c>
      <x:c r="U33" s="56" t="str">
        <x:v>0e134ee7e73dbb4b5b54a833712e2d15b5f03bcaf84219a50b21ab0e7ccd38cc</x:v>
      </x:c>
      <x:c r="V33" s="56" t="str">
        <x:v>Selección múltiple</x:v>
      </x:c>
      <x:c r="W33" s="56" t="str">
        <x:v>Mostrar opciones autorizadas; preservar conjunto exacto y exclusiones rectoras.</x:v>
      </x:c>
      <x:c r="X33" s="56" t="str">
        <x:v>array&lt;string&gt;</x:v>
      </x:c>
      <x:c r="Y33" s="56" t="str">
        <x:v>Campo options rector</x:v>
      </x:c>
      <x:c r="Z33" s="56" t="str">
        <x:v>slot_ref server-issued; cada selección conserva código literal.</x:v>
      </x:c>
      <x:c r="AA33" s="56" t="str">
        <x:v>EXPLICIT_FIELD_TYPE</x:v>
      </x:c>
      <x:c r="AB33" s="56" t="str">
        <x:v>Pantalla específica Bloque 2</x:v>
      </x:c>
      <x:c r="AC33" s="66" t="str"/>
      <x:c r="AD33" s="66" t="str">
        <x:v>No evaluado</x:v>
      </x:c>
      <x:c r="AE33" s="66" t="str">
        <x:v>No evaluado</x:v>
      </x:c>
      <x:c r="AF33" s="66" t="str">
        <x:v>No evaluado</x:v>
      </x:c>
      <x:c r="AG33" s="66" t="str">
        <x:v>No ejecutado</x:v>
      </x:c>
      <x:c r="AH33" s="68" t="str">
        <x:f>IF(AND(AD33="No evaluado",AE33="No evaluado",AF33="No evaluado",AG33="No ejecutado"),"No evaluado",IF(OR(AD33="Bloqueado",AE33="Bloqueado",AF33="Bloqueado",AG33="Bloqueado"),"Bloqueado",IF(OR(AE33="No conforme",AF33="No conforme",AG33="Falló"),"No conforme",IF(AND(OR(AD33="Implementado",AD33="No aplica"),OR(AE33="Conforme",AE33="No aplica"),OR(AF33="Conforme",AF33="No aplica"),OR(AG33="Pasó",AG33="No aplica")),"Conforme","Parcial"))))</x:f>
        <x:v>No evaluado</x:v>
      </x:c>
      <x:c r="AI33" s="56" t="str">
        <x:v>No conforme</x:v>
      </x:c>
      <x:c r="AJ33" s="66" t="str"/>
      <x:c r="AK33" s="66" t="str"/>
      <x:c r="AL33" s="56" t="str">
        <x:v>VALIDATED_044A3M / 170 identity tuples</x:v>
      </x:c>
      <x:c r="AM33" s="56" t="str">
        <x:v>TR-005; TR-006; TR-008; TR-016; TR-019; TR-028; TR-029</x:v>
      </x:c>
      <x:c r="AN33" s="66" t="str"/>
    </x:row>
    <x:row r="34" ht="58" customHeight="1">
      <x:c r="A34" s="56" t="str">
        <x:v>B2-Q12</x:v>
      </x:c>
      <x:c r="B34" s="56" t="str">
        <x:v>2</x:v>
      </x:c>
      <x:c r="C34" s="56" t="str">
        <x:v>base_40</x:v>
      </x:c>
      <x:c r="D34" s="56" t="n">
        <x:v>12</x:v>
      </x:c>
      <x:c r="E34" s="56" t="n">
        <x:v>2</x:v>
      </x:c>
      <x:c r="F34" s="56" t="str">
        <x:v>B2_2_1a</x:v>
      </x:c>
      <x:c r="G34" s="56" t="str">
        <x:v>2.1a</x:v>
      </x:c>
      <x:c r="H34" s="56" t="str">
        <x:v>¿Cuál es ese objeto?</x:v>
      </x:c>
      <x:c r="I34" s="56" t="str">
        <x:v>Lo concreto que cambia en tu actividad. Cuando terminas, ¿qué cosa es diferente? Nota: Si cambias el registro del cliente (su cuenta, expediente), es "Cliente". Si cambió de un estado a otro (de "pendiente" a "completado"), es “Estado”. Si no está en la lista, elige "Otro".</x:v>
      </x:c>
      <x:c r="J34" s="56" t="str">
        <x:v>single_choice</x:v>
      </x:c>
      <x:c r="K34" s="56" t="str">
        <x:v>single_choice</x:v>
      </x:c>
      <x:c r="L34" s="56" t="str">
        <x:v>Factura; Pedido; Documento; Inventario; Cliente; Producto; Estado; Otro</x:v>
      </x:c>
      <x:c r="M34" s="56" t="str">
        <x:v>Obligatoria si 2.1 incluye Objeto.</x:v>
      </x:c>
      <x:c r="N34" s="56" t="str">
        <x:v>Visible solo si 2.1 incluye Objeto.</x:v>
      </x:c>
      <x:c r="O34" s="56" t="str">
        <x:v>Al responder, personaliza la subpregunta 2.2 correspondiente y contribuye a la lógica de dominancia de la combinación si aplica.</x:v>
      </x:c>
      <x:c r="P34" s="56" t="str">
        <x:v>visible_capture</x:v>
      </x:c>
      <x:c r="Q34" s="56" t="str">
        <x:v>DIRECT_CAPTURE_ONLY</x:v>
      </x:c>
      <x:c r="R34" s="56" t="str">
        <x:v>objeto_tipo</x:v>
      </x:c>
      <x:c r="S34" s="56" t="str">
        <x:v>captured_user_evidence</x:v>
      </x:c>
      <x:c r="T34" s="56" t="str">
        <x:v>Bloque_2_Documento_Madre_Capa1_v2_1_EVE.docx</x:v>
      </x:c>
      <x:c r="U34" s="56" t="str">
        <x:v>0e134ee7e73dbb4b5b54a833712e2d15b5f03bcaf84219a50b21ab0e7ccd38cc</x:v>
      </x:c>
      <x:c r="V34" s="56" t="str">
        <x:v>Selección única</x:v>
      </x:c>
      <x:c r="W34" s="56" t="str">
        <x:v>Mostrar opciones autorizadas; permitir una sola selección; opción literal preservada.</x:v>
      </x:c>
      <x:c r="X34" s="56" t="str">
        <x:v>scalar:string</x:v>
      </x:c>
      <x:c r="Y34" s="56" t="str">
        <x:v>Campo options / catálogo dinámico rector</x:v>
      </x:c>
      <x:c r="Z34" s="56" t="str">
        <x:v>slot_ref server-issued; no mapear por label ni posición.</x:v>
      </x:c>
      <x:c r="AA34" s="56" t="str">
        <x:v>EXPLICIT_FIELD_TYPE</x:v>
      </x:c>
      <x:c r="AB34" s="56" t="str">
        <x:v>Pantalla específica Bloque 2</x:v>
      </x:c>
      <x:c r="AC34" s="66" t="str"/>
      <x:c r="AD34" s="66" t="str">
        <x:v>No evaluado</x:v>
      </x:c>
      <x:c r="AE34" s="66" t="str">
        <x:v>No evaluado</x:v>
      </x:c>
      <x:c r="AF34" s="66" t="str">
        <x:v>No evaluado</x:v>
      </x:c>
      <x:c r="AG34" s="66" t="str">
        <x:v>No ejecutado</x:v>
      </x:c>
      <x:c r="AH34" s="68" t="str">
        <x:f>IF(AND(AD34="No evaluado",AE34="No evaluado",AF34="No evaluado",AG34="No ejecutado"),"No evaluado",IF(OR(AD34="Bloqueado",AE34="Bloqueado",AF34="Bloqueado",AG34="Bloqueado"),"Bloqueado",IF(OR(AE34="No conforme",AF34="No conforme",AG34="Falló"),"No conforme",IF(AND(OR(AD34="Implementado",AD34="No aplica"),OR(AE34="Conforme",AE34="No aplica"),OR(AF34="Conforme",AF34="No aplica"),OR(AG34="Pasó",AG34="No aplica")),"Conforme","Parcial"))))</x:f>
        <x:v>No evaluado</x:v>
      </x:c>
      <x:c r="AI34" s="56" t="str">
        <x:v>No conforme</x:v>
      </x:c>
      <x:c r="AJ34" s="66" t="str"/>
      <x:c r="AK34" s="66" t="str"/>
      <x:c r="AL34" s="56" t="str">
        <x:v>VALIDATED_044A3M / 170 identity tuples</x:v>
      </x:c>
      <x:c r="AM34" s="56" t="str">
        <x:v>TR-005; TR-006; TR-008; TR-016; TR-019; TR-028; TR-029</x:v>
      </x:c>
      <x:c r="AN34" s="66" t="str"/>
    </x:row>
    <x:row r="35" ht="58" customHeight="1">
      <x:c r="A35" s="56" t="str">
        <x:v>B2-Q12</x:v>
      </x:c>
      <x:c r="B35" s="56" t="str">
        <x:v>2</x:v>
      </x:c>
      <x:c r="C35" s="56" t="str">
        <x:v>base_40</x:v>
      </x:c>
      <x:c r="D35" s="56" t="n">
        <x:v>12</x:v>
      </x:c>
      <x:c r="E35" s="56" t="n">
        <x:v>3</x:v>
      </x:c>
      <x:c r="F35" s="56" t="str">
        <x:v>B2_2_1b</x:v>
      </x:c>
      <x:c r="G35" s="56" t="str">
        <x:v>2.1b</x:v>
      </x:c>
      <x:c r="H35" s="56" t="str">
        <x:v>¿Cuál es ese sujeto?</x:v>
      </x:c>
      <x:c r="I35" s="56" t="str">
        <x:v>Nombra la persona, entidad o unidad que realmente cambia o es afectada de forma central por esta actividad. Nota: usa SUJETO cuando lo relevante en esta actividad sea la persona o entidad misma.</x:v>
      </x:c>
      <x:c r="J35" s="56" t="str">
        <x:v>single_choice</x:v>
      </x:c>
      <x:c r="K35" s="56" t="str">
        <x:v>single_choice</x:v>
      </x:c>
      <x:c r="L35" s="56" t="str">
        <x:v>Cliente; Proveedor; Empleado; Departamento; Gerencia; Otro</x:v>
      </x:c>
      <x:c r="M35" s="56" t="str">
        <x:v>Obligatoria si 2.1 incluye Sujeto.</x:v>
      </x:c>
      <x:c r="N35" s="56" t="str">
        <x:v>Visible solo si 2.1 incluye Sujeto.</x:v>
      </x:c>
      <x:c r="O35" s="56" t="str">
        <x:v>Al responder, personaliza la subpregunta 2.2 correspondiente y contribuye a la lógica de dominancia de la combinación si aplica.</x:v>
      </x:c>
      <x:c r="P35" s="56" t="str">
        <x:v>visible_capture</x:v>
      </x:c>
      <x:c r="Q35" s="56" t="str">
        <x:v>DIRECT_CAPTURE_ONLY</x:v>
      </x:c>
      <x:c r="R35" s="56" t="str">
        <x:v>sujeto_tipo</x:v>
      </x:c>
      <x:c r="S35" s="56" t="str">
        <x:v>captured_user_evidence</x:v>
      </x:c>
      <x:c r="T35" s="56" t="str">
        <x:v>Bloque_2_Documento_Madre_Capa1_v2_1_EVE.docx</x:v>
      </x:c>
      <x:c r="U35" s="56" t="str">
        <x:v>0e134ee7e73dbb4b5b54a833712e2d15b5f03bcaf84219a50b21ab0e7ccd38cc</x:v>
      </x:c>
      <x:c r="V35" s="56" t="str">
        <x:v>Selección única</x:v>
      </x:c>
      <x:c r="W35" s="56" t="str">
        <x:v>Mostrar opciones autorizadas; permitir una sola selección; opción literal preservada.</x:v>
      </x:c>
      <x:c r="X35" s="56" t="str">
        <x:v>scalar:string</x:v>
      </x:c>
      <x:c r="Y35" s="56" t="str">
        <x:v>Campo options / catálogo dinámico rector</x:v>
      </x:c>
      <x:c r="Z35" s="56" t="str">
        <x:v>slot_ref server-issued; no mapear por label ni posición.</x:v>
      </x:c>
      <x:c r="AA35" s="56" t="str">
        <x:v>EXPLICIT_FIELD_TYPE</x:v>
      </x:c>
      <x:c r="AB35" s="56" t="str">
        <x:v>Pantalla específica Bloque 2</x:v>
      </x:c>
      <x:c r="AC35" s="66" t="str"/>
      <x:c r="AD35" s="66" t="str">
        <x:v>No evaluado</x:v>
      </x:c>
      <x:c r="AE35" s="66" t="str">
        <x:v>No evaluado</x:v>
      </x:c>
      <x:c r="AF35" s="66" t="str">
        <x:v>No evaluado</x:v>
      </x:c>
      <x:c r="AG35" s="66" t="str">
        <x:v>No ejecutado</x:v>
      </x:c>
      <x:c r="AH35" s="68" t="str">
        <x:f>IF(AND(AD35="No evaluado",AE35="No evaluado",AF35="No evaluado",AG35="No ejecutado"),"No evaluado",IF(OR(AD35="Bloqueado",AE35="Bloqueado",AF35="Bloqueado",AG35="Bloqueado"),"Bloqueado",IF(OR(AE35="No conforme",AF35="No conforme",AG35="Falló"),"No conforme",IF(AND(OR(AD35="Implementado",AD35="No aplica"),OR(AE35="Conforme",AE35="No aplica"),OR(AF35="Conforme",AF35="No aplica"),OR(AG35="Pasó",AG35="No aplica")),"Conforme","Parcial"))))</x:f>
        <x:v>No evaluado</x:v>
      </x:c>
      <x:c r="AI35" s="56" t="str">
        <x:v>No conforme</x:v>
      </x:c>
      <x:c r="AJ35" s="66" t="str"/>
      <x:c r="AK35" s="66" t="str"/>
      <x:c r="AL35" s="56" t="str">
        <x:v>VALIDATED_044A3M / 170 identity tuples</x:v>
      </x:c>
      <x:c r="AM35" s="56" t="str">
        <x:v>TR-005; TR-006; TR-008; TR-016; TR-019; TR-028; TR-029</x:v>
      </x:c>
      <x:c r="AN35" s="66" t="str"/>
    </x:row>
    <x:row r="36" ht="58" customHeight="1">
      <x:c r="A36" s="56" t="str">
        <x:v>B2-Q12</x:v>
      </x:c>
      <x:c r="B36" s="56" t="str">
        <x:v>2</x:v>
      </x:c>
      <x:c r="C36" s="56" t="str">
        <x:v>base_40</x:v>
      </x:c>
      <x:c r="D36" s="56" t="n">
        <x:v>12</x:v>
      </x:c>
      <x:c r="E36" s="56" t="n">
        <x:v>4</x:v>
      </x:c>
      <x:c r="F36" s="56" t="str">
        <x:v>B2_2_1c</x:v>
      </x:c>
      <x:c r="G36" s="56" t="str">
        <x:v>2.1c</x:v>
      </x:c>
      <x:c r="H36" s="56" t="str">
        <x:v>¿Cuál es la acción principal?</x:v>
      </x:c>
      <x:c r="I36" s="56" t="str">
        <x:v>Nombra el verbo o proceso que realmente se ejecuta como núcleo de la transformación. Ejemplos: coordinar, validar, comunicar, preparar, revisar, autorizar. Si no aparece en la lista, elige Otro y escríbelo.</x:v>
      </x:c>
      <x:c r="J36" s="56" t="str">
        <x:v>single_choice</x:v>
      </x:c>
      <x:c r="K36" s="56" t="str">
        <x:v>single_choice</x:v>
      </x:c>
      <x:c r="L36" s="56" t="str">
        <x:v>Coordinar; Validar; Comunicar; Preparar; Revisar; Autorizar; Otro</x:v>
      </x:c>
      <x:c r="M36" s="56" t="str">
        <x:v>Obligatoria si 2.1 incluye Acción.</x:v>
      </x:c>
      <x:c r="N36" s="56" t="str">
        <x:v>Visible solo si 2.1 incluye Acción.</x:v>
      </x:c>
      <x:c r="O36" s="56" t="str">
        <x:v>Al responder, personaliza la subpregunta 2.2 correspondiente y contribuye a la lógica de dominancia de la combinación si aplica.</x:v>
      </x:c>
      <x:c r="P36" s="56" t="str">
        <x:v>visible_capture</x:v>
      </x:c>
      <x:c r="Q36" s="56" t="str">
        <x:v>DIRECT_CAPTURE_ONLY</x:v>
      </x:c>
      <x:c r="R36" s="56" t="str">
        <x:v>accion_tipo</x:v>
      </x:c>
      <x:c r="S36" s="56" t="str">
        <x:v>captured_user_evidence</x:v>
      </x:c>
      <x:c r="T36" s="56" t="str">
        <x:v>Bloque_2_Documento_Madre_Capa1_v2_1_EVE.docx</x:v>
      </x:c>
      <x:c r="U36" s="56" t="str">
        <x:v>0e134ee7e73dbb4b5b54a833712e2d15b5f03bcaf84219a50b21ab0e7ccd38cc</x:v>
      </x:c>
      <x:c r="V36" s="56" t="str">
        <x:v>Selección única</x:v>
      </x:c>
      <x:c r="W36" s="56" t="str">
        <x:v>Mostrar opciones autorizadas; permitir una sola selección; opción literal preservada.</x:v>
      </x:c>
      <x:c r="X36" s="56" t="str">
        <x:v>scalar:string</x:v>
      </x:c>
      <x:c r="Y36" s="56" t="str">
        <x:v>Campo options / catálogo dinámico rector</x:v>
      </x:c>
      <x:c r="Z36" s="56" t="str">
        <x:v>slot_ref server-issued; no mapear por label ni posición.</x:v>
      </x:c>
      <x:c r="AA36" s="56" t="str">
        <x:v>EXPLICIT_FIELD_TYPE</x:v>
      </x:c>
      <x:c r="AB36" s="56" t="str">
        <x:v>Pantalla específica Bloque 2</x:v>
      </x:c>
      <x:c r="AC36" s="66" t="str"/>
      <x:c r="AD36" s="66" t="str">
        <x:v>No evaluado</x:v>
      </x:c>
      <x:c r="AE36" s="66" t="str">
        <x:v>No evaluado</x:v>
      </x:c>
      <x:c r="AF36" s="66" t="str">
        <x:v>No evaluado</x:v>
      </x:c>
      <x:c r="AG36" s="66" t="str">
        <x:v>No ejecutado</x:v>
      </x:c>
      <x:c r="AH36" s="68" t="str">
        <x:f>IF(AND(AD36="No evaluado",AE36="No evaluado",AF36="No evaluado",AG36="No ejecutado"),"No evaluado",IF(OR(AD36="Bloqueado",AE36="Bloqueado",AF36="Bloqueado",AG36="Bloqueado"),"Bloqueado",IF(OR(AE36="No conforme",AF36="No conforme",AG36="Falló"),"No conforme",IF(AND(OR(AD36="Implementado",AD36="No aplica"),OR(AE36="Conforme",AE36="No aplica"),OR(AF36="Conforme",AF36="No aplica"),OR(AG36="Pasó",AG36="No aplica")),"Conforme","Parcial"))))</x:f>
        <x:v>No evaluado</x:v>
      </x:c>
      <x:c r="AI36" s="56" t="str">
        <x:v>No conforme</x:v>
      </x:c>
      <x:c r="AJ36" s="66" t="str"/>
      <x:c r="AK36" s="66" t="str"/>
      <x:c r="AL36" s="56" t="str">
        <x:v>VALIDATED_044A3M / 170 identity tuples</x:v>
      </x:c>
      <x:c r="AM36" s="56" t="str">
        <x:v>TR-005; TR-006; TR-008; TR-016; TR-019; TR-028; TR-029</x:v>
      </x:c>
      <x:c r="AN36" s="66" t="str"/>
    </x:row>
    <x:row r="37" ht="58" customHeight="1">
      <x:c r="A37" s="56" t="str">
        <x:v>B2-Q13</x:v>
      </x:c>
      <x:c r="B37" s="56" t="str">
        <x:v>2</x:v>
      </x:c>
      <x:c r="C37" s="56" t="str">
        <x:v>base_40</x:v>
      </x:c>
      <x:c r="D37" s="56" t="n">
        <x:v>13</x:v>
      </x:c>
      <x:c r="E37" s="56" t="n">
        <x:v>1</x:v>
      </x:c>
      <x:c r="F37" s="56" t="str">
        <x:v>B2_2_2_obj</x:v>
      </x:c>
      <x:c r="G37" s="56" t="str">
        <x:v>2.2_obj</x:v>
      </x:c>
      <x:c r="H37" s="56" t="str">
        <x:v>De ese {OBJETO}, ¿cuáles de estas propiedades o características cambian?</x:v>
      </x:c>
      <x:c r="I37" s="56" t="str">
        <x:v>Selecciona las propiedades que sí cambian en ese objeto. Ejemplo para factura: estado, monto, propietario, fecha, información, validación, relación.</x:v>
      </x:c>
      <x:c r="J37" s="56" t="str">
        <x:v>multi_choice</x:v>
      </x:c>
      <x:c r="K37" s="56" t="str">
        <x:v>multi_choice</x:v>
      </x:c>
      <x:c r="L37" s="56" t="str">
        <x:v>Opciones dinámicas según la entidad seleccionada en 2.1a/2.1b/2.1c, con opción Otro.</x:v>
      </x:c>
      <x:c r="M37" s="56" t="str">
        <x:v>Obligatoria si la dimensión correspondiente está activa.</x:v>
      </x:c>
      <x:c r="N37" s="56" t="str">
        <x:v>Visible solo si la dimensión correspondiente está presente en 2.1.</x:v>
      </x:c>
      <x:c r="O37" s="56" t="str">
        <x:v>Su salida alimenta 2.3 y también consolida transformation_attributes. Si no se selecciona ningún atributo concreto, puede disparar aclaración 2.A o flag de especificidad insuficiente.</x:v>
      </x:c>
      <x:c r="P37" s="56" t="str">
        <x:v>visible_capture</x:v>
      </x:c>
      <x:c r="Q37" s="56" t="str">
        <x:v>DIRECT_CAPTURE_ONLY</x:v>
      </x:c>
      <x:c r="R37" s="56" t="str">
        <x:v>atributos_objeto_cambian</x:v>
      </x:c>
      <x:c r="S37" s="56" t="str">
        <x:v>captured_user_evidence</x:v>
      </x:c>
      <x:c r="T37" s="56" t="str">
        <x:v>Bloque_2_Documento_Madre_Capa1_v2_1_EVE.docx</x:v>
      </x:c>
      <x:c r="U37" s="56" t="str">
        <x:v>0e134ee7e73dbb4b5b54a833712e2d15b5f03bcaf84219a50b21ab0e7ccd38cc</x:v>
      </x:c>
      <x:c r="V37" s="56" t="str">
        <x:v>Selección múltiple</x:v>
      </x:c>
      <x:c r="W37" s="56" t="str">
        <x:v>Mostrar opciones autorizadas; preservar conjunto exacto y exclusiones rectoras.</x:v>
      </x:c>
      <x:c r="X37" s="56" t="str">
        <x:v>array&lt;string&gt;</x:v>
      </x:c>
      <x:c r="Y37" s="56" t="str">
        <x:v>Campo options rector</x:v>
      </x:c>
      <x:c r="Z37" s="56" t="str">
        <x:v>slot_ref server-issued; cada selección conserva código literal.</x:v>
      </x:c>
      <x:c r="AA37" s="56" t="str">
        <x:v>EXPLICIT_FIELD_TYPE</x:v>
      </x:c>
      <x:c r="AB37" s="56" t="str">
        <x:v>Pantalla específica Bloque 2</x:v>
      </x:c>
      <x:c r="AC37" s="66" t="str"/>
      <x:c r="AD37" s="66" t="str">
        <x:v>No evaluado</x:v>
      </x:c>
      <x:c r="AE37" s="66" t="str">
        <x:v>No evaluado</x:v>
      </x:c>
      <x:c r="AF37" s="66" t="str">
        <x:v>No evaluado</x:v>
      </x:c>
      <x:c r="AG37" s="66" t="str">
        <x:v>No ejecutado</x:v>
      </x:c>
      <x:c r="AH37" s="68" t="str">
        <x:f>IF(AND(AD37="No evaluado",AE37="No evaluado",AF37="No evaluado",AG37="No ejecutado"),"No evaluado",IF(OR(AD37="Bloqueado",AE37="Bloqueado",AF37="Bloqueado",AG37="Bloqueado"),"Bloqueado",IF(OR(AE37="No conforme",AF37="No conforme",AG37="Falló"),"No conforme",IF(AND(OR(AD37="Implementado",AD37="No aplica"),OR(AE37="Conforme",AE37="No aplica"),OR(AF37="Conforme",AF37="No aplica"),OR(AG37="Pasó",AG37="No aplica")),"Conforme","Parcial"))))</x:f>
        <x:v>No evaluado</x:v>
      </x:c>
      <x:c r="AI37" s="56" t="str">
        <x:v>No conforme</x:v>
      </x:c>
      <x:c r="AJ37" s="66" t="str"/>
      <x:c r="AK37" s="66" t="str"/>
      <x:c r="AL37" s="56" t="str">
        <x:v>VALIDATED_044A3M / 170 identity tuples</x:v>
      </x:c>
      <x:c r="AM37" s="56" t="str">
        <x:v>TR-005; TR-006; TR-008; TR-016; TR-019; TR-028; TR-029</x:v>
      </x:c>
      <x:c r="AN37" s="66" t="str"/>
    </x:row>
    <x:row r="38" ht="58" customHeight="1">
      <x:c r="A38" s="56" t="str">
        <x:v>B2-Q13</x:v>
      </x:c>
      <x:c r="B38" s="56" t="str">
        <x:v>2</x:v>
      </x:c>
      <x:c r="C38" s="56" t="str">
        <x:v>base_40</x:v>
      </x:c>
      <x:c r="D38" s="56" t="n">
        <x:v>13</x:v>
      </x:c>
      <x:c r="E38" s="56" t="n">
        <x:v>2</x:v>
      </x:c>
      <x:c r="F38" s="56" t="str">
        <x:v>B2_2_2_suj</x:v>
      </x:c>
      <x:c r="G38" s="56" t="str">
        <x:v>2.2_suj</x:v>
      </x:c>
      <x:c r="H38" s="56" t="str">
        <x:v>De ese {SUJETO}, ¿cuáles de estas propiedades o características cambian?</x:v>
      </x:c>
      <x:c r="I38" s="56" t="str">
        <x:v>Selecciona las propiedades que sí cambian en ese sujeto. Ejemplo para proveedor: estado, información, propietario, relación, clasificación, validación, acuerdo.</x:v>
      </x:c>
      <x:c r="J38" s="56" t="str">
        <x:v>multi_choice</x:v>
      </x:c>
      <x:c r="K38" s="56" t="str">
        <x:v>multi_choice</x:v>
      </x:c>
      <x:c r="L38" s="56" t="str">
        <x:v>Opciones dinámicas según la entidad seleccionada en 2.1a/2.1b/2.1c, con opción Otro.</x:v>
      </x:c>
      <x:c r="M38" s="56" t="str">
        <x:v>Obligatoria si la dimensión correspondiente está activa.</x:v>
      </x:c>
      <x:c r="N38" s="56" t="str">
        <x:v>Visible solo si la dimensión correspondiente está presente en 2.1.</x:v>
      </x:c>
      <x:c r="O38" s="56" t="str">
        <x:v>Su salida alimenta 2.3 y también consolida transformation_attributes. Si no se selecciona ningún atributo concreto, puede disparar aclaración 2.A o flag de especificidad insuficiente.</x:v>
      </x:c>
      <x:c r="P38" s="56" t="str">
        <x:v>visible_capture</x:v>
      </x:c>
      <x:c r="Q38" s="56" t="str">
        <x:v>DIRECT_CAPTURE_ONLY</x:v>
      </x:c>
      <x:c r="R38" s="56" t="str">
        <x:v>atributos_sujeto_cambian</x:v>
      </x:c>
      <x:c r="S38" s="56" t="str">
        <x:v>captured_user_evidence</x:v>
      </x:c>
      <x:c r="T38" s="56" t="str">
        <x:v>Bloque_2_Documento_Madre_Capa1_v2_1_EVE.docx</x:v>
      </x:c>
      <x:c r="U38" s="56" t="str">
        <x:v>0e134ee7e73dbb4b5b54a833712e2d15b5f03bcaf84219a50b21ab0e7ccd38cc</x:v>
      </x:c>
      <x:c r="V38" s="56" t="str">
        <x:v>Selección múltiple</x:v>
      </x:c>
      <x:c r="W38" s="56" t="str">
        <x:v>Mostrar opciones autorizadas; preservar conjunto exacto y exclusiones rectoras.</x:v>
      </x:c>
      <x:c r="X38" s="56" t="str">
        <x:v>array&lt;string&gt;</x:v>
      </x:c>
      <x:c r="Y38" s="56" t="str">
        <x:v>Campo options rector</x:v>
      </x:c>
      <x:c r="Z38" s="56" t="str">
        <x:v>slot_ref server-issued; cada selección conserva código literal.</x:v>
      </x:c>
      <x:c r="AA38" s="56" t="str">
        <x:v>EXPLICIT_FIELD_TYPE</x:v>
      </x:c>
      <x:c r="AB38" s="56" t="str">
        <x:v>Pantalla específica Bloque 2</x:v>
      </x:c>
      <x:c r="AC38" s="66" t="str"/>
      <x:c r="AD38" s="66" t="str">
        <x:v>No evaluado</x:v>
      </x:c>
      <x:c r="AE38" s="66" t="str">
        <x:v>No evaluado</x:v>
      </x:c>
      <x:c r="AF38" s="66" t="str">
        <x:v>No evaluado</x:v>
      </x:c>
      <x:c r="AG38" s="66" t="str">
        <x:v>No ejecutado</x:v>
      </x:c>
      <x:c r="AH38" s="68" t="str">
        <x:f>IF(AND(AD38="No evaluado",AE38="No evaluado",AF38="No evaluado",AG38="No ejecutado"),"No evaluado",IF(OR(AD38="Bloqueado",AE38="Bloqueado",AF38="Bloqueado",AG38="Bloqueado"),"Bloqueado",IF(OR(AE38="No conforme",AF38="No conforme",AG38="Falló"),"No conforme",IF(AND(OR(AD38="Implementado",AD38="No aplica"),OR(AE38="Conforme",AE38="No aplica"),OR(AF38="Conforme",AF38="No aplica"),OR(AG38="Pasó",AG38="No aplica")),"Conforme","Parcial"))))</x:f>
        <x:v>No evaluado</x:v>
      </x:c>
      <x:c r="AI38" s="56" t="str">
        <x:v>No conforme</x:v>
      </x:c>
      <x:c r="AJ38" s="66" t="str"/>
      <x:c r="AK38" s="66" t="str"/>
      <x:c r="AL38" s="56" t="str">
        <x:v>VALIDATED_044A3M / 170 identity tuples</x:v>
      </x:c>
      <x:c r="AM38" s="56" t="str">
        <x:v>TR-005; TR-006; TR-008; TR-016; TR-019; TR-028; TR-029</x:v>
      </x:c>
      <x:c r="AN38" s="66" t="str"/>
    </x:row>
    <x:row r="39" ht="58" customHeight="1">
      <x:c r="A39" s="56" t="str">
        <x:v>B2-Q13</x:v>
      </x:c>
      <x:c r="B39" s="56" t="str">
        <x:v>2</x:v>
      </x:c>
      <x:c r="C39" s="56" t="str">
        <x:v>base_40</x:v>
      </x:c>
      <x:c r="D39" s="56" t="n">
        <x:v>13</x:v>
      </x:c>
      <x:c r="E39" s="56" t="n">
        <x:v>3</x:v>
      </x:c>
      <x:c r="F39" s="56" t="str">
        <x:v>B2_2_2_acc</x:v>
      </x:c>
      <x:c r="G39" s="56" t="str">
        <x:v>2.2_acc</x:v>
      </x:c>
      <x:c r="H39" s="56" t="str">
        <x:v>De esa {ACCIÓN}, ¿cuáles de estas características cambian?</x:v>
      </x:c>
      <x:c r="I39" s="56" t="str">
        <x:v>Selecciona qué características de la acción cambian realmente. Ejemplo para coordinar: frecuencia, complejidad, participantes, duración, resultado, documentación, escalamiento.</x:v>
      </x:c>
      <x:c r="J39" s="56" t="str">
        <x:v>multi_choice</x:v>
      </x:c>
      <x:c r="K39" s="56" t="str">
        <x:v>multi_choice</x:v>
      </x:c>
      <x:c r="L39" s="56" t="str">
        <x:v>Opciones dinámicas según la entidad seleccionada en 2.1a/2.1b/2.1c, con opción Otro.</x:v>
      </x:c>
      <x:c r="M39" s="56" t="str">
        <x:v>Obligatoria si la dimensión correspondiente está activa.</x:v>
      </x:c>
      <x:c r="N39" s="56" t="str">
        <x:v>Visible solo si la dimensión correspondiente está presente en 2.1.</x:v>
      </x:c>
      <x:c r="O39" s="56" t="str">
        <x:v>Su salida alimenta 2.3 y también consolida transformation_attributes. Si no se selecciona ningún atributo concreto, puede disparar aclaración 2.A o flag de especificidad insuficiente.</x:v>
      </x:c>
      <x:c r="P39" s="56" t="str">
        <x:v>visible_capture</x:v>
      </x:c>
      <x:c r="Q39" s="56" t="str">
        <x:v>DIRECT_CAPTURE_ONLY</x:v>
      </x:c>
      <x:c r="R39" s="56" t="str">
        <x:v>atributos_accion_cambian</x:v>
      </x:c>
      <x:c r="S39" s="56" t="str">
        <x:v>captured_user_evidence</x:v>
      </x:c>
      <x:c r="T39" s="56" t="str">
        <x:v>Bloque_2_Documento_Madre_Capa1_v2_1_EVE.docx</x:v>
      </x:c>
      <x:c r="U39" s="56" t="str">
        <x:v>0e134ee7e73dbb4b5b54a833712e2d15b5f03bcaf84219a50b21ab0e7ccd38cc</x:v>
      </x:c>
      <x:c r="V39" s="56" t="str">
        <x:v>Selección múltiple</x:v>
      </x:c>
      <x:c r="W39" s="56" t="str">
        <x:v>Mostrar opciones autorizadas; preservar conjunto exacto y exclusiones rectoras.</x:v>
      </x:c>
      <x:c r="X39" s="56" t="str">
        <x:v>array&lt;string&gt;</x:v>
      </x:c>
      <x:c r="Y39" s="56" t="str">
        <x:v>Campo options rector</x:v>
      </x:c>
      <x:c r="Z39" s="56" t="str">
        <x:v>slot_ref server-issued; cada selección conserva código literal.</x:v>
      </x:c>
      <x:c r="AA39" s="56" t="str">
        <x:v>EXPLICIT_FIELD_TYPE</x:v>
      </x:c>
      <x:c r="AB39" s="56" t="str">
        <x:v>Pantalla específica Bloque 2</x:v>
      </x:c>
      <x:c r="AC39" s="66" t="str"/>
      <x:c r="AD39" s="66" t="str">
        <x:v>No evaluado</x:v>
      </x:c>
      <x:c r="AE39" s="66" t="str">
        <x:v>No evaluado</x:v>
      </x:c>
      <x:c r="AF39" s="66" t="str">
        <x:v>No evaluado</x:v>
      </x:c>
      <x:c r="AG39" s="66" t="str">
        <x:v>No ejecutado</x:v>
      </x:c>
      <x:c r="AH39" s="68" t="str">
        <x:f>IF(AND(AD39="No evaluado",AE39="No evaluado",AF39="No evaluado",AG39="No ejecutado"),"No evaluado",IF(OR(AD39="Bloqueado",AE39="Bloqueado",AF39="Bloqueado",AG39="Bloqueado"),"Bloqueado",IF(OR(AE39="No conforme",AF39="No conforme",AG39="Falló"),"No conforme",IF(AND(OR(AD39="Implementado",AD39="No aplica"),OR(AE39="Conforme",AE39="No aplica"),OR(AF39="Conforme",AF39="No aplica"),OR(AG39="Pasó",AG39="No aplica")),"Conforme","Parcial"))))</x:f>
        <x:v>No evaluado</x:v>
      </x:c>
      <x:c r="AI39" s="56" t="str">
        <x:v>No conforme</x:v>
      </x:c>
      <x:c r="AJ39" s="66" t="str"/>
      <x:c r="AK39" s="66" t="str"/>
      <x:c r="AL39" s="56" t="str">
        <x:v>VALIDATED_044A3M / 170 identity tuples</x:v>
      </x:c>
      <x:c r="AM39" s="56" t="str">
        <x:v>TR-005; TR-006; TR-008; TR-016; TR-019; TR-028; TR-029</x:v>
      </x:c>
      <x:c r="AN39" s="66" t="str"/>
    </x:row>
    <x:row r="40" ht="58" customHeight="1">
      <x:c r="A40" s="56" t="str">
        <x:v>B2-Q14</x:v>
      </x:c>
      <x:c r="B40" s="56" t="str">
        <x:v>2</x:v>
      </x:c>
      <x:c r="C40" s="56" t="str">
        <x:v>base_40</x:v>
      </x:c>
      <x:c r="D40" s="56" t="n">
        <x:v>14</x:v>
      </x:c>
      <x:c r="E40" s="56" t="n">
        <x:v>1</x:v>
      </x:c>
      <x:c r="F40" s="56" t="str">
        <x:v>B2_2_4a</x:v>
      </x:c>
      <x:c r="G40" s="56" t="str">
        <x:v>2.4a</x:v>
      </x:c>
      <x:c r="H40" s="56" t="str">
        <x:v>¿Qué acción o cambio haces tú directamente sobre lo principal?</x:v>
      </x:c>
      <x:c r="I40" s="56" t="str">
        <x:v>Preguntamos por tu acción directa sobre lo que estas trabajando. Ejemplo: Crear una nueva factura en el Sistema, Revisar un documento antes de enviarlo, Corregir datos incorrectos en un registro.</x:v>
      </x:c>
      <x:c r="J40" s="56" t="str">
        <x:v>single_choice</x:v>
      </x:c>
      <x:c r="K40" s="56" t="str">
        <x:v>single_choice</x:v>
      </x:c>
      <x:c r="L40" s="56" t="str">
        <x:v>Crear; Revisar; Corregir; Aprobar; Registrar; Enviar; Combinar; Rechazar; Pausar o suspender; Otra</x:v>
      </x:c>
      <x:c r="M40" s="56" t="str">
        <x:v>Siempre obligatoria.</x:v>
      </x:c>
      <x:c r="N40" s="56" t="str">
        <x:v>Siempre visible.</x:v>
      </x:c>
      <x:c r="O40" s="56" t="str">
        <x:v>Su salida alimenta consistencia posterior.</x:v>
      </x:c>
      <x:c r="P40" s="56" t="str">
        <x:v>visible_capture</x:v>
      </x:c>
      <x:c r="Q40" s="56" t="str">
        <x:v>DIRECT_CAPTURE_ONLY</x:v>
      </x:c>
      <x:c r="R40" s="56" t="str">
        <x:v>transformation_causality_action</x:v>
      </x:c>
      <x:c r="S40" s="56" t="str">
        <x:v>captured_user_evidence</x:v>
      </x:c>
      <x:c r="T40" s="56" t="str">
        <x:v>Bloque_2_Documento_Madre_Capa1_v2_1_EVE.docx</x:v>
      </x:c>
      <x:c r="U40" s="56" t="str">
        <x:v>0e134ee7e73dbb4b5b54a833712e2d15b5f03bcaf84219a50b21ab0e7ccd38cc</x:v>
      </x:c>
      <x:c r="V40" s="56" t="str">
        <x:v>Selección única</x:v>
      </x:c>
      <x:c r="W40" s="56" t="str">
        <x:v>Mostrar opciones autorizadas; permitir una sola selección; opción literal preservada.</x:v>
      </x:c>
      <x:c r="X40" s="56" t="str">
        <x:v>scalar:string</x:v>
      </x:c>
      <x:c r="Y40" s="56" t="str">
        <x:v>Campo options / catálogo dinámico rector</x:v>
      </x:c>
      <x:c r="Z40" s="56" t="str">
        <x:v>slot_ref server-issued; no mapear por label ni posición.</x:v>
      </x:c>
      <x:c r="AA40" s="56" t="str">
        <x:v>EXPLICIT_FIELD_TYPE</x:v>
      </x:c>
      <x:c r="AB40" s="56" t="str">
        <x:v>Pantalla específica Bloque 2</x:v>
      </x:c>
      <x:c r="AC40" s="66" t="str"/>
      <x:c r="AD40" s="66" t="str">
        <x:v>No evaluado</x:v>
      </x:c>
      <x:c r="AE40" s="66" t="str">
        <x:v>No evaluado</x:v>
      </x:c>
      <x:c r="AF40" s="66" t="str">
        <x:v>No evaluado</x:v>
      </x:c>
      <x:c r="AG40" s="66" t="str">
        <x:v>No ejecutado</x:v>
      </x:c>
      <x:c r="AH40" s="68" t="str">
        <x:f>IF(AND(AD40="No evaluado",AE40="No evaluado",AF40="No evaluado",AG40="No ejecutado"),"No evaluado",IF(OR(AD40="Bloqueado",AE40="Bloqueado",AF40="Bloqueado",AG40="Bloqueado"),"Bloqueado",IF(OR(AE40="No conforme",AF40="No conforme",AG40="Falló"),"No conforme",IF(AND(OR(AD40="Implementado",AD40="No aplica"),OR(AE40="Conforme",AE40="No aplica"),OR(AF40="Conforme",AF40="No aplica"),OR(AG40="Pasó",AG40="No aplica")),"Conforme","Parcial"))))</x:f>
        <x:v>No evaluado</x:v>
      </x:c>
      <x:c r="AI40" s="56" t="str">
        <x:v>No conforme</x:v>
      </x:c>
      <x:c r="AJ40" s="66" t="str"/>
      <x:c r="AK40" s="66" t="str"/>
      <x:c r="AL40" s="56" t="str">
        <x:v>VALIDATED_044A3M / 170 identity tuples</x:v>
      </x:c>
      <x:c r="AM40" s="56" t="str">
        <x:v>TR-005; TR-006; TR-008; TR-016; TR-019; TR-028; TR-029</x:v>
      </x:c>
      <x:c r="AN40" s="66" t="str"/>
    </x:row>
    <x:row r="41" ht="58" customHeight="1">
      <x:c r="A41" s="56" t="str">
        <x:v>B2-Q14</x:v>
      </x:c>
      <x:c r="B41" s="56" t="str">
        <x:v>2</x:v>
      </x:c>
      <x:c r="C41" s="56" t="str">
        <x:v>base_40</x:v>
      </x:c>
      <x:c r="D41" s="56" t="n">
        <x:v>14</x:v>
      </x:c>
      <x:c r="E41" s="56" t="n">
        <x:v>2</x:v>
      </x:c>
      <x:c r="F41" s="56" t="str">
        <x:v>B2_2_4b</x:v>
      </x:c>
      <x:c r="G41" s="56" t="str">
        <x:v>2.4b</x:v>
      </x:c>
      <x:c r="H41" s="56" t="str">
        <x:v>¿Qué es lo que normalmente provoca que hagas ese cambio?</x:v>
      </x:c>
      <x:c r="I41" s="56" t="str">
        <x:v>Qué provoca específicamente que hagas este cambio sobre lo principal</x:v>
      </x:c>
      <x:c r="J41" s="56" t="str">
        <x:v>single_choice</x:v>
      </x:c>
      <x:c r="K41" s="56" t="str">
        <x:v>single_choice</x:v>
      </x:c>
      <x:c r="L41" s="56" t="str">
        <x:v>Una solicitud o instrucción; Un error detectado; Una fecha o plazo; Una aprobación recibida; Un evento o cambio en otro objeto; Una urgencia o prioridad; Un estándar o política; Una combinación de los anteriores; Otro</x:v>
      </x:c>
      <x:c r="M41" s="56" t="str">
        <x:v>Siempre obligatoria.</x:v>
      </x:c>
      <x:c r="N41" s="56" t="str">
        <x:v>Siempre visible.</x:v>
      </x:c>
      <x:c r="O41" s="56" t="str">
        <x:v>Su salida alimenta consistencia posterior.</x:v>
      </x:c>
      <x:c r="P41" s="56" t="str">
        <x:v>visible_capture</x:v>
      </x:c>
      <x:c r="Q41" s="56" t="str">
        <x:v>DIRECT_CAPTURE_ONLY</x:v>
      </x:c>
      <x:c r="R41" s="56" t="str">
        <x:v>transformation_causality_trigger</x:v>
      </x:c>
      <x:c r="S41" s="56" t="str">
        <x:v>captured_user_evidence</x:v>
      </x:c>
      <x:c r="T41" s="56" t="str">
        <x:v>Bloque_2_Documento_Madre_Capa1_v2_1_EVE.docx</x:v>
      </x:c>
      <x:c r="U41" s="56" t="str">
        <x:v>0e134ee7e73dbb4b5b54a833712e2d15b5f03bcaf84219a50b21ab0e7ccd38cc</x:v>
      </x:c>
      <x:c r="V41" s="56" t="str">
        <x:v>Selección única</x:v>
      </x:c>
      <x:c r="W41" s="56" t="str">
        <x:v>Mostrar opciones autorizadas; permitir una sola selección; opción literal preservada.</x:v>
      </x:c>
      <x:c r="X41" s="56" t="str">
        <x:v>scalar:string</x:v>
      </x:c>
      <x:c r="Y41" s="56" t="str">
        <x:v>Campo options / catálogo dinámico rector</x:v>
      </x:c>
      <x:c r="Z41" s="56" t="str">
        <x:v>slot_ref server-issued; no mapear por label ni posición.</x:v>
      </x:c>
      <x:c r="AA41" s="56" t="str">
        <x:v>EXPLICIT_FIELD_TYPE</x:v>
      </x:c>
      <x:c r="AB41" s="56" t="str">
        <x:v>Pantalla específica Bloque 2</x:v>
      </x:c>
      <x:c r="AC41" s="66" t="str"/>
      <x:c r="AD41" s="66" t="str">
        <x:v>No evaluado</x:v>
      </x:c>
      <x:c r="AE41" s="66" t="str">
        <x:v>No evaluado</x:v>
      </x:c>
      <x:c r="AF41" s="66" t="str">
        <x:v>No evaluado</x:v>
      </x:c>
      <x:c r="AG41" s="66" t="str">
        <x:v>No ejecutado</x:v>
      </x:c>
      <x:c r="AH41" s="68" t="str">
        <x:f>IF(AND(AD41="No evaluado",AE41="No evaluado",AF41="No evaluado",AG41="No ejecutado"),"No evaluado",IF(OR(AD41="Bloqueado",AE41="Bloqueado",AF41="Bloqueado",AG41="Bloqueado"),"Bloqueado",IF(OR(AE41="No conforme",AF41="No conforme",AG41="Falló"),"No conforme",IF(AND(OR(AD41="Implementado",AD41="No aplica"),OR(AE41="Conforme",AE41="No aplica"),OR(AF41="Conforme",AF41="No aplica"),OR(AG41="Pasó",AG41="No aplica")),"Conforme","Parcial"))))</x:f>
        <x:v>No evaluado</x:v>
      </x:c>
      <x:c r="AI41" s="56" t="str">
        <x:v>No conforme</x:v>
      </x:c>
      <x:c r="AJ41" s="66" t="str"/>
      <x:c r="AK41" s="66" t="str"/>
      <x:c r="AL41" s="56" t="str">
        <x:v>VALIDATED_044A3M / 170 identity tuples</x:v>
      </x:c>
      <x:c r="AM41" s="56" t="str">
        <x:v>TR-005; TR-006; TR-008; TR-016; TR-019; TR-028; TR-029</x:v>
      </x:c>
      <x:c r="AN41" s="66" t="str"/>
    </x:row>
    <x:row r="42" ht="58" customHeight="1">
      <x:c r="A42" s="56" t="str">
        <x:v>B2-Q15</x:v>
      </x:c>
      <x:c r="B42" s="56" t="str">
        <x:v>2</x:v>
      </x:c>
      <x:c r="C42" s="56" t="str">
        <x:v>base_40</x:v>
      </x:c>
      <x:c r="D42" s="56" t="n">
        <x:v>15</x:v>
      </x:c>
      <x:c r="E42" s="56" t="n">
        <x:v>1</x:v>
      </x:c>
      <x:c r="F42" s="56" t="str">
        <x:v>B2_2_5</x:v>
      </x:c>
      <x:c r="G42" s="56" t="str">
        <x:v>2.5</x:v>
      </x:c>
      <x:c r="H42" s="56" t="str">
        <x:v>Justo antes de que comience esta actividad, ¿en qué estado o condición se encuentra lo principal?</x:v>
      </x:c>
      <x:c r="I42" s="56" t="str">
        <x:v>Describe cómo llega lo principal justo antes de tu intervención. Ejemplos: pedido recibido sin validar, factura sin aprobar, proveedor sin verificar. Evita respuestas genéricas como 'normal' o 'pendiente' sin contexto.</x:v>
      </x:c>
      <x:c r="J42" s="56" t="str">
        <x:v>free_text</x:v>
      </x:c>
      <x:c r="K42" s="56" t="str">
        <x:v>free_text</x:v>
      </x:c>
      <x:c r="L42" s="56" t="str">
        <x:v>N/A</x:v>
      </x:c>
      <x:c r="M42" s="56" t="str">
        <x:v>Siempre obligatoria.</x:v>
      </x:c>
      <x:c r="N42" s="56" t="str">
        <x:v>Siempre visible.</x:v>
      </x:c>
      <x:c r="O42" s="56" t="str">
        <x:v>Se cruza con 2.3, 2.7, 2.9 y 2.11 para validar si la transformación realmente cambia algo identificable.</x:v>
      </x:c>
      <x:c r="P42" s="56" t="str">
        <x:v>visible_capture</x:v>
      </x:c>
      <x:c r="Q42" s="56" t="str">
        <x:v>DIRECT_CAPTURE_ONLY</x:v>
      </x:c>
      <x:c r="R42" s="56" t="str">
        <x:v>transformation_state_initial</x:v>
      </x:c>
      <x:c r="S42" s="56" t="str">
        <x:v>captured_user_evidence</x:v>
      </x:c>
      <x:c r="T42" s="56" t="str">
        <x:v>Bloque_2_Documento_Madre_Capa1_v2_1_EVE.docx</x:v>
      </x:c>
      <x:c r="U42" s="56" t="str">
        <x:v>0e134ee7e73dbb4b5b54a833712e2d15b5f03bcaf84219a50b21ab0e7ccd38cc</x:v>
      </x:c>
      <x:c r="V42" s="56" t="str">
        <x:v>Texto libre</x:v>
      </x:c>
      <x:c r="W42" s="56" t="str">
        <x:v>Capturar texto literal sin clasificación semántica cliente.</x:v>
      </x:c>
      <x:c r="X42" s="56" t="str">
        <x:v>scalar:string</x:v>
      </x:c>
      <x:c r="Y42" s="56" t="str">
        <x:v>No aplica</x:v>
      </x:c>
      <x:c r="Z42" s="56" t="str">
        <x:v>slot_ref server-issued; valor humano únicamente.</x:v>
      </x:c>
      <x:c r="AA42" s="56" t="str">
        <x:v>EXPLICIT_FIELD_TYPE</x:v>
      </x:c>
      <x:c r="AB42" s="56" t="str">
        <x:v>Pantalla específica Bloque 2</x:v>
      </x:c>
      <x:c r="AC42" s="66" t="str"/>
      <x:c r="AD42" s="66" t="str">
        <x:v>No evaluado</x:v>
      </x:c>
      <x:c r="AE42" s="66" t="str">
        <x:v>No evaluado</x:v>
      </x:c>
      <x:c r="AF42" s="66" t="str">
        <x:v>No evaluado</x:v>
      </x:c>
      <x:c r="AG42" s="66" t="str">
        <x:v>No ejecutado</x:v>
      </x:c>
      <x:c r="AH42" s="68" t="str">
        <x:f>IF(AND(AD42="No evaluado",AE42="No evaluado",AF42="No evaluado",AG42="No ejecutado"),"No evaluado",IF(OR(AD42="Bloqueado",AE42="Bloqueado",AF42="Bloqueado",AG42="Bloqueado"),"Bloqueado",IF(OR(AE42="No conforme",AF42="No conforme",AG42="Falló"),"No conforme",IF(AND(OR(AD42="Implementado",AD42="No aplica"),OR(AE42="Conforme",AE42="No aplica"),OR(AF42="Conforme",AF42="No aplica"),OR(AG42="Pasó",AG42="No aplica")),"Conforme","Parcial"))))</x:f>
        <x:v>No evaluado</x:v>
      </x:c>
      <x:c r="AI42" s="56" t="str">
        <x:v>Compatible</x:v>
      </x:c>
      <x:c r="AJ42" s="66" t="str"/>
      <x:c r="AK42" s="66" t="str"/>
      <x:c r="AL42" s="56" t="str">
        <x:v>VALIDATED_044A3M / 170 identity tuples</x:v>
      </x:c>
      <x:c r="AM42" s="56" t="str">
        <x:v>TR-005; TR-006; TR-008; TR-016; TR-019; TR-028; TR-029</x:v>
      </x:c>
      <x:c r="AN42" s="66" t="str"/>
    </x:row>
    <x:row r="43" ht="58" customHeight="1">
      <x:c r="A43" s="56" t="str">
        <x:v>B2-Q15</x:v>
      </x:c>
      <x:c r="B43" s="56" t="str">
        <x:v>2</x:v>
      </x:c>
      <x:c r="C43" s="56" t="str">
        <x:v>base_40</x:v>
      </x:c>
      <x:c r="D43" s="56" t="n">
        <x:v>15</x:v>
      </x:c>
      <x:c r="E43" s="56" t="n">
        <x:v>2</x:v>
      </x:c>
      <x:c r="F43" s="56" t="str">
        <x:v>B2_2_6</x:v>
      </x:c>
      <x:c r="G43" s="56" t="str">
        <x:v>2.6</x:v>
      </x:c>
      <x:c r="H43" s="56" t="str">
        <x:v>Después de que termina esta actividad, ¿en qué estado o condición queda lo principal?</x:v>
      </x:c>
      <x:c r="I43" s="56" t="str">
        <x:v>Describe cómo queda lo principal después de la actividad. Ejemplos: pedido validado y asignado, factura aprobada, proveedor activo y verificado.</x:v>
      </x:c>
      <x:c r="J43" s="56" t="str">
        <x:v>free_text</x:v>
      </x:c>
      <x:c r="K43" s="56" t="str">
        <x:v>free_text</x:v>
      </x:c>
      <x:c r="L43" s="56" t="str">
        <x:v>N/A</x:v>
      </x:c>
      <x:c r="M43" s="56" t="str">
        <x:v>Siempre obligatoria.</x:v>
      </x:c>
      <x:c r="N43" s="56" t="str">
        <x:v>Siempre visible.</x:v>
      </x:c>
      <x:c r="O43" s="56" t="str">
        <x:v>Se cruza con 2.3, 2.7, 2.9 y 2.11 para validar si la transformación realmente cambia algo identificable.</x:v>
      </x:c>
      <x:c r="P43" s="56" t="str">
        <x:v>visible_capture</x:v>
      </x:c>
      <x:c r="Q43" s="56" t="str">
        <x:v>DIRECT_CAPTURE_ONLY</x:v>
      </x:c>
      <x:c r="R43" s="56" t="str">
        <x:v>transformation_state_final</x:v>
      </x:c>
      <x:c r="S43" s="56" t="str">
        <x:v>captured_user_evidence</x:v>
      </x:c>
      <x:c r="T43" s="56" t="str">
        <x:v>Bloque_2_Documento_Madre_Capa1_v2_1_EVE.docx</x:v>
      </x:c>
      <x:c r="U43" s="56" t="str">
        <x:v>0e134ee7e73dbb4b5b54a833712e2d15b5f03bcaf84219a50b21ab0e7ccd38cc</x:v>
      </x:c>
      <x:c r="V43" s="56" t="str">
        <x:v>Texto libre</x:v>
      </x:c>
      <x:c r="W43" s="56" t="str">
        <x:v>Capturar texto literal sin clasificación semántica cliente.</x:v>
      </x:c>
      <x:c r="X43" s="56" t="str">
        <x:v>scalar:string</x:v>
      </x:c>
      <x:c r="Y43" s="56" t="str">
        <x:v>No aplica</x:v>
      </x:c>
      <x:c r="Z43" s="56" t="str">
        <x:v>slot_ref server-issued; valor humano únicamente.</x:v>
      </x:c>
      <x:c r="AA43" s="56" t="str">
        <x:v>EXPLICIT_FIELD_TYPE</x:v>
      </x:c>
      <x:c r="AB43" s="56" t="str">
        <x:v>Pantalla específica Bloque 2</x:v>
      </x:c>
      <x:c r="AC43" s="66" t="str"/>
      <x:c r="AD43" s="66" t="str">
        <x:v>No evaluado</x:v>
      </x:c>
      <x:c r="AE43" s="66" t="str">
        <x:v>No evaluado</x:v>
      </x:c>
      <x:c r="AF43" s="66" t="str">
        <x:v>No evaluado</x:v>
      </x:c>
      <x:c r="AG43" s="66" t="str">
        <x:v>No ejecutado</x:v>
      </x:c>
      <x:c r="AH43" s="68" t="str">
        <x:f>IF(AND(AD43="No evaluado",AE43="No evaluado",AF43="No evaluado",AG43="No ejecutado"),"No evaluado",IF(OR(AD43="Bloqueado",AE43="Bloqueado",AF43="Bloqueado",AG43="Bloqueado"),"Bloqueado",IF(OR(AE43="No conforme",AF43="No conforme",AG43="Falló"),"No conforme",IF(AND(OR(AD43="Implementado",AD43="No aplica"),OR(AE43="Conforme",AE43="No aplica"),OR(AF43="Conforme",AF43="No aplica"),OR(AG43="Pasó",AG43="No aplica")),"Conforme","Parcial"))))</x:f>
        <x:v>No evaluado</x:v>
      </x:c>
      <x:c r="AI43" s="56" t="str">
        <x:v>Compatible</x:v>
      </x:c>
      <x:c r="AJ43" s="66" t="str"/>
      <x:c r="AK43" s="66" t="str"/>
      <x:c r="AL43" s="56" t="str">
        <x:v>VALIDATED_044A3M / 170 identity tuples</x:v>
      </x:c>
      <x:c r="AM43" s="56" t="str">
        <x:v>TR-005; TR-006; TR-008; TR-016; TR-019; TR-028; TR-029</x:v>
      </x:c>
      <x:c r="AN43" s="66" t="str"/>
    </x:row>
    <x:row r="44" ht="58" customHeight="1">
      <x:c r="A44" s="56" t="str">
        <x:v>B2-Q16</x:v>
      </x:c>
      <x:c r="B44" s="56" t="str">
        <x:v>2</x:v>
      </x:c>
      <x:c r="C44" s="56" t="str">
        <x:v>base_40</x:v>
      </x:c>
      <x:c r="D44" s="56" t="n">
        <x:v>16</x:v>
      </x:c>
      <x:c r="E44" s="56" t="n">
        <x:v>1</x:v>
      </x:c>
      <x:c r="F44" s="56" t="str">
        <x:v>B2_2_3</x:v>
      </x:c>
      <x:c r="G44" s="56" t="str">
        <x:v>2.3</x:v>
      </x:c>
      <x:c r="H44" s="56" t="str">
        <x:v>Cuando haces esta actividad, ¿qué tanto cambia lo principal con respecto a cómo llegó?</x:v>
      </x:c>
      <x:c r="I44" s="56" t="str">
        <x:v>Selecciona pequeño si cambia solo un atributo. Ejemplo: Cambias el estado de una factura de "pendiente" a "pagada". 
Medio si cambian varios. Ejemplo: Una solicitud pasa de "recibida" a "aprobada" Y se asigna responsable Y se establece fecha límite.
Grande si cambian muchos. Ejemplo: Un proyecto pasa de "propuesta" a "activo" Y se asigna equipo Y presupuesto Y cronograma Y recursos Y prioridad.
Radical si cambia la naturaleza de lo principal. Ejemplo: Una orden de compra se convierte en devolución (de "a recibir" a "a devolver") o Un cliente se convierte en proveedor (cambia su rol fundamental en el sistema)</x:v>
      </x:c>
      <x:c r="J44" s="56" t="str">
        <x:v>single_choice</x:v>
      </x:c>
      <x:c r="K44" s="56" t="str">
        <x:v>single_choice</x:v>
      </x:c>
      <x:c r="L44" s="56" t="str">
        <x:v>Pequeño; Medio; Grande; Radical</x:v>
      </x:c>
      <x:c r="M44" s="56" t="str">
        <x:v>Siempre obligatoria.</x:v>
      </x:c>
      <x:c r="N44" s="56" t="str">
        <x:v>Siempre visible una vez respondidas las preguntas de atributos relevantes.</x:v>
      </x:c>
      <x:c r="O44" s="56" t="str">
        <x:v>Su salida alimenta consistencia posterior.</x:v>
      </x:c>
      <x:c r="P44" s="56" t="str">
        <x:v>visible_capture</x:v>
      </x:c>
      <x:c r="Q44" s="56" t="str">
        <x:v>DIRECT_CAPTURE_ONLY</x:v>
      </x:c>
      <x:c r="R44" s="56" t="str">
        <x:v>transformation_magnitude</x:v>
      </x:c>
      <x:c r="S44" s="56" t="str">
        <x:v>captured_user_evidence</x:v>
      </x:c>
      <x:c r="T44" s="56" t="str">
        <x:v>Bloque_2_Documento_Madre_Capa1_v2_1_EVE.docx</x:v>
      </x:c>
      <x:c r="U44" s="56" t="str">
        <x:v>0e134ee7e73dbb4b5b54a833712e2d15b5f03bcaf84219a50b21ab0e7ccd38cc</x:v>
      </x:c>
      <x:c r="V44" s="56" t="str">
        <x:v>Selección única</x:v>
      </x:c>
      <x:c r="W44" s="56" t="str">
        <x:v>Mostrar opciones autorizadas; permitir una sola selección; opción literal preservada.</x:v>
      </x:c>
      <x:c r="X44" s="56" t="str">
        <x:v>scalar:string</x:v>
      </x:c>
      <x:c r="Y44" s="56" t="str">
        <x:v>Campo options / catálogo dinámico rector</x:v>
      </x:c>
      <x:c r="Z44" s="56" t="str">
        <x:v>slot_ref server-issued; no mapear por label ni posición.</x:v>
      </x:c>
      <x:c r="AA44" s="56" t="str">
        <x:v>EXPLICIT_FIELD_TYPE</x:v>
      </x:c>
      <x:c r="AB44" s="56" t="str">
        <x:v>Pantalla específica Bloque 2</x:v>
      </x:c>
      <x:c r="AC44" s="66" t="str"/>
      <x:c r="AD44" s="66" t="str">
        <x:v>No evaluado</x:v>
      </x:c>
      <x:c r="AE44" s="66" t="str">
        <x:v>No evaluado</x:v>
      </x:c>
      <x:c r="AF44" s="66" t="str">
        <x:v>No evaluado</x:v>
      </x:c>
      <x:c r="AG44" s="66" t="str">
        <x:v>No ejecutado</x:v>
      </x:c>
      <x:c r="AH44" s="68" t="str">
        <x:f>IF(AND(AD44="No evaluado",AE44="No evaluado",AF44="No evaluado",AG44="No ejecutado"),"No evaluado",IF(OR(AD44="Bloqueado",AE44="Bloqueado",AF44="Bloqueado",AG44="Bloqueado"),"Bloqueado",IF(OR(AE44="No conforme",AF44="No conforme",AG44="Falló"),"No conforme",IF(AND(OR(AD44="Implementado",AD44="No aplica"),OR(AE44="Conforme",AE44="No aplica"),OR(AF44="Conforme",AF44="No aplica"),OR(AG44="Pasó",AG44="No aplica")),"Conforme","Parcial"))))</x:f>
        <x:v>No evaluado</x:v>
      </x:c>
      <x:c r="AI44" s="56" t="str">
        <x:v>No conforme</x:v>
      </x:c>
      <x:c r="AJ44" s="66" t="str"/>
      <x:c r="AK44" s="66" t="str"/>
      <x:c r="AL44" s="56" t="str">
        <x:v>VALIDATED_044A3M / 170 identity tuples</x:v>
      </x:c>
      <x:c r="AM44" s="56" t="str">
        <x:v>TR-005; TR-006; TR-008; TR-016; TR-019; TR-028; TR-029</x:v>
      </x:c>
      <x:c r="AN44" s="66" t="str"/>
    </x:row>
    <x:row r="45" ht="58" customHeight="1">
      <x:c r="A45" s="56" t="str">
        <x:v>B2-Q16</x:v>
      </x:c>
      <x:c r="B45" s="56" t="str">
        <x:v>2</x:v>
      </x:c>
      <x:c r="C45" s="56" t="str">
        <x:v>base_40</x:v>
      </x:c>
      <x:c r="D45" s="56" t="n">
        <x:v>16</x:v>
      </x:c>
      <x:c r="E45" s="56" t="n">
        <x:v>2</x:v>
      </x:c>
      <x:c r="F45" s="56" t="str">
        <x:v>B2_2_7</x:v>
      </x:c>
      <x:c r="G45" s="56" t="str">
        <x:v>2.7</x:v>
      </x:c>
      <x:c r="H45" s="56" t="str">
        <x:v>¿Lo principal se transforma una sola vez o hay múltiples ciclos de transformación?</x:v>
      </x:c>
      <x:c r="I45" s="56" t="str">
        <x:v>Piensa si la transformación ocurre una sola vez o si suele haber revisiones, rechazos, correcciones, reenvíos o rondas repetidas. Ejemplo: se revisa, se corrige y se revisa otra vez.</x:v>
      </x:c>
      <x:c r="J45" s="56" t="str">
        <x:v>single_choice</x:v>
      </x:c>
      <x:c r="K45" s="56" t="str">
        <x:v>single_choice</x:v>
      </x:c>
      <x:c r="L45" s="56" t="str">
        <x:v>Una sola vez; Pocas veces; Muchas veces; Continuo</x:v>
      </x:c>
      <x:c r="M45" s="56" t="str">
        <x:v>Siempre obligatoria.</x:v>
      </x:c>
      <x:c r="N45" s="56" t="str">
        <x:v>Siempre visible.</x:v>
      </x:c>
      <x:c r="O45" s="56" t="str">
        <x:v>Si responde Pocas veces o Muchas veces, activa 2.8. Si responde Continuo, 2.8 no aparece.</x:v>
      </x:c>
      <x:c r="P45" s="56" t="str">
        <x:v>visible_capture</x:v>
      </x:c>
      <x:c r="Q45" s="56" t="str">
        <x:v>DIRECT_CAPTURE_ONLY</x:v>
      </x:c>
      <x:c r="R45" s="56" t="str">
        <x:v>transformation_iterations</x:v>
      </x:c>
      <x:c r="S45" s="56" t="str">
        <x:v>captured_user_evidence</x:v>
      </x:c>
      <x:c r="T45" s="56" t="str">
        <x:v>Bloque_2_Documento_Madre_Capa1_v2_1_EVE.docx</x:v>
      </x:c>
      <x:c r="U45" s="56" t="str">
        <x:v>0e134ee7e73dbb4b5b54a833712e2d15b5f03bcaf84219a50b21ab0e7ccd38cc</x:v>
      </x:c>
      <x:c r="V45" s="56" t="str">
        <x:v>Selección única</x:v>
      </x:c>
      <x:c r="W45" s="56" t="str">
        <x:v>Mostrar opciones autorizadas; permitir una sola selección; opción literal preservada.</x:v>
      </x:c>
      <x:c r="X45" s="56" t="str">
        <x:v>scalar:string</x:v>
      </x:c>
      <x:c r="Y45" s="56" t="str">
        <x:v>Campo options / catálogo dinámico rector</x:v>
      </x:c>
      <x:c r="Z45" s="56" t="str">
        <x:v>slot_ref server-issued; no mapear por label ni posición.</x:v>
      </x:c>
      <x:c r="AA45" s="56" t="str">
        <x:v>EXPLICIT_FIELD_TYPE</x:v>
      </x:c>
      <x:c r="AB45" s="56" t="str">
        <x:v>Pantalla específica Bloque 2</x:v>
      </x:c>
      <x:c r="AC45" s="66" t="str"/>
      <x:c r="AD45" s="66" t="str">
        <x:v>No evaluado</x:v>
      </x:c>
      <x:c r="AE45" s="66" t="str">
        <x:v>No evaluado</x:v>
      </x:c>
      <x:c r="AF45" s="66" t="str">
        <x:v>No evaluado</x:v>
      </x:c>
      <x:c r="AG45" s="66" t="str">
        <x:v>No ejecutado</x:v>
      </x:c>
      <x:c r="AH45" s="68" t="str">
        <x:f>IF(AND(AD45="No evaluado",AE45="No evaluado",AF45="No evaluado",AG45="No ejecutado"),"No evaluado",IF(OR(AD45="Bloqueado",AE45="Bloqueado",AF45="Bloqueado",AG45="Bloqueado"),"Bloqueado",IF(OR(AE45="No conforme",AF45="No conforme",AG45="Falló"),"No conforme",IF(AND(OR(AD45="Implementado",AD45="No aplica"),OR(AE45="Conforme",AE45="No aplica"),OR(AF45="Conforme",AF45="No aplica"),OR(AG45="Pasó",AG45="No aplica")),"Conforme","Parcial"))))</x:f>
        <x:v>No evaluado</x:v>
      </x:c>
      <x:c r="AI45" s="56" t="str">
        <x:v>No conforme</x:v>
      </x:c>
      <x:c r="AJ45" s="66" t="str"/>
      <x:c r="AK45" s="66" t="str"/>
      <x:c r="AL45" s="56" t="str">
        <x:v>VALIDATED_044A3M / 170 identity tuples</x:v>
      </x:c>
      <x:c r="AM45" s="56" t="str">
        <x:v>TR-005; TR-006; TR-008; TR-016; TR-019; TR-028; TR-029</x:v>
      </x:c>
      <x:c r="AN45" s="66" t="str"/>
    </x:row>
    <x:row r="46" ht="58" customHeight="1">
      <x:c r="A46" s="56" t="str">
        <x:v>B2-Q17</x:v>
      </x:c>
      <x:c r="B46" s="56" t="str">
        <x:v>2</x:v>
      </x:c>
      <x:c r="C46" s="56" t="str">
        <x:v>base_40</x:v>
      </x:c>
      <x:c r="D46" s="56" t="n">
        <x:v>17</x:v>
      </x:c>
      <x:c r="E46" s="56" t="n">
        <x:v>1</x:v>
      </x:c>
      <x:c r="F46" s="56" t="str">
        <x:v>B2_2_9</x:v>
      </x:c>
      <x:c r="G46" s="56" t="str">
        <x:v>2.9</x:v>
      </x:c>
      <x:c r="H46" s="56" t="str">
        <x:v>¿Hay momentos en que no se transforma aunque debería, o se transforma de forma incorrecta?</x:v>
      </x:c>
      <x:c r="I46" s="56" t="str">
        <x:v>Piensa en momentos en que lo principal debería cambiar y no cambia, o cambia mal. Queremos saber por la existencia del fallos.</x:v>
      </x:c>
      <x:c r="J46" s="56" t="str">
        <x:v>single_choice</x:v>
      </x:c>
      <x:c r="K46" s="56" t="str">
        <x:v>single_choice</x:v>
      </x:c>
      <x:c r="L46" s="56" t="str">
        <x:v>No, siempre se transforma correctamente; Sí, a veces falla pero es raro; Sí, falla regularmente; Sí, falla frecuentemente</x:v>
      </x:c>
      <x:c r="M46" s="56" t="str">
        <x:v>Siempre obligatoria.</x:v>
      </x:c>
      <x:c r="N46" s="56" t="str">
        <x:v>Siempre visible.</x:v>
      </x:c>
      <x:c r="O46" s="56" t="str">
        <x:v>Si la respuesta es “No, siempre se transforma correctamente”, deriva transformation_exception_exists = false y no activa 2.10.
Si la respuesta es “Sí, a veces falla pero es raro”, “Sí, falla regularmente” o “Sí, falla frecuentemente”, deriva transformation_exception_exists = true y activa 2.10.
Si la respuesta está ausente, inválida o no interpretable, deriva transformation_exception_exists = unresolved, marca transformation_exception_route_unresolved y no debe asumirse false.
La variable transformation_exception_exists debe derivarse exclusivamente desde transformation_exception_type capturado en 2.9. Ninguna variable auxiliar, incluyendo transformation_failure_frequency si existiera en implementación, debe actuar como fuente canónica primaria.</x:v>
      </x:c>
      <x:c r="P46" s="56" t="str">
        <x:v>visible_capture</x:v>
      </x:c>
      <x:c r="Q46" s="56" t="str">
        <x:v>DIRECT_CAPTURE_WITH_EXPLICIT_DERIVATION</x:v>
      </x:c>
      <x:c r="R46" s="56" t="str">
        <x:v>transformation_exception_type | transformation_exception_exists</x:v>
      </x:c>
      <x:c r="S46" s="56" t="str">
        <x:v>captured_user_evidence para transformation_exception_type.
canonical_derivation para transformation_exception_exists.</x:v>
      </x:c>
      <x:c r="T46" s="56" t="str">
        <x:v>Bloque_2_Documento_Madre_Capa1_v2_1_EVE.docx</x:v>
      </x:c>
      <x:c r="U46" s="56" t="str">
        <x:v>0e134ee7e73dbb4b5b54a833712e2d15b5f03bcaf84219a50b21ab0e7ccd38cc</x:v>
      </x:c>
      <x:c r="V46" s="56" t="str">
        <x:v>Selección única</x:v>
      </x:c>
      <x:c r="W46" s="56" t="str">
        <x:v>Mostrar opciones autorizadas; permitir una sola selección; opción literal preservada.</x:v>
      </x:c>
      <x:c r="X46" s="56" t="str">
        <x:v>scalar:string</x:v>
      </x:c>
      <x:c r="Y46" s="56" t="str">
        <x:v>Campo options / catálogo dinámico rector</x:v>
      </x:c>
      <x:c r="Z46" s="56" t="str">
        <x:v>slot_ref server-issued; no mapear por label ni posición.</x:v>
      </x:c>
      <x:c r="AA46" s="56" t="str">
        <x:v>EXPLICIT_FIELD_TYPE</x:v>
      </x:c>
      <x:c r="AB46" s="56" t="str">
        <x:v>Pantalla específica Bloque 2</x:v>
      </x:c>
      <x:c r="AC46" s="66" t="str"/>
      <x:c r="AD46" s="66" t="str">
        <x:v>No evaluado</x:v>
      </x:c>
      <x:c r="AE46" s="66" t="str">
        <x:v>No evaluado</x:v>
      </x:c>
      <x:c r="AF46" s="66" t="str">
        <x:v>No evaluado</x:v>
      </x:c>
      <x:c r="AG46" s="66" t="str">
        <x:v>No ejecutado</x:v>
      </x:c>
      <x:c r="AH46" s="68" t="str">
        <x:f>IF(AND(AD46="No evaluado",AE46="No evaluado",AF46="No evaluado",AG46="No ejecutado"),"No evaluado",IF(OR(AD46="Bloqueado",AE46="Bloqueado",AF46="Bloqueado",AG46="Bloqueado"),"Bloqueado",IF(OR(AE46="No conforme",AF46="No conforme",AG46="Falló"),"No conforme",IF(AND(OR(AD46="Implementado",AD46="No aplica"),OR(AE46="Conforme",AE46="No aplica"),OR(AF46="Conforme",AF46="No aplica"),OR(AG46="Pasó",AG46="No aplica")),"Conforme","Parcial"))))</x:f>
        <x:v>No evaluado</x:v>
      </x:c>
      <x:c r="AI46" s="56" t="str">
        <x:v>No conforme</x:v>
      </x:c>
      <x:c r="AJ46" s="66" t="str"/>
      <x:c r="AK46" s="66" t="str"/>
      <x:c r="AL46" s="56" t="str">
        <x:v>VALIDATED_044A3M / 170 identity tuples</x:v>
      </x:c>
      <x:c r="AM46" s="56" t="str">
        <x:v>TR-005; TR-006; TR-008; TR-016; TR-019; TR-028; TR-029</x:v>
      </x:c>
      <x:c r="AN46" s="66" t="str"/>
    </x:row>
    <x:row r="47" ht="58" customHeight="1">
      <x:c r="A47" s="56" t="str">
        <x:v>B2-Q17</x:v>
      </x:c>
      <x:c r="B47" s="56" t="str">
        <x:v>2</x:v>
      </x:c>
      <x:c r="C47" s="56" t="str">
        <x:v>base_40</x:v>
      </x:c>
      <x:c r="D47" s="56" t="n">
        <x:v>17</x:v>
      </x:c>
      <x:c r="E47" s="56" t="n">
        <x:v>2</x:v>
      </x:c>
      <x:c r="F47" s="56" t="str">
        <x:v>B2_2_11</x:v>
      </x:c>
      <x:c r="G47" s="56" t="str">
        <x:v>2.11</x:v>
      </x:c>
      <x:c r="H47" s="56" t="str">
        <x:v>¿Hay cambios que ocurren en lo principal pero que no son oficiales o esperados?</x:v>
      </x:c>
      <x:c r="I47" s="56" t="str">
        <x:v>Piensa en cambios que sí ocurren pero quedan fuera del procedimiento formal, de la autorización esperada o del registro normal. Ejemplos: alguien cambia el precio sin autorización, actualiza el estado sin documentarlo o modifica datos por fuera del flujo.</x:v>
      </x:c>
      <x:c r="J47" s="56" t="str">
        <x:v>single_choice</x:v>
      </x:c>
      <x:c r="K47" s="56" t="str">
        <x:v>single_choice</x:v>
      </x:c>
      <x:c r="L47" s="56" t="str">
        <x:v>No, todo lo que ocurre es oficial; Sí, a veces ocurren cambios no autorizados; Sí, ocurren frecuentemente</x:v>
      </x:c>
      <x:c r="M47" s="56" t="str">
        <x:v>Siempre obligatoria.</x:v>
      </x:c>
      <x:c r="N47" s="56" t="str">
        <x:v>Siempre visible.</x:v>
      </x:c>
      <x:c r="O47" s="56" t="str">
        <x:v>Si indica cambios ocultos, activa 2.12.</x:v>
      </x:c>
      <x:c r="P47" s="56" t="str">
        <x:v>visible_capture</x:v>
      </x:c>
      <x:c r="Q47" s="56" t="str">
        <x:v>DIRECT_CAPTURE_ONLY</x:v>
      </x:c>
      <x:c r="R47" s="56" t="str">
        <x:v>transformation_hidden_changes</x:v>
      </x:c>
      <x:c r="S47" s="56" t="str">
        <x:v>captured_user_evidence</x:v>
      </x:c>
      <x:c r="T47" s="56" t="str">
        <x:v>Bloque_2_Documento_Madre_Capa1_v2_1_EVE.docx</x:v>
      </x:c>
      <x:c r="U47" s="56" t="str">
        <x:v>0e134ee7e73dbb4b5b54a833712e2d15b5f03bcaf84219a50b21ab0e7ccd38cc</x:v>
      </x:c>
      <x:c r="V47" s="56" t="str">
        <x:v>Selección única</x:v>
      </x:c>
      <x:c r="W47" s="56" t="str">
        <x:v>Mostrar opciones autorizadas; permitir una sola selección; opción literal preservada.</x:v>
      </x:c>
      <x:c r="X47" s="56" t="str">
        <x:v>scalar:string</x:v>
      </x:c>
      <x:c r="Y47" s="56" t="str">
        <x:v>Campo options / catálogo dinámico rector</x:v>
      </x:c>
      <x:c r="Z47" s="56" t="str">
        <x:v>slot_ref server-issued; no mapear por label ni posición.</x:v>
      </x:c>
      <x:c r="AA47" s="56" t="str">
        <x:v>EXPLICIT_FIELD_TYPE</x:v>
      </x:c>
      <x:c r="AB47" s="56" t="str">
        <x:v>Pantalla específica Bloque 2</x:v>
      </x:c>
      <x:c r="AC47" s="66" t="str"/>
      <x:c r="AD47" s="66" t="str">
        <x:v>No evaluado</x:v>
      </x:c>
      <x:c r="AE47" s="66" t="str">
        <x:v>No evaluado</x:v>
      </x:c>
      <x:c r="AF47" s="66" t="str">
        <x:v>No evaluado</x:v>
      </x:c>
      <x:c r="AG47" s="66" t="str">
        <x:v>No ejecutado</x:v>
      </x:c>
      <x:c r="AH47" s="68" t="str">
        <x:f>IF(AND(AD47="No evaluado",AE47="No evaluado",AF47="No evaluado",AG47="No ejecutado"),"No evaluado",IF(OR(AD47="Bloqueado",AE47="Bloqueado",AF47="Bloqueado",AG47="Bloqueado"),"Bloqueado",IF(OR(AE47="No conforme",AF47="No conforme",AG47="Falló"),"No conforme",IF(AND(OR(AD47="Implementado",AD47="No aplica"),OR(AE47="Conforme",AE47="No aplica"),OR(AF47="Conforme",AF47="No aplica"),OR(AG47="Pasó",AG47="No aplica")),"Conforme","Parcial"))))</x:f>
        <x:v>No evaluado</x:v>
      </x:c>
      <x:c r="AI47" s="56" t="str">
        <x:v>No conforme</x:v>
      </x:c>
      <x:c r="AJ47" s="66" t="str"/>
      <x:c r="AK47" s="66" t="str"/>
      <x:c r="AL47" s="56" t="str">
        <x:v>VALIDATED_044A3M / 170 identity tuples</x:v>
      </x:c>
      <x:c r="AM47" s="56" t="str">
        <x:v>TR-005; TR-006; TR-008; TR-016; TR-019; TR-028; TR-029</x:v>
      </x:c>
      <x:c r="AN47" s="66" t="str"/>
    </x:row>
    <x:row r="48" ht="58" customHeight="1">
      <x:c r="A48" s="56" t="str">
        <x:v>B3-Q18</x:v>
      </x:c>
      <x:c r="B48" s="56" t="str">
        <x:v>3</x:v>
      </x:c>
      <x:c r="C48" s="56" t="str">
        <x:v>base_40</x:v>
      </x:c>
      <x:c r="D48" s="56" t="n">
        <x:v>18</x:v>
      </x:c>
      <x:c r="E48" s="56" t="n">
        <x:v>1</x:v>
      </x:c>
      <x:c r="F48" s="56" t="str">
        <x:v>B3_3_1</x:v>
      </x:c>
      <x:c r="G48" s="56" t="str">
        <x:v>3.1</x:v>
      </x:c>
      <x:c r="H48" s="56" t="str">
        <x:v>¿Qué es exactamente lo que entregas o pones a disposición de otro al terminar?</x:v>
      </x:c>
      <x:c r="I48" s="56" t="str">
        <x:v>Habla del entregable o handoff. Puede ser un pedido procesado, una factura validada, un reporte, una aprobación, un acceso habilitado o algo equivalente.</x:v>
      </x:c>
      <x:c r="J48" s="56" t="str">
        <x:v>free_text</x:v>
      </x:c>
      <x:c r="K48" s="56" t="str">
        <x:v>free_text</x:v>
      </x:c>
      <x:c r="L48" s="56" t="str">
        <x:v>N/A</x:v>
      </x:c>
      <x:c r="M48" s="56" t="str">
        <x:v>Siempre obligatoria.</x:v>
      </x:c>
      <x:c r="N48" s="56" t="str">
        <x:v>Siempre visible al iniciar el bloque.</x:v>
      </x:c>
      <x:c r="O48" s="56" t="str">
        <x:v>Sirve de contexto para 3.5, 3.7 y para validar diferencia con 2.6. Si duplica literalmente el estado final de 2.6 sin forma de handoff, puede levantar flag suave de solapamiento con Bloque 2.</x:v>
      </x:c>
      <x:c r="P48" s="56" t="str">
        <x:v>visible_capture</x:v>
      </x:c>
      <x:c r="Q48" s="56" t="str">
        <x:v>DIRECT_CAPTURE_ONLY</x:v>
      </x:c>
      <x:c r="R48" s="56" t="str">
        <x:v>output_object</x:v>
      </x:c>
      <x:c r="S48" s="56" t="str">
        <x:v>captured_user_evidence</x:v>
      </x:c>
      <x:c r="T48" s="56" t="str">
        <x:v>Bloque_3_Documento_Madre_Capa1_v2_1_EVE_rev3_alineado.docx</x:v>
      </x:c>
      <x:c r="U48" s="56" t="str">
        <x:v>1a89cff41291ec47ff29852a4f074dd1b4095fdc3772a8b98f568dc7de921b8e</x:v>
      </x:c>
      <x:c r="V48" s="56" t="str">
        <x:v>Texto libre</x:v>
      </x:c>
      <x:c r="W48" s="56" t="str">
        <x:v>Capturar texto literal sin clasificación semántica cliente.</x:v>
      </x:c>
      <x:c r="X48" s="56" t="str">
        <x:v>scalar:string</x:v>
      </x:c>
      <x:c r="Y48" s="56" t="str">
        <x:v>No aplica</x:v>
      </x:c>
      <x:c r="Z48" s="56" t="str">
        <x:v>slot_ref server-issued; valor humano únicamente.</x:v>
      </x:c>
      <x:c r="AA48" s="56" t="str">
        <x:v>EXPLICIT_FIELD_TYPE</x:v>
      </x:c>
      <x:c r="AB48" s="56" t="str">
        <x:v>Pantalla específica Bloque 3</x:v>
      </x:c>
      <x:c r="AC48" s="66" t="str"/>
      <x:c r="AD48" s="66" t="str">
        <x:v>No evaluado</x:v>
      </x:c>
      <x:c r="AE48" s="66" t="str">
        <x:v>No evaluado</x:v>
      </x:c>
      <x:c r="AF48" s="66" t="str">
        <x:v>No evaluado</x:v>
      </x:c>
      <x:c r="AG48" s="66" t="str">
        <x:v>No ejecutado</x:v>
      </x:c>
      <x:c r="AH48" s="68" t="str">
        <x:f>IF(AND(AD48="No evaluado",AE48="No evaluado",AF48="No evaluado",AG48="No ejecutado"),"No evaluado",IF(OR(AD48="Bloqueado",AE48="Bloqueado",AF48="Bloqueado",AG48="Bloqueado"),"Bloqueado",IF(OR(AE48="No conforme",AF48="No conforme",AG48="Falló"),"No conforme",IF(AND(OR(AD48="Implementado",AD48="No aplica"),OR(AE48="Conforme",AE48="No aplica"),OR(AF48="Conforme",AF48="No aplica"),OR(AG48="Pasó",AG48="No aplica")),"Conforme","Parcial"))))</x:f>
        <x:v>No evaluado</x:v>
      </x:c>
      <x:c r="AI48" s="56" t="str">
        <x:v>Compatible</x:v>
      </x:c>
      <x:c r="AJ48" s="66" t="str"/>
      <x:c r="AK48" s="66" t="str"/>
      <x:c r="AL48" s="56" t="str">
        <x:v>VALIDATED_044A3M / 170 identity tuples</x:v>
      </x:c>
      <x:c r="AM48" s="56" t="str">
        <x:v>TR-005; TR-006; TR-008; TR-016; TR-019; TR-028; TR-029</x:v>
      </x:c>
      <x:c r="AN48" s="66" t="str"/>
    </x:row>
    <x:row r="49" ht="58" customHeight="1">
      <x:c r="A49" s="56" t="str">
        <x:v>B3-Q18</x:v>
      </x:c>
      <x:c r="B49" s="56" t="str">
        <x:v>3</x:v>
      </x:c>
      <x:c r="C49" s="56" t="str">
        <x:v>base_40</x:v>
      </x:c>
      <x:c r="D49" s="56" t="n">
        <x:v>18</x:v>
      </x:c>
      <x:c r="E49" s="56" t="n">
        <x:v>2</x:v>
      </x:c>
      <x:c r="F49" s="56" t="str">
        <x:v>B3_3_2</x:v>
      </x:c>
      <x:c r="G49" s="56" t="str">
        <x:v>3.2</x:v>
      </x:c>
      <x:c r="H49" s="56" t="str">
        <x:v>¿Quién es la persona, equipo o sistema que recibe directamente lo que entregas?</x:v>
      </x:c>
      <x:c r="I49" s="56" t="str">
        <x:v>Nos interesa quién lo recibe primero, no todavía quién se beneficia al final. Si hay varios, elige la opción más cercana y especifica.</x:v>
      </x:c>
      <x:c r="J49" s="56" t="str">
        <x:v>single_choice</x:v>
      </x:c>
      <x:c r="K49" s="56" t="str">
        <x:v>single_choice</x:v>
      </x:c>
      <x:c r="L49" s="56" t="str">
        <x:v>Un compañero de mi equipo; Mi jefe o superior; Otro equipo o departamento; Un cliente externo; Un sistema o aplicación; Múltiples receptores; Otro</x:v>
      </x:c>
      <x:c r="M49" s="56" t="str">
        <x:v>Siempre obligatoria.</x:v>
      </x:c>
      <x:c r="N49" s="56" t="str">
        <x:v>Siempre visible después de 3.1.</x:v>
      </x:c>
      <x:c r="O49" s="56" t="str">
        <x:v>Si selecciona Múltiples receptores o una categoría genérica sin especificación, puede disparar 3.A. Alimenta lectura de criticidad en 3.4 y coordinación secundaria en 3.6.</x:v>
      </x:c>
      <x:c r="P49" s="56" t="str">
        <x:v>visible_capture</x:v>
      </x:c>
      <x:c r="Q49" s="56" t="str">
        <x:v>DIRECT_CAPTURE_ONLY</x:v>
      </x:c>
      <x:c r="R49" s="56" t="str">
        <x:v>primary_receiver</x:v>
      </x:c>
      <x:c r="S49" s="56" t="str">
        <x:v>captured_user_evidence</x:v>
      </x:c>
      <x:c r="T49" s="56" t="str">
        <x:v>Bloque_3_Documento_Madre_Capa1_v2_1_EVE_rev3_alineado.docx</x:v>
      </x:c>
      <x:c r="U49" s="56" t="str">
        <x:v>1a89cff41291ec47ff29852a4f074dd1b4095fdc3772a8b98f568dc7de921b8e</x:v>
      </x:c>
      <x:c r="V49" s="56" t="str">
        <x:v>Selección única</x:v>
      </x:c>
      <x:c r="W49" s="56" t="str">
        <x:v>Mostrar opciones autorizadas; permitir una sola selección; opción literal preservada.</x:v>
      </x:c>
      <x:c r="X49" s="56" t="str">
        <x:v>scalar:string</x:v>
      </x:c>
      <x:c r="Y49" s="56" t="str">
        <x:v>Campo options / catálogo dinámico rector</x:v>
      </x:c>
      <x:c r="Z49" s="56" t="str">
        <x:v>slot_ref server-issued; no mapear por label ni posición.</x:v>
      </x:c>
      <x:c r="AA49" s="56" t="str">
        <x:v>EXPLICIT_FIELD_TYPE</x:v>
      </x:c>
      <x:c r="AB49" s="56" t="str">
        <x:v>Pantalla específica Bloque 3</x:v>
      </x:c>
      <x:c r="AC49" s="66" t="str"/>
      <x:c r="AD49" s="66" t="str">
        <x:v>No evaluado</x:v>
      </x:c>
      <x:c r="AE49" s="66" t="str">
        <x:v>No evaluado</x:v>
      </x:c>
      <x:c r="AF49" s="66" t="str">
        <x:v>No evaluado</x:v>
      </x:c>
      <x:c r="AG49" s="66" t="str">
        <x:v>No ejecutado</x:v>
      </x:c>
      <x:c r="AH49" s="68" t="str">
        <x:f>IF(AND(AD49="No evaluado",AE49="No evaluado",AF49="No evaluado",AG49="No ejecutado"),"No evaluado",IF(OR(AD49="Bloqueado",AE49="Bloqueado",AF49="Bloqueado",AG49="Bloqueado"),"Bloqueado",IF(OR(AE49="No conforme",AF49="No conforme",AG49="Falló"),"No conforme",IF(AND(OR(AD49="Implementado",AD49="No aplica"),OR(AE49="Conforme",AE49="No aplica"),OR(AF49="Conforme",AF49="No aplica"),OR(AG49="Pasó",AG49="No aplica")),"Conforme","Parcial"))))</x:f>
        <x:v>No evaluado</x:v>
      </x:c>
      <x:c r="AI49" s="56" t="str">
        <x:v>No conforme</x:v>
      </x:c>
      <x:c r="AJ49" s="66" t="str"/>
      <x:c r="AK49" s="66" t="str"/>
      <x:c r="AL49" s="56" t="str">
        <x:v>VALIDATED_044A3M / 170 identity tuples</x:v>
      </x:c>
      <x:c r="AM49" s="56" t="str">
        <x:v>TR-005; TR-006; TR-008; TR-016; TR-019; TR-028; TR-029</x:v>
      </x:c>
      <x:c r="AN49" s="66" t="str"/>
    </x:row>
    <x:row r="50" ht="58" customHeight="1">
      <x:c r="A50" s="56" t="str">
        <x:v>B3-Q18</x:v>
      </x:c>
      <x:c r="B50" s="56" t="str">
        <x:v>3</x:v>
      </x:c>
      <x:c r="C50" s="56" t="str">
        <x:v>base_40</x:v>
      </x:c>
      <x:c r="D50" s="56" t="n">
        <x:v>18</x:v>
      </x:c>
      <x:c r="E50" s="56" t="n">
        <x:v>3</x:v>
      </x:c>
      <x:c r="F50" s="56" t="str">
        <x:v>B3_3_A</x:v>
      </x:c>
      <x:c r="G50" s="56" t="str">
        <x:v>3.A</x:v>
      </x:c>
      <x:c r="H50" s="56" t="str">
        <x:v>Mencionaste un receptor inmediato, pero todavía no queda claro quién recibe primero ni quién solo tiene acceso después. ¿Quién es el primer receptor real de la entrega?</x:v>
      </x:c>
      <x:c r="I50" s="56" t="str">
        <x:v>Esta aclaración busca separar el receptor inmediato de receptores secundarios o de acceso posterior.</x:v>
      </x:c>
      <x:c r="J50" s="56" t="str">
        <x:v>clarification</x:v>
      </x:c>
      <x:c r="K50" s="56" t="str">
        <x:v>clarification</x:v>
      </x:c>
      <x:c r="L50" s="56" t="str">
        <x:v>N/A</x:v>
      </x:c>
      <x:c r="M50" s="56" t="str">
        <x:v>Solo si el motor detecta ambigüedad.</x:v>
      </x:c>
      <x:c r="N50" s="56" t="str">
        <x:v>Solo por flag.</x:v>
      </x:c>
      <x:c r="O50" s="56" t="str">
        <x:v>Puede corregir primary_receiver y receiver_type.</x:v>
      </x:c>
      <x:c r="P50" s="56" t="str">
        <x:v>conditional_clarification</x:v>
      </x:c>
      <x:c r="Q50" s="56" t="str">
        <x:v>CLARIFICATION_SEPARATE</x:v>
      </x:c>
      <x:c r="R50" s="56" t="str">
        <x:v>primary_receiver_clarification</x:v>
      </x:c>
      <x:c r="S50" s="56" t="str">
        <x:v>clarification</x:v>
      </x:c>
      <x:c r="T50" s="56" t="str">
        <x:v>Bloque_3_Documento_Madre_Capa1_v2_1_EVE_rev3_alineado.docx</x:v>
      </x:c>
      <x:c r="U50" s="56" t="str">
        <x:v>1a89cff41291ec47ff29852a4f074dd1b4095fdc3772a8b98f568dc7de921b8e</x:v>
      </x:c>
      <x:c r="V50" s="56" t="str">
        <x:v>Aclaración condicional</x:v>
      </x:c>
      <x:c r="W50" s="56" t="str">
        <x:v>Mostrar solo cuando visibility/branching lo autoriza; capturar aclaración separada.</x:v>
      </x:c>
      <x:c r="X50" s="56" t="str">
        <x:v>scalar:string|null</x:v>
      </x:c>
      <x:c r="Y50" s="56" t="str">
        <x:v>Opciones rectoras si existen; de lo contrario texto</x:v>
      </x:c>
      <x:c r="Z50" s="56" t="str">
        <x:v>slot_ref condicional server-issued; no fusionar con respuesta base.</x:v>
      </x:c>
      <x:c r="AA50" s="56" t="str">
        <x:v>EXPLICIT_CONDITIONAL</x:v>
      </x:c>
      <x:c r="AB50" s="56" t="str">
        <x:v>Pantalla específica Bloque 3</x:v>
      </x:c>
      <x:c r="AC50" s="66" t="str"/>
      <x:c r="AD50" s="66" t="str">
        <x:v>No evaluado</x:v>
      </x:c>
      <x:c r="AE50" s="66" t="str">
        <x:v>No evaluado</x:v>
      </x:c>
      <x:c r="AF50" s="66" t="str">
        <x:v>No evaluado</x:v>
      </x:c>
      <x:c r="AG50" s="66" t="str">
        <x:v>No ejecutado</x:v>
      </x:c>
      <x:c r="AH50" s="68" t="str">
        <x:f>IF(AND(AD50="No evaluado",AE50="No evaluado",AF50="No evaluado",AG50="No ejecutado"),"No evaluado",IF(OR(AD50="Bloqueado",AE50="Bloqueado",AF50="Bloqueado",AG50="Bloqueado"),"Bloqueado",IF(OR(AE50="No conforme",AF50="No conforme",AG50="Falló"),"No conforme",IF(AND(OR(AD50="Implementado",AD50="No aplica"),OR(AE50="Conforme",AE50="No aplica"),OR(AF50="Conforme",AF50="No aplica"),OR(AG50="Pasó",AG50="No aplica")),"Conforme","Parcial"))))</x:f>
        <x:v>No evaluado</x:v>
      </x:c>
      <x:c r="AI50" s="56" t="str">
        <x:v>Parcial</x:v>
      </x:c>
      <x:c r="AJ50" s="66" t="str"/>
      <x:c r="AK50" s="66" t="str"/>
      <x:c r="AL50" s="56" t="str">
        <x:v>VALIDATED_044A3M / 170 identity tuples</x:v>
      </x:c>
      <x:c r="AM50" s="56" t="str">
        <x:v>TR-005; TR-006; TR-008; TR-016; TR-019; TR-028; TR-029</x:v>
      </x:c>
      <x:c r="AN50" s="66" t="str"/>
    </x:row>
    <x:row r="51" ht="58" customHeight="1">
      <x:c r="A51" s="56" t="str">
        <x:v>B3-Q19</x:v>
      </x:c>
      <x:c r="B51" s="56" t="str">
        <x:v>3</x:v>
      </x:c>
      <x:c r="C51" s="56" t="str">
        <x:v>base_40</x:v>
      </x:c>
      <x:c r="D51" s="56" t="n">
        <x:v>19</x:v>
      </x:c>
      <x:c r="E51" s="56" t="n">
        <x:v>1</x:v>
      </x:c>
      <x:c r="F51" s="56" t="str">
        <x:v>B3_3_3</x:v>
      </x:c>
      <x:c r="G51" s="56" t="str">
        <x:v>3.3</x:v>
      </x:c>
      <x:c r="H51" s="56" t="str">
        <x:v>¿Cuál es la naturaleza del receptor?</x:v>
      </x:c>
      <x:c r="I51" s="56" t="str">
        <x:v>No preguntamos el nombre, sino qué tipo de actor es: persona, equipo, área, sistema o actor externo.</x:v>
      </x:c>
      <x:c r="J51" s="56" t="str">
        <x:v>single_choice</x:v>
      </x:c>
      <x:c r="K51" s="56" t="str">
        <x:v>single_choice</x:v>
      </x:c>
      <x:c r="L51" s="56" t="str">
        <x:v>Una persona específica; Un equipo o grupo; Un departamento o área; Un sistema o aplicación; Un cliente o proveedor externo; Múltiples tipos</x:v>
      </x:c>
      <x:c r="M51" s="56" t="str">
        <x:v>Siempre obligatoria.</x:v>
      </x:c>
      <x:c r="N51" s="56" t="str">
        <x:v>Siempre visible después de 3.2.</x:v>
      </x:c>
      <x:c r="O51" s="56" t="str">
        <x:v>Si 3.2 y 3.3 se contradicen de forma fuerte, levanta flag de consistencia. Si queda múltiple o ambiguo, puede activar 3.A.</x:v>
      </x:c>
      <x:c r="P51" s="56" t="str">
        <x:v>visible_capture</x:v>
      </x:c>
      <x:c r="Q51" s="56" t="str">
        <x:v>DIRECT_CAPTURE_ONLY</x:v>
      </x:c>
      <x:c r="R51" s="56" t="str">
        <x:v>receiver_type</x:v>
      </x:c>
      <x:c r="S51" s="56" t="str">
        <x:v>captured_user_evidence</x:v>
      </x:c>
      <x:c r="T51" s="56" t="str">
        <x:v>Bloque_3_Documento_Madre_Capa1_v2_1_EVE_rev3_alineado.docx</x:v>
      </x:c>
      <x:c r="U51" s="56" t="str">
        <x:v>1a89cff41291ec47ff29852a4f074dd1b4095fdc3772a8b98f568dc7de921b8e</x:v>
      </x:c>
      <x:c r="V51" s="56" t="str">
        <x:v>Selección única</x:v>
      </x:c>
      <x:c r="W51" s="56" t="str">
        <x:v>Mostrar opciones autorizadas; permitir una sola selección; opción literal preservada.</x:v>
      </x:c>
      <x:c r="X51" s="56" t="str">
        <x:v>scalar:string</x:v>
      </x:c>
      <x:c r="Y51" s="56" t="str">
        <x:v>Campo options / catálogo dinámico rector</x:v>
      </x:c>
      <x:c r="Z51" s="56" t="str">
        <x:v>slot_ref server-issued; no mapear por label ni posición.</x:v>
      </x:c>
      <x:c r="AA51" s="56" t="str">
        <x:v>EXPLICIT_FIELD_TYPE</x:v>
      </x:c>
      <x:c r="AB51" s="56" t="str">
        <x:v>Pantalla específica Bloque 3</x:v>
      </x:c>
      <x:c r="AC51" s="66" t="str"/>
      <x:c r="AD51" s="66" t="str">
        <x:v>No evaluado</x:v>
      </x:c>
      <x:c r="AE51" s="66" t="str">
        <x:v>No evaluado</x:v>
      </x:c>
      <x:c r="AF51" s="66" t="str">
        <x:v>No evaluado</x:v>
      </x:c>
      <x:c r="AG51" s="66" t="str">
        <x:v>No ejecutado</x:v>
      </x:c>
      <x:c r="AH51" s="68" t="str">
        <x:f>IF(AND(AD51="No evaluado",AE51="No evaluado",AF51="No evaluado",AG51="No ejecutado"),"No evaluado",IF(OR(AD51="Bloqueado",AE51="Bloqueado",AF51="Bloqueado",AG51="Bloqueado"),"Bloqueado",IF(OR(AE51="No conforme",AF51="No conforme",AG51="Falló"),"No conforme",IF(AND(OR(AD51="Implementado",AD51="No aplica"),OR(AE51="Conforme",AE51="No aplica"),OR(AF51="Conforme",AF51="No aplica"),OR(AG51="Pasó",AG51="No aplica")),"Conforme","Parcial"))))</x:f>
        <x:v>No evaluado</x:v>
      </x:c>
      <x:c r="AI51" s="56" t="str">
        <x:v>No conforme</x:v>
      </x:c>
      <x:c r="AJ51" s="66" t="str"/>
      <x:c r="AK51" s="66" t="str"/>
      <x:c r="AL51" s="56" t="str">
        <x:v>VALIDATED_044A3M / 170 identity tuples</x:v>
      </x:c>
      <x:c r="AM51" s="56" t="str">
        <x:v>TR-005; TR-006; TR-008; TR-016; TR-019; TR-028; TR-029</x:v>
      </x:c>
      <x:c r="AN51" s="66" t="str"/>
    </x:row>
    <x:row r="52" ht="58" customHeight="1">
      <x:c r="A52" s="56" t="str">
        <x:v>B3-Q19</x:v>
      </x:c>
      <x:c r="B52" s="56" t="str">
        <x:v>3</x:v>
      </x:c>
      <x:c r="C52" s="56" t="str">
        <x:v>base_40</x:v>
      </x:c>
      <x:c r="D52" s="56" t="n">
        <x:v>19</x:v>
      </x:c>
      <x:c r="E52" s="56" t="n">
        <x:v>2</x:v>
      </x:c>
      <x:c r="F52" s="56" t="str">
        <x:v>B3_3_4</x:v>
      </x:c>
      <x:c r="G52" s="56" t="str">
        <x:v>3.4</x:v>
      </x:c>
      <x:c r="H52" s="56" t="str">
        <x:v>Si el receptor no recibe esto a tiempo, ¿qué pasa normalmente con su trabajo?</x:v>
      </x:c>
      <x:c r="I52" s="56" t="str">
        <x:v>Piensa en la consecuencia observable para el receptor, no en una opinión general.</x:v>
      </x:c>
      <x:c r="J52" s="56" t="str">
        <x:v>single_choice</x:v>
      </x:c>
      <x:c r="K52" s="56" t="str">
        <x:v>single_choice</x:v>
      </x:c>
      <x:c r="L52" s="56" t="str">
        <x:v>No puede continuar; Continúa, pero con retraso o retrabajo; Puede avanzar parcialmente; Casi no afecta</x:v>
      </x:c>
      <x:c r="M52" s="56" t="str">
        <x:v>Siempre obligatoria.</x:v>
      </x:c>
      <x:c r="N52" s="56" t="str">
        <x:v>Siempre visible.</x:v>
      </x:c>
      <x:c r="O52" s="56" t="str">
        <x:v>Si la dependencia es alta y 3.10 indica fallas, se fortalece huella algedónica posterior.</x:v>
      </x:c>
      <x:c r="P52" s="56" t="str">
        <x:v>visible_capture</x:v>
      </x:c>
      <x:c r="Q52" s="56" t="str">
        <x:v>DIRECT_CAPTURE_ONLY</x:v>
      </x:c>
      <x:c r="R52" s="56" t="str">
        <x:v>receiver_dependency</x:v>
      </x:c>
      <x:c r="S52" s="56" t="str">
        <x:v>captured_user_evidence</x:v>
      </x:c>
      <x:c r="T52" s="56" t="str">
        <x:v>Bloque_3_Documento_Madre_Capa1_v2_1_EVE_rev3_alineado.docx</x:v>
      </x:c>
      <x:c r="U52" s="56" t="str">
        <x:v>1a89cff41291ec47ff29852a4f074dd1b4095fdc3772a8b98f568dc7de921b8e</x:v>
      </x:c>
      <x:c r="V52" s="56" t="str">
        <x:v>Selección única</x:v>
      </x:c>
      <x:c r="W52" s="56" t="str">
        <x:v>Mostrar opciones autorizadas; permitir una sola selección; opción literal preservada.</x:v>
      </x:c>
      <x:c r="X52" s="56" t="str">
        <x:v>scalar:string</x:v>
      </x:c>
      <x:c r="Y52" s="56" t="str">
        <x:v>Campo options / catálogo dinámico rector</x:v>
      </x:c>
      <x:c r="Z52" s="56" t="str">
        <x:v>slot_ref server-issued; no mapear por label ni posición.</x:v>
      </x:c>
      <x:c r="AA52" s="56" t="str">
        <x:v>EXPLICIT_FIELD_TYPE</x:v>
      </x:c>
      <x:c r="AB52" s="56" t="str">
        <x:v>Pantalla específica Bloque 3</x:v>
      </x:c>
      <x:c r="AC52" s="66" t="str"/>
      <x:c r="AD52" s="66" t="str">
        <x:v>No evaluado</x:v>
      </x:c>
      <x:c r="AE52" s="66" t="str">
        <x:v>No evaluado</x:v>
      </x:c>
      <x:c r="AF52" s="66" t="str">
        <x:v>No evaluado</x:v>
      </x:c>
      <x:c r="AG52" s="66" t="str">
        <x:v>No ejecutado</x:v>
      </x:c>
      <x:c r="AH52" s="68" t="str">
        <x:f>IF(AND(AD52="No evaluado",AE52="No evaluado",AF52="No evaluado",AG52="No ejecutado"),"No evaluado",IF(OR(AD52="Bloqueado",AE52="Bloqueado",AF52="Bloqueado",AG52="Bloqueado"),"Bloqueado",IF(OR(AE52="No conforme",AF52="No conforme",AG52="Falló"),"No conforme",IF(AND(OR(AD52="Implementado",AD52="No aplica"),OR(AE52="Conforme",AE52="No aplica"),OR(AF52="Conforme",AF52="No aplica"),OR(AG52="Pasó",AG52="No aplica")),"Conforme","Parcial"))))</x:f>
        <x:v>No evaluado</x:v>
      </x:c>
      <x:c r="AI52" s="56" t="str">
        <x:v>No conforme</x:v>
      </x:c>
      <x:c r="AJ52" s="66" t="str"/>
      <x:c r="AK52" s="66" t="str"/>
      <x:c r="AL52" s="56" t="str">
        <x:v>VALIDATED_044A3M / 170 identity tuples</x:v>
      </x:c>
      <x:c r="AM52" s="56" t="str">
        <x:v>TR-005; TR-006; TR-008; TR-016; TR-019; TR-028; TR-029</x:v>
      </x:c>
      <x:c r="AN52" s="66" t="str"/>
    </x:row>
    <x:row r="53" ht="58" customHeight="1">
      <x:c r="A53" s="56" t="str">
        <x:v>B3-Q19</x:v>
      </x:c>
      <x:c r="B53" s="56" t="str">
        <x:v>3</x:v>
      </x:c>
      <x:c r="C53" s="56" t="str">
        <x:v>base_40</x:v>
      </x:c>
      <x:c r="D53" s="56" t="n">
        <x:v>19</x:v>
      </x:c>
      <x:c r="E53" s="56" t="n">
        <x:v>3</x:v>
      </x:c>
      <x:c r="F53" s="56" t="str">
        <x:v>B3_3_5</x:v>
      </x:c>
      <x:c r="G53" s="56" t="str">
        <x:v>3.5</x:v>
      </x:c>
      <x:c r="H53" s="56" t="str">
        <x:v>¿Qué hace el receptor con lo que le entregas? ¿Cuál es su siguiente paso?</x:v>
      </x:c>
      <x:c r="I53" s="56" t="str">
        <x:v>Describe lo que el receptor hace a continuación con lo que recibe. Ejemplos: lo registra, lo valida, lo presenta, lo envía, lo procesa, lo usa para continuar otra tarea.</x:v>
      </x:c>
      <x:c r="J53" s="56" t="str">
        <x:v>free_text</x:v>
      </x:c>
      <x:c r="K53" s="56" t="str">
        <x:v>free_text</x:v>
      </x:c>
      <x:c r="L53" s="56" t="str">
        <x:v>N/A</x:v>
      </x:c>
      <x:c r="M53" s="56" t="str">
        <x:v>Siempre obligatoria.</x:v>
      </x:c>
      <x:c r="N53" s="56" t="str">
        <x:v>Siempre visible.</x:v>
      </x:c>
      <x:c r="O53" s="56" t="str">
        <x:v>Si la respuesta es muy vaga, puede contribuir a 3.A o flag de insuficiencia del handoff.</x:v>
      </x:c>
      <x:c r="P53" s="56" t="str">
        <x:v>visible_capture</x:v>
      </x:c>
      <x:c r="Q53" s="56" t="str">
        <x:v>DIRECT_CAPTURE_ONLY</x:v>
      </x:c>
      <x:c r="R53" s="56" t="str">
        <x:v>receiver_impact</x:v>
      </x:c>
      <x:c r="S53" s="56" t="str">
        <x:v>captured_user_evidence</x:v>
      </x:c>
      <x:c r="T53" s="56" t="str">
        <x:v>Bloque_3_Documento_Madre_Capa1_v2_1_EVE_rev3_alineado.docx</x:v>
      </x:c>
      <x:c r="U53" s="56" t="str">
        <x:v>1a89cff41291ec47ff29852a4f074dd1b4095fdc3772a8b98f568dc7de921b8e</x:v>
      </x:c>
      <x:c r="V53" s="56" t="str">
        <x:v>Texto libre</x:v>
      </x:c>
      <x:c r="W53" s="56" t="str">
        <x:v>Capturar texto literal sin clasificación semántica cliente.</x:v>
      </x:c>
      <x:c r="X53" s="56" t="str">
        <x:v>scalar:string</x:v>
      </x:c>
      <x:c r="Y53" s="56" t="str">
        <x:v>No aplica</x:v>
      </x:c>
      <x:c r="Z53" s="56" t="str">
        <x:v>slot_ref server-issued; valor humano únicamente.</x:v>
      </x:c>
      <x:c r="AA53" s="56" t="str">
        <x:v>EXPLICIT_FIELD_TYPE</x:v>
      </x:c>
      <x:c r="AB53" s="56" t="str">
        <x:v>Pantalla específica Bloque 3</x:v>
      </x:c>
      <x:c r="AC53" s="66" t="str"/>
      <x:c r="AD53" s="66" t="str">
        <x:v>No evaluado</x:v>
      </x:c>
      <x:c r="AE53" s="66" t="str">
        <x:v>No evaluado</x:v>
      </x:c>
      <x:c r="AF53" s="66" t="str">
        <x:v>No evaluado</x:v>
      </x:c>
      <x:c r="AG53" s="66" t="str">
        <x:v>No ejecutado</x:v>
      </x:c>
      <x:c r="AH53" s="68" t="str">
        <x:f>IF(AND(AD53="No evaluado",AE53="No evaluado",AF53="No evaluado",AG53="No ejecutado"),"No evaluado",IF(OR(AD53="Bloqueado",AE53="Bloqueado",AF53="Bloqueado",AG53="Bloqueado"),"Bloqueado",IF(OR(AE53="No conforme",AF53="No conforme",AG53="Falló"),"No conforme",IF(AND(OR(AD53="Implementado",AD53="No aplica"),OR(AE53="Conforme",AE53="No aplica"),OR(AF53="Conforme",AF53="No aplica"),OR(AG53="Pasó",AG53="No aplica")),"Conforme","Parcial"))))</x:f>
        <x:v>No evaluado</x:v>
      </x:c>
      <x:c r="AI53" s="56" t="str">
        <x:v>Compatible</x:v>
      </x:c>
      <x:c r="AJ53" s="66" t="str"/>
      <x:c r="AK53" s="66" t="str"/>
      <x:c r="AL53" s="56" t="str">
        <x:v>VALIDATED_044A3M / 170 identity tuples</x:v>
      </x:c>
      <x:c r="AM53" s="56" t="str">
        <x:v>TR-005; TR-006; TR-008; TR-016; TR-019; TR-028; TR-029</x:v>
      </x:c>
      <x:c r="AN53" s="66" t="str"/>
    </x:row>
    <x:row r="54" ht="58" customHeight="1">
      <x:c r="A54" s="56" t="str">
        <x:v>B3-Q20</x:v>
      </x:c>
      <x:c r="B54" s="56" t="str">
        <x:v>3</x:v>
      </x:c>
      <x:c r="C54" s="56" t="str">
        <x:v>base_40</x:v>
      </x:c>
      <x:c r="D54" s="56" t="n">
        <x:v>20</x:v>
      </x:c>
      <x:c r="E54" s="56" t="n">
        <x:v>1</x:v>
      </x:c>
      <x:c r="F54" s="56" t="str">
        <x:v>B3_3_7</x:v>
      </x:c>
      <x:c r="G54" s="56" t="str">
        <x:v>3.7</x:v>
      </x:c>
      <x:c r="H54" s="56" t="str">
        <x:v>¿Qué criterios o estándares debe cumplir lo que entregas para que el receptor esté satisfecho?</x:v>
      </x:c>
      <x:c r="I54" s="56" t="str">
        <x:v>Elige lo que realmente espera el receptor para considerar que la entrega está bien. Si hace falta, agrega otro criterio específico.</x:v>
      </x:c>
      <x:c r="J54" s="56" t="str">
        <x:v>multi_choice</x:v>
      </x:c>
      <x:c r="K54" s="56" t="str">
        <x:v>multi_choice</x:v>
      </x:c>
      <x:c r="L54" s="56" t="str">
        <x:v>Completo; Exacto; A tiempo; Validado; Formateado; Documentado; Confidencial; Otro</x:v>
      </x:c>
      <x:c r="M54" s="56" t="str">
        <x:v>Siempre obligatoria.</x:v>
      </x:c>
      <x:c r="N54" s="56" t="str">
        <x:v>Siempre visible.</x:v>
      </x:c>
      <x:c r="O54" s="56" t="str">
        <x:v>Si queda demasiado genérico o no cuadra con 3.13, puede activar 3.B.</x:v>
      </x:c>
      <x:c r="P54" s="56" t="str">
        <x:v>visible_capture</x:v>
      </x:c>
      <x:c r="Q54" s="56" t="str">
        <x:v>DIRECT_CAPTURE_ONLY</x:v>
      </x:c>
      <x:c r="R54" s="56" t="str">
        <x:v>quality_criteria</x:v>
      </x:c>
      <x:c r="S54" s="56" t="str">
        <x:v>captured_user_evidence</x:v>
      </x:c>
      <x:c r="T54" s="56" t="str">
        <x:v>Bloque_3_Documento_Madre_Capa1_v2_1_EVE_rev3_alineado.docx</x:v>
      </x:c>
      <x:c r="U54" s="56" t="str">
        <x:v>1a89cff41291ec47ff29852a4f074dd1b4095fdc3772a8b98f568dc7de921b8e</x:v>
      </x:c>
      <x:c r="V54" s="56" t="str">
        <x:v>Selección múltiple</x:v>
      </x:c>
      <x:c r="W54" s="56" t="str">
        <x:v>Mostrar opciones autorizadas; preservar conjunto exacto y exclusiones rectoras.</x:v>
      </x:c>
      <x:c r="X54" s="56" t="str">
        <x:v>array&lt;string&gt;</x:v>
      </x:c>
      <x:c r="Y54" s="56" t="str">
        <x:v>Campo options rector</x:v>
      </x:c>
      <x:c r="Z54" s="56" t="str">
        <x:v>slot_ref server-issued; cada selección conserva código literal.</x:v>
      </x:c>
      <x:c r="AA54" s="56" t="str">
        <x:v>EXPLICIT_FIELD_TYPE</x:v>
      </x:c>
      <x:c r="AB54" s="56" t="str">
        <x:v>Pantalla específica Bloque 3</x:v>
      </x:c>
      <x:c r="AC54" s="66" t="str"/>
      <x:c r="AD54" s="66" t="str">
        <x:v>No evaluado</x:v>
      </x:c>
      <x:c r="AE54" s="66" t="str">
        <x:v>No evaluado</x:v>
      </x:c>
      <x:c r="AF54" s="66" t="str">
        <x:v>No evaluado</x:v>
      </x:c>
      <x:c r="AG54" s="66" t="str">
        <x:v>No ejecutado</x:v>
      </x:c>
      <x:c r="AH54" s="68" t="str">
        <x:f>IF(AND(AD54="No evaluado",AE54="No evaluado",AF54="No evaluado",AG54="No ejecutado"),"No evaluado",IF(OR(AD54="Bloqueado",AE54="Bloqueado",AF54="Bloqueado",AG54="Bloqueado"),"Bloqueado",IF(OR(AE54="No conforme",AF54="No conforme",AG54="Falló"),"No conforme",IF(AND(OR(AD54="Implementado",AD54="No aplica"),OR(AE54="Conforme",AE54="No aplica"),OR(AF54="Conforme",AF54="No aplica"),OR(AG54="Pasó",AG54="No aplica")),"Conforme","Parcial"))))</x:f>
        <x:v>No evaluado</x:v>
      </x:c>
      <x:c r="AI54" s="56" t="str">
        <x:v>No conforme</x:v>
      </x:c>
      <x:c r="AJ54" s="66" t="str"/>
      <x:c r="AK54" s="66" t="str"/>
      <x:c r="AL54" s="56" t="str">
        <x:v>VALIDATED_044A3M / 170 identity tuples</x:v>
      </x:c>
      <x:c r="AM54" s="56" t="str">
        <x:v>TR-005; TR-006; TR-008; TR-016; TR-019; TR-028; TR-029</x:v>
      </x:c>
      <x:c r="AN54" s="66" t="str"/>
    </x:row>
    <x:row r="55" ht="58" customHeight="1">
      <x:c r="A55" s="56" t="str">
        <x:v>B3-Q20</x:v>
      </x:c>
      <x:c r="B55" s="56" t="str">
        <x:v>3</x:v>
      </x:c>
      <x:c r="C55" s="56" t="str">
        <x:v>base_40</x:v>
      </x:c>
      <x:c r="D55" s="56" t="n">
        <x:v>20</x:v>
      </x:c>
      <x:c r="E55" s="56" t="n">
        <x:v>2</x:v>
      </x:c>
      <x:c r="F55" s="56" t="str">
        <x:v>B3_3_8</x:v>
      </x:c>
      <x:c r="G55" s="56" t="str">
        <x:v>3.8</x:v>
      </x:c>
      <x:c r="H55" s="56" t="str">
        <x:v>¿Cómo entregas lo que haces? ¿Por qué medio?</x:v>
      </x:c>
      <x:c r="I55" s="56" t="str">
        <x:v>Piensa en el medio principal por el que el receptor accede a la salida: sistema, email, reunión, carpeta compartida, documento físico, transferencia de datos u otro.</x:v>
      </x:c>
      <x:c r="J55" s="56" t="str">
        <x:v>single_choice</x:v>
      </x:c>
      <x:c r="K55" s="56" t="str">
        <x:v>single_choice</x:v>
      </x:c>
      <x:c r="L55" s="56" t="str">
        <x:v>Email o mensaje; Sistema o aplicación; Documento físico o impreso; Reunión o presentación verbal; Acceso a base de datos o carpeta compartida; Transferencia de datos; Otro</x:v>
      </x:c>
      <x:c r="M55" s="56" t="str">
        <x:v>Siempre obligatoria.</x:v>
      </x:c>
      <x:c r="N55" s="56" t="str">
        <x:v>Siempre visible.</x:v>
      </x:c>
      <x:c r="O55" s="56" t="str">
        <x:v>Si el mecanismo es verbal y 3.7 exige documentación/validación, levantar flag suave de riesgo de handoff.</x:v>
      </x:c>
      <x:c r="P55" s="56" t="str">
        <x:v>visible_capture</x:v>
      </x:c>
      <x:c r="Q55" s="56" t="str">
        <x:v>DIRECT_CAPTURE_ONLY</x:v>
      </x:c>
      <x:c r="R55" s="56" t="str">
        <x:v>delivery_mechanism</x:v>
      </x:c>
      <x:c r="S55" s="56" t="str">
        <x:v>captured_user_evidence</x:v>
      </x:c>
      <x:c r="T55" s="56" t="str">
        <x:v>Bloque_3_Documento_Madre_Capa1_v2_1_EVE_rev3_alineado.docx</x:v>
      </x:c>
      <x:c r="U55" s="56" t="str">
        <x:v>1a89cff41291ec47ff29852a4f074dd1b4095fdc3772a8b98f568dc7de921b8e</x:v>
      </x:c>
      <x:c r="V55" s="56" t="str">
        <x:v>Selección única</x:v>
      </x:c>
      <x:c r="W55" s="56" t="str">
        <x:v>Mostrar opciones autorizadas; permitir una sola selección; opción literal preservada.</x:v>
      </x:c>
      <x:c r="X55" s="56" t="str">
        <x:v>scalar:string</x:v>
      </x:c>
      <x:c r="Y55" s="56" t="str">
        <x:v>Campo options / catálogo dinámico rector</x:v>
      </x:c>
      <x:c r="Z55" s="56" t="str">
        <x:v>slot_ref server-issued; no mapear por label ni posición.</x:v>
      </x:c>
      <x:c r="AA55" s="56" t="str">
        <x:v>EXPLICIT_FIELD_TYPE</x:v>
      </x:c>
      <x:c r="AB55" s="56" t="str">
        <x:v>Pantalla específica Bloque 3</x:v>
      </x:c>
      <x:c r="AC55" s="66" t="str"/>
      <x:c r="AD55" s="66" t="str">
        <x:v>No evaluado</x:v>
      </x:c>
      <x:c r="AE55" s="66" t="str">
        <x:v>No evaluado</x:v>
      </x:c>
      <x:c r="AF55" s="66" t="str">
        <x:v>No evaluado</x:v>
      </x:c>
      <x:c r="AG55" s="66" t="str">
        <x:v>No ejecutado</x:v>
      </x:c>
      <x:c r="AH55" s="68" t="str">
        <x:f>IF(AND(AD55="No evaluado",AE55="No evaluado",AF55="No evaluado",AG55="No ejecutado"),"No evaluado",IF(OR(AD55="Bloqueado",AE55="Bloqueado",AF55="Bloqueado",AG55="Bloqueado"),"Bloqueado",IF(OR(AE55="No conforme",AF55="No conforme",AG55="Falló"),"No conforme",IF(AND(OR(AD55="Implementado",AD55="No aplica"),OR(AE55="Conforme",AE55="No aplica"),OR(AF55="Conforme",AF55="No aplica"),OR(AG55="Pasó",AG55="No aplica")),"Conforme","Parcial"))))</x:f>
        <x:v>No evaluado</x:v>
      </x:c>
      <x:c r="AI55" s="56" t="str">
        <x:v>No conforme</x:v>
      </x:c>
      <x:c r="AJ55" s="66" t="str"/>
      <x:c r="AK55" s="66" t="str"/>
      <x:c r="AL55" s="56" t="str">
        <x:v>VALIDATED_044A3M / 170 identity tuples</x:v>
      </x:c>
      <x:c r="AM55" s="56" t="str">
        <x:v>TR-005; TR-006; TR-008; TR-016; TR-019; TR-028; TR-029</x:v>
      </x:c>
      <x:c r="AN55" s="66" t="str"/>
    </x:row>
    <x:row r="56" ht="58" customHeight="1">
      <x:c r="A56" s="56" t="str">
        <x:v>B3-Q20</x:v>
      </x:c>
      <x:c r="B56" s="56" t="str">
        <x:v>3</x:v>
      </x:c>
      <x:c r="C56" s="56" t="str">
        <x:v>base_40</x:v>
      </x:c>
      <x:c r="D56" s="56" t="n">
        <x:v>20</x:v>
      </x:c>
      <x:c r="E56" s="56" t="n">
        <x:v>3</x:v>
      </x:c>
      <x:c r="F56" s="56" t="str">
        <x:v>B3_3_9</x:v>
      </x:c>
      <x:c r="G56" s="56" t="str">
        <x:v>3.9</x:v>
      </x:c>
      <x:c r="H56" s="56" t="str">
        <x:v>¿Con qué frecuencia entregas esto?</x:v>
      </x:c>
      <x:c r="I56" s="56" t="str">
        <x:v>Responde según la cadencia real más normal, no según una semana excepcional.</x:v>
      </x:c>
      <x:c r="J56" s="56" t="str">
        <x:v>single_choice</x:v>
      </x:c>
      <x:c r="K56" s="56" t="str">
        <x:v>single_choice</x:v>
      </x:c>
      <x:c r="L56" s="56" t="str">
        <x:v>Una sola vez; Diaria; Semanal; Mensual; Según demanda o urgencia; Continuo; Otro</x:v>
      </x:c>
      <x:c r="M56" s="56" t="str">
        <x:v>Siempre obligatoria.</x:v>
      </x:c>
      <x:c r="N56" s="56" t="str">
        <x:v>Siempre visible.</x:v>
      </x:c>
      <x:c r="O56" s="56" t="str">
        <x:v>Si la cadencia contradice fuertemente 3.1 o 3.5, levantar flag suave de consistencia.</x:v>
      </x:c>
      <x:c r="P56" s="56" t="str">
        <x:v>visible_capture</x:v>
      </x:c>
      <x:c r="Q56" s="56" t="str">
        <x:v>DIRECT_CAPTURE_ONLY</x:v>
      </x:c>
      <x:c r="R56" s="56" t="str">
        <x:v>delivery_frequency</x:v>
      </x:c>
      <x:c r="S56" s="56" t="str">
        <x:v>captured_user_evidence</x:v>
      </x:c>
      <x:c r="T56" s="56" t="str">
        <x:v>Bloque_3_Documento_Madre_Capa1_v2_1_EVE_rev3_alineado.docx</x:v>
      </x:c>
      <x:c r="U56" s="56" t="str">
        <x:v>1a89cff41291ec47ff29852a4f074dd1b4095fdc3772a8b98f568dc7de921b8e</x:v>
      </x:c>
      <x:c r="V56" s="56" t="str">
        <x:v>Selección única</x:v>
      </x:c>
      <x:c r="W56" s="56" t="str">
        <x:v>Mostrar opciones autorizadas; permitir una sola selección; opción literal preservada.</x:v>
      </x:c>
      <x:c r="X56" s="56" t="str">
        <x:v>scalar:string</x:v>
      </x:c>
      <x:c r="Y56" s="56" t="str">
        <x:v>Campo options / catálogo dinámico rector</x:v>
      </x:c>
      <x:c r="Z56" s="56" t="str">
        <x:v>slot_ref server-issued; no mapear por label ni posición.</x:v>
      </x:c>
      <x:c r="AA56" s="56" t="str">
        <x:v>EXPLICIT_FIELD_TYPE</x:v>
      </x:c>
      <x:c r="AB56" s="56" t="str">
        <x:v>Pantalla específica Bloque 3</x:v>
      </x:c>
      <x:c r="AC56" s="66" t="str"/>
      <x:c r="AD56" s="66" t="str">
        <x:v>No evaluado</x:v>
      </x:c>
      <x:c r="AE56" s="66" t="str">
        <x:v>No evaluado</x:v>
      </x:c>
      <x:c r="AF56" s="66" t="str">
        <x:v>No evaluado</x:v>
      </x:c>
      <x:c r="AG56" s="66" t="str">
        <x:v>No ejecutado</x:v>
      </x:c>
      <x:c r="AH56" s="68" t="str">
        <x:f>IF(AND(AD56="No evaluado",AE56="No evaluado",AF56="No evaluado",AG56="No ejecutado"),"No evaluado",IF(OR(AD56="Bloqueado",AE56="Bloqueado",AF56="Bloqueado",AG56="Bloqueado"),"Bloqueado",IF(OR(AE56="No conforme",AF56="No conforme",AG56="Falló"),"No conforme",IF(AND(OR(AD56="Implementado",AD56="No aplica"),OR(AE56="Conforme",AE56="No aplica"),OR(AF56="Conforme",AF56="No aplica"),OR(AG56="Pasó",AG56="No aplica")),"Conforme","Parcial"))))</x:f>
        <x:v>No evaluado</x:v>
      </x:c>
      <x:c r="AI56" s="56" t="str">
        <x:v>No conforme</x:v>
      </x:c>
      <x:c r="AJ56" s="66" t="str"/>
      <x:c r="AK56" s="66" t="str"/>
      <x:c r="AL56" s="56" t="str">
        <x:v>VALIDATED_044A3M / 170 identity tuples</x:v>
      </x:c>
      <x:c r="AM56" s="56" t="str">
        <x:v>TR-005; TR-006; TR-008; TR-016; TR-019; TR-028; TR-029</x:v>
      </x:c>
      <x:c r="AN56" s="66" t="str"/>
    </x:row>
    <x:row r="57" ht="58" customHeight="1">
      <x:c r="A57" s="56" t="str">
        <x:v>B3-Q20</x:v>
      </x:c>
      <x:c r="B57" s="56" t="str">
        <x:v>3</x:v>
      </x:c>
      <x:c r="C57" s="56" t="str">
        <x:v>base_40</x:v>
      </x:c>
      <x:c r="D57" s="56" t="n">
        <x:v>20</x:v>
      </x:c>
      <x:c r="E57" s="56" t="n">
        <x:v>4</x:v>
      </x:c>
      <x:c r="F57" s="56" t="str">
        <x:v>B3_3_B</x:v>
      </x:c>
      <x:c r="G57" s="56" t="str">
        <x:v>3.B</x:v>
      </x:c>
      <x:c r="H57" s="56" t="str">
        <x:v>Los criterios de calidad todavía se oyen muy generales. ¿Qué tendría que faltar o salir mal para que el receptor diga que esto no está bien entregado?</x:v>
      </x:c>
      <x:c r="I57" s="56" t="str">
        <x:v>Lo que lo haría rechazar tu Entrega. Ejemplo: Si la factura llega sin el número de referencia del cliente, el receptor no puede procesarla. Si el documento no tiene firma de autorización, el siguiente paso no puede comenzar</x:v>
      </x:c>
      <x:c r="J57" s="56" t="str">
        <x:v>clarification</x:v>
      </x:c>
      <x:c r="K57" s="56" t="str">
        <x:v>clarification</x:v>
      </x:c>
      <x:c r="L57" s="56" t="str">
        <x:v>N/A</x:v>
      </x:c>
      <x:c r="M57" s="56" t="str">
        <x:v>Solo si el motor detecta genericidad o inconsistencia.</x:v>
      </x:c>
      <x:c r="N57" s="56" t="str">
        <x:v>Solo por flag.</x:v>
      </x:c>
      <x:c r="O57" s="56" t="str">
        <x:v>Puede complementar quality_criteria y mejorar lectura de receiver_satisfaction.</x:v>
      </x:c>
      <x:c r="P57" s="56" t="str">
        <x:v>conditional_clarification</x:v>
      </x:c>
      <x:c r="Q57" s="56" t="str">
        <x:v>CLARIFICATION_SEPARATE</x:v>
      </x:c>
      <x:c r="R57" s="56" t="str">
        <x:v>quality_criteria_clarification</x:v>
      </x:c>
      <x:c r="S57" s="56" t="str">
        <x:v>clarification</x:v>
      </x:c>
      <x:c r="T57" s="56" t="str">
        <x:v>Bloque_3_Documento_Madre_Capa1_v2_1_EVE_rev3_alineado.docx</x:v>
      </x:c>
      <x:c r="U57" s="56" t="str">
        <x:v>1a89cff41291ec47ff29852a4f074dd1b4095fdc3772a8b98f568dc7de921b8e</x:v>
      </x:c>
      <x:c r="V57" s="56" t="str">
        <x:v>Aclaración condicional</x:v>
      </x:c>
      <x:c r="W57" s="56" t="str">
        <x:v>Mostrar solo cuando visibility/branching lo autoriza; capturar aclaración separada.</x:v>
      </x:c>
      <x:c r="X57" s="56" t="str">
        <x:v>scalar:string|null</x:v>
      </x:c>
      <x:c r="Y57" s="56" t="str">
        <x:v>Opciones rectoras si existen; de lo contrario texto</x:v>
      </x:c>
      <x:c r="Z57" s="56" t="str">
        <x:v>slot_ref condicional server-issued; no fusionar con respuesta base.</x:v>
      </x:c>
      <x:c r="AA57" s="56" t="str">
        <x:v>EXPLICIT_CONDITIONAL</x:v>
      </x:c>
      <x:c r="AB57" s="56" t="str">
        <x:v>Pantalla específica Bloque 3</x:v>
      </x:c>
      <x:c r="AC57" s="66" t="str"/>
      <x:c r="AD57" s="66" t="str">
        <x:v>No evaluado</x:v>
      </x:c>
      <x:c r="AE57" s="66" t="str">
        <x:v>No evaluado</x:v>
      </x:c>
      <x:c r="AF57" s="66" t="str">
        <x:v>No evaluado</x:v>
      </x:c>
      <x:c r="AG57" s="66" t="str">
        <x:v>No ejecutado</x:v>
      </x:c>
      <x:c r="AH57" s="68" t="str">
        <x:f>IF(AND(AD57="No evaluado",AE57="No evaluado",AF57="No evaluado",AG57="No ejecutado"),"No evaluado",IF(OR(AD57="Bloqueado",AE57="Bloqueado",AF57="Bloqueado",AG57="Bloqueado"),"Bloqueado",IF(OR(AE57="No conforme",AF57="No conforme",AG57="Falló"),"No conforme",IF(AND(OR(AD57="Implementado",AD57="No aplica"),OR(AE57="Conforme",AE57="No aplica"),OR(AF57="Conforme",AF57="No aplica"),OR(AG57="Pasó",AG57="No aplica")),"Conforme","Parcial"))))</x:f>
        <x:v>No evaluado</x:v>
      </x:c>
      <x:c r="AI57" s="56" t="str">
        <x:v>Parcial</x:v>
      </x:c>
      <x:c r="AJ57" s="66" t="str"/>
      <x:c r="AK57" s="66" t="str"/>
      <x:c r="AL57" s="56" t="str">
        <x:v>VALIDATED_044A3M / 170 identity tuples</x:v>
      </x:c>
      <x:c r="AM57" s="56" t="str">
        <x:v>TR-005; TR-006; TR-008; TR-016; TR-019; TR-028; TR-029</x:v>
      </x:c>
      <x:c r="AN57" s="66" t="str"/>
    </x:row>
    <x:row r="58" ht="58" customHeight="1">
      <x:c r="A58" s="56" t="str">
        <x:v>B3-Q21</x:v>
      </x:c>
      <x:c r="B58" s="56" t="str">
        <x:v>3</x:v>
      </x:c>
      <x:c r="C58" s="56" t="str">
        <x:v>base_40</x:v>
      </x:c>
      <x:c r="D58" s="56" t="n">
        <x:v>21</x:v>
      </x:c>
      <x:c r="E58" s="56" t="n">
        <x:v>1</x:v>
      </x:c>
      <x:c r="F58" s="56" t="str">
        <x:v>B3_3_10</x:v>
      </x:c>
      <x:c r="G58" s="56" t="str">
        <x:v>3.10</x:v>
      </x:c>
      <x:c r="H58" s="56" t="str">
        <x:v>¿Hay momentos en que lo que entregas no cumple lo esperado o no llega al receptor?</x:v>
      </x:c>
      <x:c r="I58" s="56" t="str">
        <x:v>Piensa en la realidad operativa, no en el procedimiento ideal.</x:v>
      </x:c>
      <x:c r="J58" s="56" t="str">
        <x:v>single_choice</x:v>
      </x:c>
      <x:c r="K58" s="56" t="str">
        <x:v>single_choice</x:v>
      </x:c>
      <x:c r="L58" s="56" t="str">
        <x:v>No, siempre llega como se espera; Sí, a veces hay problemas pero es raro; Sí, hay problemas regularmente; Sí, hay problemas frecuentemente</x:v>
      </x:c>
      <x:c r="M58" s="56" t="str">
        <x:v>Siempre obligatoria.</x:v>
      </x:c>
      <x:c r="N58" s="56" t="str">
        <x:v>Siempre visible.</x:v>
      </x:c>
      <x:c r="O58" s="56" t="str">
        <x:v>Si 3.10 indica que la entrega falla, llega incompleta, llega tarde, llega duplicada, no cumple criterios, genera corrección o requiere compensación del receptor, se activa el subflujo de excepción de salida: 3.11 para tipificar el problema, 3.12 para describir impacto o compensación, 3.13 para registrar satisfacción/aceptación del receptor y 3.13a para capturar feedback operativo visible del receptor.
La activación de 3.13a no depende de que el usuario use la palabra “feedback”. Se activa por existencia de falla de entrega y busca capturar cómo el receptor avisa, rechaza, devuelve, corrige, pide cambio, bloquea, recontacta, actualiza o escala.</x:v>
      </x:c>
      <x:c r="P58" s="56" t="str">
        <x:v>visible_capture</x:v>
      </x:c>
      <x:c r="Q58" s="56" t="str">
        <x:v>DIRECT_CAPTURE_WITH_EXPLICIT_DERIVATION</x:v>
      </x:c>
      <x:c r="R58" s="56" t="str">
        <x:v>delivery_exception_exists</x:v>
      </x:c>
      <x:c r="S58" s="56" t="str">
        <x:v>captured_user_evidence + canonical_derivation</x:v>
      </x:c>
      <x:c r="T58" s="56" t="str">
        <x:v>Bloque_3_Documento_Madre_Capa1_v2_1_EVE_rev3_alineado.docx</x:v>
      </x:c>
      <x:c r="U58" s="56" t="str">
        <x:v>1a89cff41291ec47ff29852a4f074dd1b4095fdc3772a8b98f568dc7de921b8e</x:v>
      </x:c>
      <x:c r="V58" s="56" t="str">
        <x:v>Selección única</x:v>
      </x:c>
      <x:c r="W58" s="56" t="str">
        <x:v>Mostrar opciones autorizadas; permitir una sola selección; opción literal preservada.</x:v>
      </x:c>
      <x:c r="X58" s="56" t="str">
        <x:v>scalar:string</x:v>
      </x:c>
      <x:c r="Y58" s="56" t="str">
        <x:v>Campo options / catálogo dinámico rector</x:v>
      </x:c>
      <x:c r="Z58" s="56" t="str">
        <x:v>slot_ref server-issued; no mapear por label ni posición.</x:v>
      </x:c>
      <x:c r="AA58" s="56" t="str">
        <x:v>EXPLICIT_FIELD_TYPE</x:v>
      </x:c>
      <x:c r="AB58" s="56" t="str">
        <x:v>Pantalla específica Bloque 3</x:v>
      </x:c>
      <x:c r="AC58" s="66" t="str"/>
      <x:c r="AD58" s="66" t="str">
        <x:v>No evaluado</x:v>
      </x:c>
      <x:c r="AE58" s="66" t="str">
        <x:v>No evaluado</x:v>
      </x:c>
      <x:c r="AF58" s="66" t="str">
        <x:v>No evaluado</x:v>
      </x:c>
      <x:c r="AG58" s="66" t="str">
        <x:v>No ejecutado</x:v>
      </x:c>
      <x:c r="AH58" s="68" t="str">
        <x:f>IF(AND(AD58="No evaluado",AE58="No evaluado",AF58="No evaluado",AG58="No ejecutado"),"No evaluado",IF(OR(AD58="Bloqueado",AE58="Bloqueado",AF58="Bloqueado",AG58="Bloqueado"),"Bloqueado",IF(OR(AE58="No conforme",AF58="No conforme",AG58="Falló"),"No conforme",IF(AND(OR(AD58="Implementado",AD58="No aplica"),OR(AE58="Conforme",AE58="No aplica"),OR(AF58="Conforme",AF58="No aplica"),OR(AG58="Pasó",AG58="No aplica")),"Conforme","Parcial"))))</x:f>
        <x:v>No evaluado</x:v>
      </x:c>
      <x:c r="AI58" s="56" t="str">
        <x:v>No conforme</x:v>
      </x:c>
      <x:c r="AJ58" s="66" t="str"/>
      <x:c r="AK58" s="66" t="str"/>
      <x:c r="AL58" s="56" t="str">
        <x:v>VALIDATED_044A3M / 170 identity tuples</x:v>
      </x:c>
      <x:c r="AM58" s="56" t="str">
        <x:v>TR-005; TR-006; TR-008; TR-016; TR-019; TR-028; TR-029</x:v>
      </x:c>
      <x:c r="AN58" s="66" t="str"/>
    </x:row>
    <x:row r="59" ht="58" customHeight="1">
      <x:c r="A59" s="56" t="str">
        <x:v>B3-Q22</x:v>
      </x:c>
      <x:c r="B59" s="56" t="str">
        <x:v>3</x:v>
      </x:c>
      <x:c r="C59" s="56" t="str">
        <x:v>base_40</x:v>
      </x:c>
      <x:c r="D59" s="56" t="n">
        <x:v>22</x:v>
      </x:c>
      <x:c r="E59" s="56" t="n">
        <x:v>1</x:v>
      </x:c>
      <x:c r="F59" s="56" t="str">
        <x:v>B3_3_13</x:v>
      </x:c>
      <x:c r="G59" s="56" t="str">
        <x:v>3.13</x:v>
      </x:c>
      <x:c r="H59" s="56" t="str">
        <x:v>En general, cuando entregas esto, ¿el receptor lo acepta, pide ajustes menores, solicita correcciones o lo rechaza/devuelve?</x:v>
      </x:c>
      <x:c r="I59" s="56" t="str">
        <x:v>Piensa en la aceptación habitual del receptor: si lo recibe sin cambios, pide aclaraciones menores, solicita correcciones o lo rechaza/devuelve. No describas aquí cómo avisa un error operativo; eso se captura en la siguiente pregunta.</x:v>
      </x:c>
      <x:c r="J59" s="56" t="str">
        <x:v>single_choice</x:v>
      </x:c>
      <x:c r="K59" s="56" t="str">
        <x:v>single_choice</x:v>
      </x:c>
      <x:c r="L59" s="56" t="str">
        <x:v>Lo acepta sin cambios; A veces pide aclaraciones menores; Pide correcciones con cierta frecuencia; Frecuentemente lo rechaza o lo devuelve</x:v>
      </x:c>
      <x:c r="M59" s="56" t="str">
        <x:v>Siempre obligatoria.</x:v>
      </x:c>
      <x:c r="N59" s="56" t="str">
        <x:v>Siempre visible.</x:v>
      </x:c>
      <x:c r="O59" s="56" t="str">
        <x:v>Si la respuesta es muy negativa y 3.10 dice que no hay problemas, levantar flag de consistencia; puede contribuir a 3.B.</x:v>
      </x:c>
      <x:c r="P59" s="56" t="str">
        <x:v>visible_capture</x:v>
      </x:c>
      <x:c r="Q59" s="56" t="str">
        <x:v>DIRECT_CAPTURE_ONLY</x:v>
      </x:c>
      <x:c r="R59" s="56" t="str">
        <x:v>receiver_satisfaction</x:v>
      </x:c>
      <x:c r="S59" s="56" t="str">
        <x:v>captured_user_evidence</x:v>
      </x:c>
      <x:c r="T59" s="56" t="str">
        <x:v>Bloque_3_Documento_Madre_Capa1_v2_1_EVE_rev3_alineado.docx</x:v>
      </x:c>
      <x:c r="U59" s="56" t="str">
        <x:v>1a89cff41291ec47ff29852a4f074dd1b4095fdc3772a8b98f568dc7de921b8e</x:v>
      </x:c>
      <x:c r="V59" s="56" t="str">
        <x:v>Selección única</x:v>
      </x:c>
      <x:c r="W59" s="56" t="str">
        <x:v>Mostrar opciones autorizadas; permitir una sola selección; opción literal preservada.</x:v>
      </x:c>
      <x:c r="X59" s="56" t="str">
        <x:v>scalar:string</x:v>
      </x:c>
      <x:c r="Y59" s="56" t="str">
        <x:v>Campo options / catálogo dinámico rector</x:v>
      </x:c>
      <x:c r="Z59" s="56" t="str">
        <x:v>slot_ref server-issued; no mapear por label ni posición.</x:v>
      </x:c>
      <x:c r="AA59" s="56" t="str">
        <x:v>EXPLICIT_FIELD_TYPE</x:v>
      </x:c>
      <x:c r="AB59" s="56" t="str">
        <x:v>Pantalla específica Bloque 3</x:v>
      </x:c>
      <x:c r="AC59" s="66" t="str"/>
      <x:c r="AD59" s="66" t="str">
        <x:v>No evaluado</x:v>
      </x:c>
      <x:c r="AE59" s="66" t="str">
        <x:v>No evaluado</x:v>
      </x:c>
      <x:c r="AF59" s="66" t="str">
        <x:v>No evaluado</x:v>
      </x:c>
      <x:c r="AG59" s="66" t="str">
        <x:v>No ejecutado</x:v>
      </x:c>
      <x:c r="AH59" s="68" t="str">
        <x:f>IF(AND(AD59="No evaluado",AE59="No evaluado",AF59="No evaluado",AG59="No ejecutado"),"No evaluado",IF(OR(AD59="Bloqueado",AE59="Bloqueado",AF59="Bloqueado",AG59="Bloqueado"),"Bloqueado",IF(OR(AE59="No conforme",AF59="No conforme",AG59="Falló"),"No conforme",IF(AND(OR(AD59="Implementado",AD59="No aplica"),OR(AE59="Conforme",AE59="No aplica"),OR(AF59="Conforme",AF59="No aplica"),OR(AG59="Pasó",AG59="No aplica")),"Conforme","Parcial"))))</x:f>
        <x:v>No evaluado</x:v>
      </x:c>
      <x:c r="AI59" s="56" t="str">
        <x:v>No conforme</x:v>
      </x:c>
      <x:c r="AJ59" s="66" t="str"/>
      <x:c r="AK59" s="66" t="str"/>
      <x:c r="AL59" s="56" t="str">
        <x:v>VALIDATED_044A3M / 170 identity tuples</x:v>
      </x:c>
      <x:c r="AM59" s="56" t="str">
        <x:v>TR-005; TR-006; TR-008; TR-016; TR-019; TR-028; TR-029</x:v>
      </x:c>
      <x:c r="AN59" s="66" t="str"/>
    </x:row>
    <x:row r="60" ht="58" customHeight="1">
      <x:c r="A60" s="56" t="str">
        <x:v>B3-Q22</x:v>
      </x:c>
      <x:c r="B60" s="56" t="str">
        <x:v>3</x:v>
      </x:c>
      <x:c r="C60" s="56" t="str">
        <x:v>base_40</x:v>
      </x:c>
      <x:c r="D60" s="56" t="n">
        <x:v>22</x:v>
      </x:c>
      <x:c r="E60" s="56" t="n">
        <x:v>2</x:v>
      </x:c>
      <x:c r="F60" s="56" t="str">
        <x:v>B3_3_14</x:v>
      </x:c>
      <x:c r="G60" s="56" t="str">
        <x:v>3.14</x:v>
      </x:c>
      <x:c r="H60" s="56" t="str">
        <x:v>¿Ha cambiado algo recientemente en cómo entregas, a quién entregas o qué criterios se esperan?</x:v>
      </x:c>
      <x:c r="I60" s="56" t="str">
        <x:v>Marca la opción que más se acerque. Si hubo múltiples cambios, especifícalos brevemente.</x:v>
      </x:c>
      <x:c r="J60" s="56" t="str">
        <x:v>single_choice</x:v>
      </x:c>
      <x:c r="K60" s="56" t="str">
        <x:v>single_choice</x:v>
      </x:c>
      <x:c r="L60" s="56" t="str">
        <x:v>No, todo sigue igual; Sí, cambió quién recibe; Sí, cambió cómo se entrega; Sí, cambiaron los criterios de calidad esperada; Sí, cambió la frecuencia; Sí, múltiples cambios</x:v>
      </x:c>
      <x:c r="M60" s="56" t="str">
        <x:v>Siempre obligatoria.</x:v>
      </x:c>
      <x:c r="N60" s="56" t="str">
        <x:v>Siempre visible al cierre del bloque.</x:v>
      </x:c>
      <x:c r="O60" s="56" t="str">
        <x:v>Si hubo cambios múltiples sin especificación suficiente, puede dejar flag suave para revisión manual o adaptación posterior.</x:v>
      </x:c>
      <x:c r="P60" s="56" t="str">
        <x:v>visible_capture</x:v>
      </x:c>
      <x:c r="Q60" s="56" t="str">
        <x:v>DIRECT_CAPTURE_ONLY</x:v>
      </x:c>
      <x:c r="R60" s="56" t="str">
        <x:v>recent_delivery_changes</x:v>
      </x:c>
      <x:c r="S60" s="56" t="str">
        <x:v>captured_user_evidence</x:v>
      </x:c>
      <x:c r="T60" s="56" t="str">
        <x:v>Bloque_3_Documento_Madre_Capa1_v2_1_EVE_rev3_alineado.docx</x:v>
      </x:c>
      <x:c r="U60" s="56" t="str">
        <x:v>1a89cff41291ec47ff29852a4f074dd1b4095fdc3772a8b98f568dc7de921b8e</x:v>
      </x:c>
      <x:c r="V60" s="56" t="str">
        <x:v>Selección única</x:v>
      </x:c>
      <x:c r="W60" s="56" t="str">
        <x:v>Mostrar opciones autorizadas; permitir una sola selección; opción literal preservada.</x:v>
      </x:c>
      <x:c r="X60" s="56" t="str">
        <x:v>scalar:string</x:v>
      </x:c>
      <x:c r="Y60" s="56" t="str">
        <x:v>Campo options / catálogo dinámico rector</x:v>
      </x:c>
      <x:c r="Z60" s="56" t="str">
        <x:v>slot_ref server-issued; no mapear por label ni posición.</x:v>
      </x:c>
      <x:c r="AA60" s="56" t="str">
        <x:v>EXPLICIT_FIELD_TYPE</x:v>
      </x:c>
      <x:c r="AB60" s="56" t="str">
        <x:v>Pantalla específica Bloque 3</x:v>
      </x:c>
      <x:c r="AC60" s="66" t="str"/>
      <x:c r="AD60" s="66" t="str">
        <x:v>No evaluado</x:v>
      </x:c>
      <x:c r="AE60" s="66" t="str">
        <x:v>No evaluado</x:v>
      </x:c>
      <x:c r="AF60" s="66" t="str">
        <x:v>No evaluado</x:v>
      </x:c>
      <x:c r="AG60" s="66" t="str">
        <x:v>No ejecutado</x:v>
      </x:c>
      <x:c r="AH60" s="68" t="str">
        <x:f>IF(AND(AD60="No evaluado",AE60="No evaluado",AF60="No evaluado",AG60="No ejecutado"),"No evaluado",IF(OR(AD60="Bloqueado",AE60="Bloqueado",AF60="Bloqueado",AG60="Bloqueado"),"Bloqueado",IF(OR(AE60="No conforme",AF60="No conforme",AG60="Falló"),"No conforme",IF(AND(OR(AD60="Implementado",AD60="No aplica"),OR(AE60="Conforme",AE60="No aplica"),OR(AF60="Conforme",AF60="No aplica"),OR(AG60="Pasó",AG60="No aplica")),"Conforme","Parcial"))))</x:f>
        <x:v>No evaluado</x:v>
      </x:c>
      <x:c r="AI60" s="56" t="str">
        <x:v>No conforme</x:v>
      </x:c>
      <x:c r="AJ60" s="66" t="str"/>
      <x:c r="AK60" s="66" t="str"/>
      <x:c r="AL60" s="56" t="str">
        <x:v>VALIDATED_044A3M / 170 identity tuples</x:v>
      </x:c>
      <x:c r="AM60" s="56" t="str">
        <x:v>TR-005; TR-006; TR-008; TR-016; TR-019; TR-028; TR-029</x:v>
      </x:c>
      <x:c r="AN60" s="66" t="str"/>
    </x:row>
    <x:row r="61" ht="58" customHeight="1">
      <x:c r="A61" s="56" t="str">
        <x:v>B4-Q23</x:v>
      </x:c>
      <x:c r="B61" s="56" t="str">
        <x:v>4</x:v>
      </x:c>
      <x:c r="C61" s="56" t="str">
        <x:v>base_40</x:v>
      </x:c>
      <x:c r="D61" s="56" t="n">
        <x:v>23</x:v>
      </x:c>
      <x:c r="E61" s="56" t="n">
        <x:v>1</x:v>
      </x:c>
      <x:c r="F61" s="56" t="str">
        <x:v>B4_4_1</x:v>
      </x:c>
      <x:c r="G61" s="56" t="str">
        <x:v>4.1</x:v>
      </x:c>
      <x:c r="H61" s="56" t="str">
        <x:v>Antes de poder iniciar esta actividad, ¿qué TIENE que haber ocurrido o qué insumo TIENE que estar listo?</x:v>
      </x:c>
      <x:c r="I61" s="56" t="str">
        <x:v>Marca todo lo que de verdad tenga que estar listo antes de empezar. Si hace falta, agrega un detalle concreto en texto abierto.</x:v>
      </x:c>
      <x:c r="J61" s="56" t="str">
        <x:v>multi_choice</x:v>
      </x:c>
      <x:c r="K61" s="56" t="str">
        <x:v>multi_choice</x:v>
      </x:c>
      <x:c r="L61" s="56" t="str">
        <x:v>Una aprobación o autorización de alguien; Información o datos de otro equipo; Completación de una actividad previa; Un evento externo; Un sistema o herramienta disponible; Otro</x:v>
      </x:c>
      <x:c r="M61" s="56" t="str">
        <x:v>Obligatoria.</x:v>
      </x:c>
      <x:c r="N61" s="56" t="str">
        <x:v>Siempre visible al iniciar el bloque.</x:v>
      </x:c>
      <x:c r="O61" s="56" t="str">
        <x:v>No activa subpregunta propia; puede activar 4.A si la respuesta queda demasiado genérica o vacía.</x:v>
      </x:c>
      <x:c r="P61" s="56" t="str">
        <x:v>visible_capture</x:v>
      </x:c>
      <x:c r="Q61" s="56" t="str">
        <x:v>DIRECT_CAPTURE_ONLY</x:v>
      </x:c>
      <x:c r="R61" s="56" t="str">
        <x:v>dependency_previous</x:v>
      </x:c>
      <x:c r="S61" s="56" t="str">
        <x:v>captured_user_evidence</x:v>
      </x:c>
      <x:c r="T61" s="56" t="str">
        <x:v>Bloque_4_Documento_Madre_Capa1_v2_1_EVE.docx</x:v>
      </x:c>
      <x:c r="U61" s="56" t="str">
        <x:v>b4dab985a18b32383fc8bb968cc41cab2781bbb50f9d53af834cb40d182d87c6</x:v>
      </x:c>
      <x:c r="V61" s="56" t="str">
        <x:v>Selección múltiple</x:v>
      </x:c>
      <x:c r="W61" s="56" t="str">
        <x:v>Mostrar opciones autorizadas; preservar conjunto exacto y exclusiones rectoras.</x:v>
      </x:c>
      <x:c r="X61" s="56" t="str">
        <x:v>array&lt;string&gt;</x:v>
      </x:c>
      <x:c r="Y61" s="56" t="str">
        <x:v>Campo options rector</x:v>
      </x:c>
      <x:c r="Z61" s="56" t="str">
        <x:v>slot_ref server-issued; cada selección conserva código literal.</x:v>
      </x:c>
      <x:c r="AA61" s="56" t="str">
        <x:v>EXPLICIT_FIELD_TYPE</x:v>
      </x:c>
      <x:c r="AB61" s="56" t="str">
        <x:v>Pantalla específica Bloque 4</x:v>
      </x:c>
      <x:c r="AC61" s="66" t="str"/>
      <x:c r="AD61" s="66" t="str">
        <x:v>No evaluado</x:v>
      </x:c>
      <x:c r="AE61" s="66" t="str">
        <x:v>No evaluado</x:v>
      </x:c>
      <x:c r="AF61" s="66" t="str">
        <x:v>No evaluado</x:v>
      </x:c>
      <x:c r="AG61" s="66" t="str">
        <x:v>No ejecutado</x:v>
      </x:c>
      <x:c r="AH61" s="68" t="str">
        <x:f>IF(AND(AD61="No evaluado",AE61="No evaluado",AF61="No evaluado",AG61="No ejecutado"),"No evaluado",IF(OR(AD61="Bloqueado",AE61="Bloqueado",AF61="Bloqueado",AG61="Bloqueado"),"Bloqueado",IF(OR(AE61="No conforme",AF61="No conforme",AG61="Falló"),"No conforme",IF(AND(OR(AD61="Implementado",AD61="No aplica"),OR(AE61="Conforme",AE61="No aplica"),OR(AF61="Conforme",AF61="No aplica"),OR(AG61="Pasó",AG61="No aplica")),"Conforme","Parcial"))))</x:f>
        <x:v>No evaluado</x:v>
      </x:c>
      <x:c r="AI61" s="56" t="str">
        <x:v>No conforme</x:v>
      </x:c>
      <x:c r="AJ61" s="66" t="str"/>
      <x:c r="AK61" s="66" t="str"/>
      <x:c r="AL61" s="56" t="str">
        <x:v>VALIDATED_044A3M / 170 identity tuples</x:v>
      </x:c>
      <x:c r="AM61" s="56" t="str">
        <x:v>TR-005; TR-006; TR-008; TR-016; TR-019; TR-028; TR-029</x:v>
      </x:c>
      <x:c r="AN61" s="66" t="str"/>
    </x:row>
    <x:row r="62" ht="58" customHeight="1">
      <x:c r="A62" s="56" t="str">
        <x:v>B4-Q23</x:v>
      </x:c>
      <x:c r="B62" s="56" t="str">
        <x:v>4</x:v>
      </x:c>
      <x:c r="C62" s="56" t="str">
        <x:v>base_40</x:v>
      </x:c>
      <x:c r="D62" s="56" t="n">
        <x:v>23</x:v>
      </x:c>
      <x:c r="E62" s="56" t="n">
        <x:v>2</x:v>
      </x:c>
      <x:c r="F62" s="56" t="str">
        <x:v>B4_4_2</x:v>
      </x:c>
      <x:c r="G62" s="56" t="str">
        <x:v>4.2</x:v>
      </x:c>
      <x:c r="H62" s="56" t="str">
        <x:v>Si esta actividad no se terminara hoy, ¿quién o qué quedaría detenido o no podría avanzar?</x:v>
      </x:c>
      <x:c r="I62" s="56" t="str">
        <x:v>Piensa en quién se queda esperando de verdad si esto no termina. Puede ser un equipo, un sistema, un cliente o incluso tu propio siguiente paso.</x:v>
      </x:c>
      <x:c r="J62" s="56" t="str">
        <x:v>multi_choice</x:v>
      </x:c>
      <x:c r="K62" s="56" t="str">
        <x:v>multi_choice</x:v>
      </x:c>
      <x:c r="L62" s="56" t="str">
        <x:v>Otro equipo o área; Un cliente; Un proceso automático o sistema; Mi propio siguiente paso; Varias personas/equipos al mismo tiempo; Nadie de inmediato, pero se acumula después; Otro</x:v>
      </x:c>
      <x:c r="M62" s="56" t="str">
        <x:v>Obligatoria.</x:v>
      </x:c>
      <x:c r="N62" s="56" t="str">
        <x:v>Siempre.</x:v>
      </x:c>
      <x:c r="O62" s="56" t="str">
        <x:v>Puede activar 4.A si no se distingue bien el actor o la acumulación posterior.</x:v>
      </x:c>
      <x:c r="P62" s="56" t="str">
        <x:v>visible_capture</x:v>
      </x:c>
      <x:c r="Q62" s="56" t="str">
        <x:v>DIRECT_CAPTURE_ONLY</x:v>
      </x:c>
      <x:c r="R62" s="56" t="str">
        <x:v>dependency_next</x:v>
      </x:c>
      <x:c r="S62" s="56" t="str">
        <x:v>captured_user_evidence</x:v>
      </x:c>
      <x:c r="T62" s="56" t="str">
        <x:v>Bloque_4_Documento_Madre_Capa1_v2_1_EVE.docx</x:v>
      </x:c>
      <x:c r="U62" s="56" t="str">
        <x:v>b4dab985a18b32383fc8bb968cc41cab2781bbb50f9d53af834cb40d182d87c6</x:v>
      </x:c>
      <x:c r="V62" s="56" t="str">
        <x:v>Selección múltiple</x:v>
      </x:c>
      <x:c r="W62" s="56" t="str">
        <x:v>Mostrar opciones autorizadas; preservar conjunto exacto y exclusiones rectoras.</x:v>
      </x:c>
      <x:c r="X62" s="56" t="str">
        <x:v>array&lt;string&gt;</x:v>
      </x:c>
      <x:c r="Y62" s="56" t="str">
        <x:v>Campo options rector</x:v>
      </x:c>
      <x:c r="Z62" s="56" t="str">
        <x:v>slot_ref server-issued; cada selección conserva código literal.</x:v>
      </x:c>
      <x:c r="AA62" s="56" t="str">
        <x:v>EXPLICIT_FIELD_TYPE</x:v>
      </x:c>
      <x:c r="AB62" s="56" t="str">
        <x:v>Pantalla específica Bloque 4</x:v>
      </x:c>
      <x:c r="AC62" s="66" t="str"/>
      <x:c r="AD62" s="66" t="str">
        <x:v>No evaluado</x:v>
      </x:c>
      <x:c r="AE62" s="66" t="str">
        <x:v>No evaluado</x:v>
      </x:c>
      <x:c r="AF62" s="66" t="str">
        <x:v>No evaluado</x:v>
      </x:c>
      <x:c r="AG62" s="66" t="str">
        <x:v>No ejecutado</x:v>
      </x:c>
      <x:c r="AH62" s="68" t="str">
        <x:f>IF(AND(AD62="No evaluado",AE62="No evaluado",AF62="No evaluado",AG62="No ejecutado"),"No evaluado",IF(OR(AD62="Bloqueado",AE62="Bloqueado",AF62="Bloqueado",AG62="Bloqueado"),"Bloqueado",IF(OR(AE62="No conforme",AF62="No conforme",AG62="Falló"),"No conforme",IF(AND(OR(AD62="Implementado",AD62="No aplica"),OR(AE62="Conforme",AE62="No aplica"),OR(AF62="Conforme",AF62="No aplica"),OR(AG62="Pasó",AG62="No aplica")),"Conforme","Parcial"))))</x:f>
        <x:v>No evaluado</x:v>
      </x:c>
      <x:c r="AI62" s="56" t="str">
        <x:v>No conforme</x:v>
      </x:c>
      <x:c r="AJ62" s="66" t="str"/>
      <x:c r="AK62" s="66" t="str"/>
      <x:c r="AL62" s="56" t="str">
        <x:v>VALIDATED_044A3M / 170 identity tuples</x:v>
      </x:c>
      <x:c r="AM62" s="56" t="str">
        <x:v>TR-005; TR-006; TR-008; TR-016; TR-019; TR-028; TR-029</x:v>
      </x:c>
      <x:c r="AN62" s="66" t="str"/>
    </x:row>
    <x:row r="63" ht="58" customHeight="1">
      <x:c r="A63" s="56" t="str">
        <x:v>B4-Q23</x:v>
      </x:c>
      <x:c r="B63" s="56" t="str">
        <x:v>4</x:v>
      </x:c>
      <x:c r="C63" s="56" t="str">
        <x:v>base_40</x:v>
      </x:c>
      <x:c r="D63" s="56" t="n">
        <x:v>23</x:v>
      </x:c>
      <x:c r="E63" s="56" t="n">
        <x:v>3</x:v>
      </x:c>
      <x:c r="F63" s="56" t="str">
        <x:v>B4_4_A</x:v>
      </x:c>
      <x:c r="G63" s="56" t="str">
        <x:v>4.A</x:v>
      </x:c>
      <x:c r="H63" s="56" t="str">
        <x:v>Lo que respondiste sobre lo que tiene que estar listo antes o quién queda detenido después todavía está muy general. ¿Cuál es el ejemplo más concreto que mejor lo muestra?</x:v>
      </x:c>
      <x:c r="I63" s="56" t="str">
        <x:v>Necesitamos un ejemplo puntual para que la dependencia no quede demasiado abstracta. Ejemplo: Antes: El cliente debe confirmar su dirección en el formulario. Después: Si no confirma, yo no puedo generar la etiqueta de envío y el repartidor se queda esperando</x:v>
      </x:c>
      <x:c r="J63" s="56" t="str">
        <x:v>free_text</x:v>
      </x:c>
      <x:c r="K63" s="56" t="str">
        <x:v>clarification</x:v>
      </x:c>
      <x:c r="L63" s="56" t="str">
        <x:v>N/A</x:v>
      </x:c>
      <x:c r="M63" s="56" t="str">
        <x:v>Solo si el motor detecta genericidad.</x:v>
      </x:c>
      <x:c r="N63" s="56" t="str">
        <x:v>Por flag.</x:v>
      </x:c>
      <x:c r="O63" s="56" t="str">
        <x:v>Densifica dependency_previous o dependency_next sin sustituir evidencia original.</x:v>
      </x:c>
      <x:c r="P63" s="56" t="str">
        <x:v>conditional_clarification</x:v>
      </x:c>
      <x:c r="Q63" s="56" t="str">
        <x:v>CLARIFICATION_SEPARATE</x:v>
      </x:c>
      <x:c r="R63" s="56" t="str">
        <x:v>flow_dependency_clarification</x:v>
      </x:c>
      <x:c r="S63" s="56" t="str">
        <x:v>clarification</x:v>
      </x:c>
      <x:c r="T63" s="56" t="str">
        <x:v>Bloque_4_Documento_Madre_Capa1_v2_1_EVE.docx</x:v>
      </x:c>
      <x:c r="U63" s="56" t="str">
        <x:v>b4dab985a18b32383fc8bb968cc41cab2781bbb50f9d53af834cb40d182d87c6</x:v>
      </x:c>
      <x:c r="V63" s="56" t="str">
        <x:v>Texto libre</x:v>
      </x:c>
      <x:c r="W63" s="56" t="str">
        <x:v>Capturar texto literal sin clasificación semántica cliente.</x:v>
      </x:c>
      <x:c r="X63" s="56" t="str">
        <x:v>scalar:string</x:v>
      </x:c>
      <x:c r="Y63" s="56" t="str">
        <x:v>No aplica</x:v>
      </x:c>
      <x:c r="Z63" s="56" t="str">
        <x:v>slot_ref server-issued; valor humano únicamente.</x:v>
      </x:c>
      <x:c r="AA63" s="56" t="str">
        <x:v>EXPLICIT_FIELD_TYPE</x:v>
      </x:c>
      <x:c r="AB63" s="56" t="str">
        <x:v>Pantalla específica Bloque 4</x:v>
      </x:c>
      <x:c r="AC63" s="66" t="str"/>
      <x:c r="AD63" s="66" t="str">
        <x:v>No evaluado</x:v>
      </x:c>
      <x:c r="AE63" s="66" t="str">
        <x:v>No evaluado</x:v>
      </x:c>
      <x:c r="AF63" s="66" t="str">
        <x:v>No evaluado</x:v>
      </x:c>
      <x:c r="AG63" s="66" t="str">
        <x:v>No ejecutado</x:v>
      </x:c>
      <x:c r="AH63" s="68" t="str">
        <x:f>IF(AND(AD63="No evaluado",AE63="No evaluado",AF63="No evaluado",AG63="No ejecutado"),"No evaluado",IF(OR(AD63="Bloqueado",AE63="Bloqueado",AF63="Bloqueado",AG63="Bloqueado"),"Bloqueado",IF(OR(AE63="No conforme",AF63="No conforme",AG63="Falló"),"No conforme",IF(AND(OR(AD63="Implementado",AD63="No aplica"),OR(AE63="Conforme",AE63="No aplica"),OR(AF63="Conforme",AF63="No aplica"),OR(AG63="Pasó",AG63="No aplica")),"Conforme","Parcial"))))</x:f>
        <x:v>No evaluado</x:v>
      </x:c>
      <x:c r="AI63" s="56" t="str">
        <x:v>Compatible</x:v>
      </x:c>
      <x:c r="AJ63" s="66" t="str"/>
      <x:c r="AK63" s="66" t="str"/>
      <x:c r="AL63" s="56" t="str">
        <x:v>VALIDATED_044A3M / 170 identity tuples</x:v>
      </x:c>
      <x:c r="AM63" s="56" t="str">
        <x:v>TR-005; TR-006; TR-008; TR-016; TR-019; TR-028; TR-029</x:v>
      </x:c>
      <x:c r="AN63" s="66" t="str"/>
    </x:row>
    <x:row r="64" ht="58" customHeight="1">
      <x:c r="A64" s="56" t="str">
        <x:v>B4-Q24</x:v>
      </x:c>
      <x:c r="B64" s="56" t="str">
        <x:v>4</x:v>
      </x:c>
      <x:c r="C64" s="56" t="str">
        <x:v>base_40</x:v>
      </x:c>
      <x:c r="D64" s="56" t="n">
        <x:v>24</x:v>
      </x:c>
      <x:c r="E64" s="56" t="n">
        <x:v>1</x:v>
      </x:c>
      <x:c r="F64" s="56" t="str">
        <x:v>B4_4_3</x:v>
      </x:c>
      <x:c r="G64" s="56" t="str">
        <x:v>4.3</x:v>
      </x:c>
      <x:c r="H64" s="56" t="str">
        <x:v>En la realidad, ¿cuánto tiempo típicamente PASA entre que terminas esta actividad y que el siguiente paso puede iniciarse?</x:v>
      </x:c>
      <x:c r="I64" s="56" t="str">
        <x:v>Responde según lo que ocurre normalmente en la práctica, incluyendo esperas por revisión, aprobación o disponibilidad.</x:v>
      </x:c>
      <x:c r="J64" s="56" t="str">
        <x:v>single_choice</x:v>
      </x:c>
      <x:c r="K64" s="56" t="str">
        <x:v>single_choice</x:v>
      </x:c>
      <x:c r="L64" s="56" t="str">
        <x:v>Inmediato (sin espera); Horas; Un día; Varios días (2-5); Una semana o más</x:v>
      </x:c>
      <x:c r="M64" s="56" t="str">
        <x:v>Obligatoria.</x:v>
      </x:c>
      <x:c r="N64" s="56" t="str">
        <x:v>Siempre.</x:v>
      </x:c>
      <x:c r="O64" s="56" t="str">
        <x:v>Se cruza con 4.4, 4.5 y 4.13 para consistencia.</x:v>
      </x:c>
      <x:c r="P64" s="56" t="str">
        <x:v>visible_capture</x:v>
      </x:c>
      <x:c r="Q64" s="56" t="str">
        <x:v>DIRECT_CAPTURE_ONLY</x:v>
      </x:c>
      <x:c r="R64" s="56" t="str">
        <x:v>wait_time</x:v>
      </x:c>
      <x:c r="S64" s="56" t="str">
        <x:v>captured_user_evidence</x:v>
      </x:c>
      <x:c r="T64" s="56" t="str">
        <x:v>Bloque_4_Documento_Madre_Capa1_v2_1_EVE.docx</x:v>
      </x:c>
      <x:c r="U64" s="56" t="str">
        <x:v>b4dab985a18b32383fc8bb968cc41cab2781bbb50f9d53af834cb40d182d87c6</x:v>
      </x:c>
      <x:c r="V64" s="56" t="str">
        <x:v>Selección única</x:v>
      </x:c>
      <x:c r="W64" s="56" t="str">
        <x:v>Mostrar opciones autorizadas; permitir una sola selección; opción literal preservada.</x:v>
      </x:c>
      <x:c r="X64" s="56" t="str">
        <x:v>scalar:string</x:v>
      </x:c>
      <x:c r="Y64" s="56" t="str">
        <x:v>Campo options / catálogo dinámico rector</x:v>
      </x:c>
      <x:c r="Z64" s="56" t="str">
        <x:v>slot_ref server-issued; no mapear por label ni posición.</x:v>
      </x:c>
      <x:c r="AA64" s="56" t="str">
        <x:v>EXPLICIT_FIELD_TYPE</x:v>
      </x:c>
      <x:c r="AB64" s="56" t="str">
        <x:v>Pantalla específica Bloque 4</x:v>
      </x:c>
      <x:c r="AC64" s="66" t="str"/>
      <x:c r="AD64" s="66" t="str">
        <x:v>No evaluado</x:v>
      </x:c>
      <x:c r="AE64" s="66" t="str">
        <x:v>No evaluado</x:v>
      </x:c>
      <x:c r="AF64" s="66" t="str">
        <x:v>No evaluado</x:v>
      </x:c>
      <x:c r="AG64" s="66" t="str">
        <x:v>No ejecutado</x:v>
      </x:c>
      <x:c r="AH64" s="68" t="str">
        <x:f>IF(AND(AD64="No evaluado",AE64="No evaluado",AF64="No evaluado",AG64="No ejecutado"),"No evaluado",IF(OR(AD64="Bloqueado",AE64="Bloqueado",AF64="Bloqueado",AG64="Bloqueado"),"Bloqueado",IF(OR(AE64="No conforme",AF64="No conforme",AG64="Falló"),"No conforme",IF(AND(OR(AD64="Implementado",AD64="No aplica"),OR(AE64="Conforme",AE64="No aplica"),OR(AF64="Conforme",AF64="No aplica"),OR(AG64="Pasó",AG64="No aplica")),"Conforme","Parcial"))))</x:f>
        <x:v>No evaluado</x:v>
      </x:c>
      <x:c r="AI64" s="56" t="str">
        <x:v>No conforme</x:v>
      </x:c>
      <x:c r="AJ64" s="66" t="str"/>
      <x:c r="AK64" s="66" t="str"/>
      <x:c r="AL64" s="56" t="str">
        <x:v>VALIDATED_044A3M / 170 identity tuples</x:v>
      </x:c>
      <x:c r="AM64" s="56" t="str">
        <x:v>TR-005; TR-006; TR-008; TR-016; TR-019; TR-028; TR-029</x:v>
      </x:c>
      <x:c r="AN64" s="66" t="str"/>
    </x:row>
    <x:row r="65" ht="58" customHeight="1">
      <x:c r="A65" s="56" t="str">
        <x:v>B4-Q24</x:v>
      </x:c>
      <x:c r="B65" s="56" t="str">
        <x:v>4</x:v>
      </x:c>
      <x:c r="C65" s="56" t="str">
        <x:v>base_40</x:v>
      </x:c>
      <x:c r="D65" s="56" t="n">
        <x:v>24</x:v>
      </x:c>
      <x:c r="E65" s="56" t="n">
        <x:v>2</x:v>
      </x:c>
      <x:c r="F65" s="56" t="str">
        <x:v>B4_4_4</x:v>
      </x:c>
      <x:c r="G65" s="56" t="str">
        <x:v>4.4</x:v>
      </x:c>
      <x:c r="H65" s="56" t="str">
        <x:v>¿Hay un momento específico (fecha, hora, día de la semana, frecuencia) que gatilla que esta actividad DEBA iniciarse?</x:v>
      </x:c>
      <x:c r="I65" s="56" t="str">
        <x:v>Marca la opción más cercana. Si depende de otra condición temporal específica, usa Otro y descríbela.</x:v>
      </x:c>
      <x:c r="J65" s="56" t="str">
        <x:v>single_choice</x:v>
      </x:c>
      <x:c r="K65" s="56" t="str">
        <x:v>single_choice</x:v>
      </x:c>
      <x:c r="L65" s="56" t="str">
        <x:v>No, se inicia cuando llega el insumo o se lo pide alguien; Sí, cada día a una hora específica; Sí, cada semana en un día específico; Sí, cada mes en una fecha específica; Sí, cuando vence un plazo o SLA; Sí, cuando se cumple una condición de tiempo; Otro</x:v>
      </x:c>
      <x:c r="M65" s="56" t="str">
        <x:v>Obligatoria.</x:v>
      </x:c>
      <x:c r="N65" s="56" t="str">
        <x:v>Siempre.</x:v>
      </x:c>
      <x:c r="O65" s="56" t="str">
        <x:v>Puede activar 4.C si contradice radicalmente 4.3 o el resto del flujo temporal.</x:v>
      </x:c>
      <x:c r="P65" s="56" t="str">
        <x:v>visible_capture</x:v>
      </x:c>
      <x:c r="Q65" s="56" t="str">
        <x:v>DIRECT_CAPTURE_ONLY</x:v>
      </x:c>
      <x:c r="R65" s="56" t="str">
        <x:v>time_event</x:v>
      </x:c>
      <x:c r="S65" s="56" t="str">
        <x:v>captured_user_evidence</x:v>
      </x:c>
      <x:c r="T65" s="56" t="str">
        <x:v>Bloque_4_Documento_Madre_Capa1_v2_1_EVE.docx</x:v>
      </x:c>
      <x:c r="U65" s="56" t="str">
        <x:v>b4dab985a18b32383fc8bb968cc41cab2781bbb50f9d53af834cb40d182d87c6</x:v>
      </x:c>
      <x:c r="V65" s="56" t="str">
        <x:v>Selección única</x:v>
      </x:c>
      <x:c r="W65" s="56" t="str">
        <x:v>Mostrar opciones autorizadas; permitir una sola selección; opción literal preservada.</x:v>
      </x:c>
      <x:c r="X65" s="56" t="str">
        <x:v>scalar:string</x:v>
      </x:c>
      <x:c r="Y65" s="56" t="str">
        <x:v>Campo options / catálogo dinámico rector</x:v>
      </x:c>
      <x:c r="Z65" s="56" t="str">
        <x:v>slot_ref server-issued; no mapear por label ni posición.</x:v>
      </x:c>
      <x:c r="AA65" s="56" t="str">
        <x:v>EXPLICIT_FIELD_TYPE</x:v>
      </x:c>
      <x:c r="AB65" s="56" t="str">
        <x:v>Pantalla específica Bloque 4</x:v>
      </x:c>
      <x:c r="AC65" s="66" t="str"/>
      <x:c r="AD65" s="66" t="str">
        <x:v>No evaluado</x:v>
      </x:c>
      <x:c r="AE65" s="66" t="str">
        <x:v>No evaluado</x:v>
      </x:c>
      <x:c r="AF65" s="66" t="str">
        <x:v>No evaluado</x:v>
      </x:c>
      <x:c r="AG65" s="66" t="str">
        <x:v>No ejecutado</x:v>
      </x:c>
      <x:c r="AH65" s="68" t="str">
        <x:f>IF(AND(AD65="No evaluado",AE65="No evaluado",AF65="No evaluado",AG65="No ejecutado"),"No evaluado",IF(OR(AD65="Bloqueado",AE65="Bloqueado",AF65="Bloqueado",AG65="Bloqueado"),"Bloqueado",IF(OR(AE65="No conforme",AF65="No conforme",AG65="Falló"),"No conforme",IF(AND(OR(AD65="Implementado",AD65="No aplica"),OR(AE65="Conforme",AE65="No aplica"),OR(AF65="Conforme",AF65="No aplica"),OR(AG65="Pasó",AG65="No aplica")),"Conforme","Parcial"))))</x:f>
        <x:v>No evaluado</x:v>
      </x:c>
      <x:c r="AI65" s="56" t="str">
        <x:v>No conforme</x:v>
      </x:c>
      <x:c r="AJ65" s="66" t="str"/>
      <x:c r="AK65" s="66" t="str"/>
      <x:c r="AL65" s="56" t="str">
        <x:v>VALIDATED_044A3M / 170 identity tuples</x:v>
      </x:c>
      <x:c r="AM65" s="56" t="str">
        <x:v>TR-005; TR-006; TR-008; TR-016; TR-019; TR-028; TR-029</x:v>
      </x:c>
      <x:c r="AN65" s="66" t="str"/>
    </x:row>
    <x:row r="66" ht="58" customHeight="1">
      <x:c r="A66" s="56" t="str">
        <x:v>B4-Q24</x:v>
      </x:c>
      <x:c r="B66" s="56" t="str">
        <x:v>4</x:v>
      </x:c>
      <x:c r="C66" s="56" t="str">
        <x:v>base_40</x:v>
      </x:c>
      <x:c r="D66" s="56" t="n">
        <x:v>24</x:v>
      </x:c>
      <x:c r="E66" s="56" t="n">
        <x:v>3</x:v>
      </x:c>
      <x:c r="F66" s="56" t="str">
        <x:v>B4_4_5</x:v>
      </x:c>
      <x:c r="G66" s="56" t="str">
        <x:v>4.5</x:v>
      </x:c>
      <x:c r="H66" s="56" t="str">
        <x:v>¿Hay un escenario donde esta actividad podría quedarse BLOQUEADA esperando algo que nunca llega o que se olvidan de enviar?</x:v>
      </x:c>
      <x:c r="I66" s="56" t="str">
        <x:v>Piensa en bloqueos reales, no solo retrasos menores. La pregunta busca saber si el proceso puede quedar esperando indefinidamente o casi.</x:v>
      </x:c>
      <x:c r="J66" s="56" t="str">
        <x:v>single_choice</x:v>
      </x:c>
      <x:c r="K66" s="56" t="str">
        <x:v>single_choice</x:v>
      </x:c>
      <x:c r="L66" s="56" t="str">
        <x:v>No, hay un timeout o alguien se da cuenta si se retrasa; Sí, a veces queda bloqueada y tengo que ir a preguntar; Sí, frecuentemente queda bloqueada y nadie se da cuenta; Sí, hay momentos donde el sistema se queda en un ciclo infinito</x:v>
      </x:c>
      <x:c r="M66" s="56" t="str">
        <x:v>Obligatoria.</x:v>
      </x:c>
      <x:c r="N66" s="56" t="str">
        <x:v>Siempre.</x:v>
      </x:c>
      <x:c r="O66" s="56" t="str">
        <x:v>Si indica bloqueo, mostrar 4.5b. Puede activar 4.C si la respuesta contradice el resto del bloque.</x:v>
      </x:c>
      <x:c r="P66" s="56" t="str">
        <x:v>visible_capture</x:v>
      </x:c>
      <x:c r="Q66" s="56" t="str">
        <x:v>DIRECT_CAPTURE_ONLY</x:v>
      </x:c>
      <x:c r="R66" s="56" t="str">
        <x:v>deadlock_risk</x:v>
      </x:c>
      <x:c r="S66" s="56" t="str">
        <x:v>captured_user_evidence</x:v>
      </x:c>
      <x:c r="T66" s="56" t="str">
        <x:v>Bloque_4_Documento_Madre_Capa1_v2_1_EVE.docx</x:v>
      </x:c>
      <x:c r="U66" s="56" t="str">
        <x:v>b4dab985a18b32383fc8bb968cc41cab2781bbb50f9d53af834cb40d182d87c6</x:v>
      </x:c>
      <x:c r="V66" s="56" t="str">
        <x:v>Selección única</x:v>
      </x:c>
      <x:c r="W66" s="56" t="str">
        <x:v>Mostrar opciones autorizadas; permitir una sola selección; opción literal preservada.</x:v>
      </x:c>
      <x:c r="X66" s="56" t="str">
        <x:v>scalar:string</x:v>
      </x:c>
      <x:c r="Y66" s="56" t="str">
        <x:v>Campo options / catálogo dinámico rector</x:v>
      </x:c>
      <x:c r="Z66" s="56" t="str">
        <x:v>slot_ref server-issued; no mapear por label ni posición.</x:v>
      </x:c>
      <x:c r="AA66" s="56" t="str">
        <x:v>EXPLICIT_FIELD_TYPE</x:v>
      </x:c>
      <x:c r="AB66" s="56" t="str">
        <x:v>Pantalla específica Bloque 4</x:v>
      </x:c>
      <x:c r="AC66" s="66" t="str"/>
      <x:c r="AD66" s="66" t="str">
        <x:v>No evaluado</x:v>
      </x:c>
      <x:c r="AE66" s="66" t="str">
        <x:v>No evaluado</x:v>
      </x:c>
      <x:c r="AF66" s="66" t="str">
        <x:v>No evaluado</x:v>
      </x:c>
      <x:c r="AG66" s="66" t="str">
        <x:v>No ejecutado</x:v>
      </x:c>
      <x:c r="AH66" s="68" t="str">
        <x:f>IF(AND(AD66="No evaluado",AE66="No evaluado",AF66="No evaluado",AG66="No ejecutado"),"No evaluado",IF(OR(AD66="Bloqueado",AE66="Bloqueado",AF66="Bloqueado",AG66="Bloqueado"),"Bloqueado",IF(OR(AE66="No conforme",AF66="No conforme",AG66="Falló"),"No conforme",IF(AND(OR(AD66="Implementado",AD66="No aplica"),OR(AE66="Conforme",AE66="No aplica"),OR(AF66="Conforme",AF66="No aplica"),OR(AG66="Pasó",AG66="No aplica")),"Conforme","Parcial"))))</x:f>
        <x:v>No evaluado</x:v>
      </x:c>
      <x:c r="AI66" s="56" t="str">
        <x:v>No conforme</x:v>
      </x:c>
      <x:c r="AJ66" s="66" t="str"/>
      <x:c r="AK66" s="66" t="str"/>
      <x:c r="AL66" s="56" t="str">
        <x:v>VALIDATED_044A3M / 170 identity tuples</x:v>
      </x:c>
      <x:c r="AM66" s="56" t="str">
        <x:v>TR-005; TR-006; TR-008; TR-016; TR-019; TR-028; TR-029</x:v>
      </x:c>
      <x:c r="AN66" s="66" t="str"/>
    </x:row>
    <x:row r="67" ht="58" customHeight="1">
      <x:c r="A67" s="56" t="str">
        <x:v>B4-Q25</x:v>
      </x:c>
      <x:c r="B67" s="56" t="str">
        <x:v>4</x:v>
      </x:c>
      <x:c r="C67" s="56" t="str">
        <x:v>base_40</x:v>
      </x:c>
      <x:c r="D67" s="56" t="n">
        <x:v>25</x:v>
      </x:c>
      <x:c r="E67" s="56" t="n">
        <x:v>1</x:v>
      </x:c>
      <x:c r="F67" s="56" t="str">
        <x:v>B4_4_6</x:v>
      </x:c>
      <x:c r="G67" s="56" t="str">
        <x:v>4.6</x:v>
      </x:c>
      <x:c r="H67" s="56" t="str">
        <x:v>¿Esta actividad se repite múltiples veces en un ciclo?</x:v>
      </x:c>
      <x:c r="I67" s="56" t="str">
        <x:v>Piensa si dentro de un mismo ciclo haces esta actividad una sola vez o varias veces seguidas / repetidas.</x:v>
      </x:c>
      <x:c r="J67" s="56" t="str">
        <x:v>single_choice</x:v>
      </x:c>
      <x:c r="K67" s="56" t="str">
        <x:v>single_choice</x:v>
      </x:c>
      <x:c r="L67" s="56" t="str">
        <x:v>No, se hace una sola vez; Sí, pero el número de repeticiones varía mucho; Sí, típicamente se repite 2-5 veces; Sí, típicamente se repite 6-20 veces; Sí, típicamente se repite más de 20 veces</x:v>
      </x:c>
      <x:c r="M67" s="56" t="str">
        <x:v>Obligatoria.</x:v>
      </x:c>
      <x:c r="N67" s="56" t="str">
        <x:v>Siempre.</x:v>
      </x:c>
      <x:c r="O67" s="56" t="str">
        <x:v>Si la respuesta indica repetición, mostrar 4.6b.</x:v>
      </x:c>
      <x:c r="P67" s="56" t="str">
        <x:v>visible_capture</x:v>
      </x:c>
      <x:c r="Q67" s="56" t="str">
        <x:v>DIRECT_CAPTURE_ONLY</x:v>
      </x:c>
      <x:c r="R67" s="56" t="str">
        <x:v>iteration_pattern</x:v>
      </x:c>
      <x:c r="S67" s="56" t="str">
        <x:v>captured_user_evidence</x:v>
      </x:c>
      <x:c r="T67" s="56" t="str">
        <x:v>Bloque_4_Documento_Madre_Capa1_v2_1_EVE.docx</x:v>
      </x:c>
      <x:c r="U67" s="56" t="str">
        <x:v>b4dab985a18b32383fc8bb968cc41cab2781bbb50f9d53af834cb40d182d87c6</x:v>
      </x:c>
      <x:c r="V67" s="56" t="str">
        <x:v>Selección única</x:v>
      </x:c>
      <x:c r="W67" s="56" t="str">
        <x:v>Mostrar opciones autorizadas; permitir una sola selección; opción literal preservada.</x:v>
      </x:c>
      <x:c r="X67" s="56" t="str">
        <x:v>scalar:string</x:v>
      </x:c>
      <x:c r="Y67" s="56" t="str">
        <x:v>Campo options / catálogo dinámico rector</x:v>
      </x:c>
      <x:c r="Z67" s="56" t="str">
        <x:v>slot_ref server-issued; no mapear por label ni posición.</x:v>
      </x:c>
      <x:c r="AA67" s="56" t="str">
        <x:v>EXPLICIT_FIELD_TYPE</x:v>
      </x:c>
      <x:c r="AB67" s="56" t="str">
        <x:v>Pantalla específica Bloque 4</x:v>
      </x:c>
      <x:c r="AC67" s="66" t="str"/>
      <x:c r="AD67" s="66" t="str">
        <x:v>No evaluado</x:v>
      </x:c>
      <x:c r="AE67" s="66" t="str">
        <x:v>No evaluado</x:v>
      </x:c>
      <x:c r="AF67" s="66" t="str">
        <x:v>No evaluado</x:v>
      </x:c>
      <x:c r="AG67" s="66" t="str">
        <x:v>No ejecutado</x:v>
      </x:c>
      <x:c r="AH67" s="68" t="str">
        <x:f>IF(AND(AD67="No evaluado",AE67="No evaluado",AF67="No evaluado",AG67="No ejecutado"),"No evaluado",IF(OR(AD67="Bloqueado",AE67="Bloqueado",AF67="Bloqueado",AG67="Bloqueado"),"Bloqueado",IF(OR(AE67="No conforme",AF67="No conforme",AG67="Falló"),"No conforme",IF(AND(OR(AD67="Implementado",AD67="No aplica"),OR(AE67="Conforme",AE67="No aplica"),OR(AF67="Conforme",AF67="No aplica"),OR(AG67="Pasó",AG67="No aplica")),"Conforme","Parcial"))))</x:f>
        <x:v>No evaluado</x:v>
      </x:c>
      <x:c r="AI67" s="56" t="str">
        <x:v>No conforme</x:v>
      </x:c>
      <x:c r="AJ67" s="66" t="str"/>
      <x:c r="AK67" s="66" t="str"/>
      <x:c r="AL67" s="56" t="str">
        <x:v>VALIDATED_044A3M / 170 identity tuples</x:v>
      </x:c>
      <x:c r="AM67" s="56" t="str">
        <x:v>TR-005; TR-006; TR-008; TR-016; TR-019; TR-028; TR-029</x:v>
      </x:c>
      <x:c r="AN67" s="66" t="str"/>
    </x:row>
    <x:row r="68" ht="58" customHeight="1">
      <x:c r="A68" s="56" t="str">
        <x:v>B4-Q26</x:v>
      </x:c>
      <x:c r="B68" s="56" t="str">
        <x:v>4</x:v>
      </x:c>
      <x:c r="C68" s="56" t="str">
        <x:v>base_40</x:v>
      </x:c>
      <x:c r="D68" s="56" t="n">
        <x:v>26</x:v>
      </x:c>
      <x:c r="E68" s="56" t="n">
        <x:v>1</x:v>
      </x:c>
      <x:c r="F68" s="56" t="str">
        <x:v>B4_4_7</x:v>
      </x:c>
      <x:c r="G68" s="56" t="str">
        <x:v>4.7</x:v>
      </x:c>
      <x:c r="H68" s="56" t="str">
        <x:v>¿Hay decisiones o puntos donde el proceso puede tomar DIFERENTES CAMINOS según la situación?</x:v>
      </x:c>
      <x:c r="I68" s="56" t="str">
        <x:v>Marca las fuentes principales de variación de ruta. Si ninguna aplica, marca que siempre es el mismo camino.</x:v>
      </x:c>
      <x:c r="J68" s="56" t="str">
        <x:v>multi_choice</x:v>
      </x:c>
      <x:c r="K68" s="56" t="str">
        <x:v>multi_choice</x:v>
      </x:c>
      <x:c r="L68" s="56" t="str">
        <x:v>Sí, según el tipo de cliente o proyecto; Sí, según el monto o importancia; Sí, según si hay errores o excepciones; Sí, según una decisión de mi jefe; Sí, según una regla o política; No, siempre es el mismo camino</x:v>
      </x:c>
      <x:c r="M68" s="56" t="str">
        <x:v>Obligatoria.</x:v>
      </x:c>
      <x:c r="N68" s="56" t="str">
        <x:v>Siempre.</x:v>
      </x:c>
      <x:c r="O68" s="56" t="str">
        <x:v>Si selecciona cualquier opción afirmativa, mostrar 4.7b.</x:v>
      </x:c>
      <x:c r="P68" s="56" t="str">
        <x:v>visible_capture</x:v>
      </x:c>
      <x:c r="Q68" s="56" t="str">
        <x:v>DIRECT_CAPTURE_ONLY</x:v>
      </x:c>
      <x:c r="R68" s="56" t="str">
        <x:v>route_alternatives</x:v>
      </x:c>
      <x:c r="S68" s="56" t="str">
        <x:v>captured_user_evidence</x:v>
      </x:c>
      <x:c r="T68" s="56" t="str">
        <x:v>Bloque_4_Documento_Madre_Capa1_v2_1_EVE.docx</x:v>
      </x:c>
      <x:c r="U68" s="56" t="str">
        <x:v>b4dab985a18b32383fc8bb968cc41cab2781bbb50f9d53af834cb40d182d87c6</x:v>
      </x:c>
      <x:c r="V68" s="56" t="str">
        <x:v>Selección múltiple</x:v>
      </x:c>
      <x:c r="W68" s="56" t="str">
        <x:v>Mostrar opciones autorizadas; preservar conjunto exacto y exclusiones rectoras.</x:v>
      </x:c>
      <x:c r="X68" s="56" t="str">
        <x:v>array&lt;string&gt;</x:v>
      </x:c>
      <x:c r="Y68" s="56" t="str">
        <x:v>Campo options rector</x:v>
      </x:c>
      <x:c r="Z68" s="56" t="str">
        <x:v>slot_ref server-issued; cada selección conserva código literal.</x:v>
      </x:c>
      <x:c r="AA68" s="56" t="str">
        <x:v>EXPLICIT_FIELD_TYPE</x:v>
      </x:c>
      <x:c r="AB68" s="56" t="str">
        <x:v>Pantalla específica Bloque 4</x:v>
      </x:c>
      <x:c r="AC68" s="66" t="str"/>
      <x:c r="AD68" s="66" t="str">
        <x:v>No evaluado</x:v>
      </x:c>
      <x:c r="AE68" s="66" t="str">
        <x:v>No evaluado</x:v>
      </x:c>
      <x:c r="AF68" s="66" t="str">
        <x:v>No evaluado</x:v>
      </x:c>
      <x:c r="AG68" s="66" t="str">
        <x:v>No ejecutado</x:v>
      </x:c>
      <x:c r="AH68" s="68" t="str">
        <x:f>IF(AND(AD68="No evaluado",AE68="No evaluado",AF68="No evaluado",AG68="No ejecutado"),"No evaluado",IF(OR(AD68="Bloqueado",AE68="Bloqueado",AF68="Bloqueado",AG68="Bloqueado"),"Bloqueado",IF(OR(AE68="No conforme",AF68="No conforme",AG68="Falló"),"No conforme",IF(AND(OR(AD68="Implementado",AD68="No aplica"),OR(AE68="Conforme",AE68="No aplica"),OR(AF68="Conforme",AF68="No aplica"),OR(AG68="Pasó",AG68="No aplica")),"Conforme","Parcial"))))</x:f>
        <x:v>No evaluado</x:v>
      </x:c>
      <x:c r="AI68" s="56" t="str">
        <x:v>No conforme</x:v>
      </x:c>
      <x:c r="AJ68" s="66" t="str"/>
      <x:c r="AK68" s="66" t="str"/>
      <x:c r="AL68" s="56" t="str">
        <x:v>VALIDATED_044A3M / 170 identity tuples</x:v>
      </x:c>
      <x:c r="AM68" s="56" t="str">
        <x:v>TR-005; TR-006; TR-008; TR-016; TR-019; TR-028; TR-029</x:v>
      </x:c>
      <x:c r="AN68" s="66" t="str"/>
    </x:row>
    <x:row r="69" ht="58" customHeight="1">
      <x:c r="A69" s="56" t="str">
        <x:v>B4-Q27</x:v>
      </x:c>
      <x:c r="B69" s="56" t="str">
        <x:v>4</x:v>
      </x:c>
      <x:c r="C69" s="56" t="str">
        <x:v>base_40</x:v>
      </x:c>
      <x:c r="D69" s="56" t="n">
        <x:v>27</x:v>
      </x:c>
      <x:c r="E69" s="56" t="n">
        <x:v>1</x:v>
      </x:c>
      <x:c r="F69" s="56" t="str">
        <x:v>B4_4_8</x:v>
      </x:c>
      <x:c r="G69" s="56" t="str">
        <x:v>4.8</x:v>
      </x:c>
      <x:c r="H69" s="56" t="str">
        <x:v>Mientras tú estás haciendo esta actividad, ¿qué está pasando en paralelo?</x:v>
      </x:c>
      <x:c r="I69" s="56" t="str">
        <x:v>Elige la descripción más cercana al patrón real de simultaneidad o dependencia, puede pasar en tu área o en otra área.</x:v>
      </x:c>
      <x:c r="J69" s="56" t="str">
        <x:v>single_choice</x:v>
      </x:c>
      <x:c r="K69" s="56" t="str">
        <x:v>single_choice</x:v>
      </x:c>
      <x:c r="L69" s="56" t="str">
        <x:v>Nada corre en paralelo; todo espera este paso; Otras actividades avanzan, pero independientes de esta; Otras actividades avanzan en paralelo y luego se integran con esta; Yo sigo con otros temas mientras esta queda en espera; Hay dependencias cruzadas entre equipos y a veces terminamos esperándonos mutuamente</x:v>
      </x:c>
      <x:c r="M69" s="56" t="str">
        <x:v>Obligatoria.</x:v>
      </x:c>
      <x:c r="N69" s="56" t="str">
        <x:v>Siempre.</x:v>
      </x:c>
      <x:c r="O69" s="56" t="str">
        <x:v>Puede activar 4.C si hay ambigüedad con deadlock o alternativa.</x:v>
      </x:c>
      <x:c r="P69" s="56" t="str">
        <x:v>visible_capture</x:v>
      </x:c>
      <x:c r="Q69" s="56" t="str">
        <x:v>DIRECT_CAPTURE_ONLY</x:v>
      </x:c>
      <x:c r="R69" s="56" t="str">
        <x:v>parallelism_type</x:v>
      </x:c>
      <x:c r="S69" s="56" t="str">
        <x:v>captured_user_evidence</x:v>
      </x:c>
      <x:c r="T69" s="56" t="str">
        <x:v>Bloque_4_Documento_Madre_Capa1_v2_1_EVE.docx</x:v>
      </x:c>
      <x:c r="U69" s="56" t="str">
        <x:v>b4dab985a18b32383fc8bb968cc41cab2781bbb50f9d53af834cb40d182d87c6</x:v>
      </x:c>
      <x:c r="V69" s="56" t="str">
        <x:v>Selección única</x:v>
      </x:c>
      <x:c r="W69" s="56" t="str">
        <x:v>Mostrar opciones autorizadas; permitir una sola selección; opción literal preservada.</x:v>
      </x:c>
      <x:c r="X69" s="56" t="str">
        <x:v>scalar:string</x:v>
      </x:c>
      <x:c r="Y69" s="56" t="str">
        <x:v>Campo options / catálogo dinámico rector</x:v>
      </x:c>
      <x:c r="Z69" s="56" t="str">
        <x:v>slot_ref server-issued; no mapear por label ni posición.</x:v>
      </x:c>
      <x:c r="AA69" s="56" t="str">
        <x:v>EXPLICIT_FIELD_TYPE</x:v>
      </x:c>
      <x:c r="AB69" s="56" t="str">
        <x:v>Pantalla específica Bloque 4</x:v>
      </x:c>
      <x:c r="AC69" s="66" t="str"/>
      <x:c r="AD69" s="66" t="str">
        <x:v>No evaluado</x:v>
      </x:c>
      <x:c r="AE69" s="66" t="str">
        <x:v>No evaluado</x:v>
      </x:c>
      <x:c r="AF69" s="66" t="str">
        <x:v>No evaluado</x:v>
      </x:c>
      <x:c r="AG69" s="66" t="str">
        <x:v>No ejecutado</x:v>
      </x:c>
      <x:c r="AH69" s="68" t="str">
        <x:f>IF(AND(AD69="No evaluado",AE69="No evaluado",AF69="No evaluado",AG69="No ejecutado"),"No evaluado",IF(OR(AD69="Bloqueado",AE69="Bloqueado",AF69="Bloqueado",AG69="Bloqueado"),"Bloqueado",IF(OR(AE69="No conforme",AF69="No conforme",AG69="Falló"),"No conforme",IF(AND(OR(AD69="Implementado",AD69="No aplica"),OR(AE69="Conforme",AE69="No aplica"),OR(AF69="Conforme",AF69="No aplica"),OR(AG69="Pasó",AG69="No aplica")),"Conforme","Parcial"))))</x:f>
        <x:v>No evaluado</x:v>
      </x:c>
      <x:c r="AI69" s="56" t="str">
        <x:v>No conforme</x:v>
      </x:c>
      <x:c r="AJ69" s="66" t="str"/>
      <x:c r="AK69" s="66" t="str"/>
      <x:c r="AL69" s="56" t="str">
        <x:v>VALIDATED_044A3M / 170 identity tuples</x:v>
      </x:c>
      <x:c r="AM69" s="56" t="str">
        <x:v>TR-005; TR-006; TR-008; TR-016; TR-019; TR-028; TR-029</x:v>
      </x:c>
      <x:c r="AN69" s="66" t="str"/>
    </x:row>
    <x:row r="70" ht="58" customHeight="1">
      <x:c r="A70" s="56" t="str">
        <x:v>B4-Q27</x:v>
      </x:c>
      <x:c r="B70" s="56" t="str">
        <x:v>4</x:v>
      </x:c>
      <x:c r="C70" s="56" t="str">
        <x:v>base_40</x:v>
      </x:c>
      <x:c r="D70" s="56" t="n">
        <x:v>27</x:v>
      </x:c>
      <x:c r="E70" s="56" t="n">
        <x:v>2</x:v>
      </x:c>
      <x:c r="F70" s="56" t="str">
        <x:v>B4_4_9</x:v>
      </x:c>
      <x:c r="G70" s="56" t="str">
        <x:v>4.9</x:v>
      </x:c>
      <x:c r="H70" s="56" t="str">
        <x:v>¿Hay pasos que TÚ haces pero que NO están "en el manual" o que "no deberían ser necesarios"?</x:v>
      </x:c>
      <x:c r="I70" s="56" t="str">
        <x:v>Piensa en verificaciones, correcciones, búsquedas o ajustes que haces para que el flujo funcione, aunque no estén formalmente en el proceso.</x:v>
      </x:c>
      <x:c r="J70" s="56" t="str">
        <x:v>single_choice_boolean_text</x:v>
      </x:c>
      <x:c r="K70" s="56" t="str">
        <x:v>hybrid_choice_text</x:v>
      </x:c>
      <x:c r="L70" s="56" t="str">
        <x:v>No, sigo exactamente lo que dice el proceso; Sí, hay pasos que hago para que funcione</x:v>
      </x:c>
      <x:c r="M70" s="56" t="str">
        <x:v>Obligatoria.</x:v>
      </x:c>
      <x:c r="N70" s="56" t="str">
        <x:v>Siempre.</x:v>
      </x:c>
      <x:c r="O70" s="56" t="str">
        <x:v>Si respuesta = Sí, mostrar 4.9b. Puede activar 4.B si el texto queda genérico.</x:v>
      </x:c>
      <x:c r="P70" s="56" t="str">
        <x:v>visible_capture</x:v>
      </x:c>
      <x:c r="Q70" s="56" t="str">
        <x:v>DIRECT_CAPTURE_ONLY</x:v>
      </x:c>
      <x:c r="R70" s="56" t="str">
        <x:v>hidden_subprocess</x:v>
      </x:c>
      <x:c r="S70" s="56" t="str">
        <x:v>captured_user_evidence</x:v>
      </x:c>
      <x:c r="T70" s="56" t="str">
        <x:v>Bloque_4_Documento_Madre_Capa1_v2_1_EVE.docx</x:v>
      </x:c>
      <x:c r="U70" s="56" t="str">
        <x:v>b4dab985a18b32383fc8bb968cc41cab2781bbb50f9d53af834cb40d182d87c6</x:v>
      </x:c>
      <x:c r="V70" s="56" t="str">
        <x:v>Decisión binaria/cerrada + texto</x:v>
      </x:c>
      <x:c r="W70" s="56" t="str">
        <x:v>Capturar decisión exacta y explicación separada cuando corresponda.</x:v>
      </x:c>
      <x:c r="X70" s="56" t="str">
        <x:v>decision:string|boolean + explanation:string|null</x:v>
      </x:c>
      <x:c r="Y70" s="56" t="str">
        <x:v>Opciones rectoras</x:v>
      </x:c>
      <x:c r="Z70" s="56" t="str">
        <x:v>slot_ref server-issued; no convertir texto no vacío en verdadero.</x:v>
      </x:c>
      <x:c r="AA70" s="56" t="str">
        <x:v>EXPLICIT_COMPOSITE</x:v>
      </x:c>
      <x:c r="AB70" s="56" t="str">
        <x:v>Pantalla específica Bloque 4</x:v>
      </x:c>
      <x:c r="AC70" s="66" t="str"/>
      <x:c r="AD70" s="66" t="str">
        <x:v>No evaluado</x:v>
      </x:c>
      <x:c r="AE70" s="66" t="str">
        <x:v>No evaluado</x:v>
      </x:c>
      <x:c r="AF70" s="66" t="str">
        <x:v>No evaluado</x:v>
      </x:c>
      <x:c r="AG70" s="66" t="str">
        <x:v>No ejecutado</x:v>
      </x:c>
      <x:c r="AH70" s="68" t="str">
        <x:f>IF(AND(AD70="No evaluado",AE70="No evaluado",AF70="No evaluado",AG70="No ejecutado"),"No evaluado",IF(OR(AD70="Bloqueado",AE70="Bloqueado",AF70="Bloqueado",AG70="Bloqueado"),"Bloqueado",IF(OR(AE70="No conforme",AF70="No conforme",AG70="Falló"),"No conforme",IF(AND(OR(AD70="Implementado",AD70="No aplica"),OR(AE70="Conforme",AE70="No aplica"),OR(AF70="Conforme",AF70="No aplica"),OR(AG70="Pasó",AG70="No aplica")),"Conforme","Parcial"))))</x:f>
        <x:v>No evaluado</x:v>
      </x:c>
      <x:c r="AI70" s="56" t="str">
        <x:v>No conforme</x:v>
      </x:c>
      <x:c r="AJ70" s="66" t="str"/>
      <x:c r="AK70" s="66" t="str"/>
      <x:c r="AL70" s="56" t="str">
        <x:v>VALIDATED_044A3M / 170 identity tuples</x:v>
      </x:c>
      <x:c r="AM70" s="56" t="str">
        <x:v>TR-005; TR-006; TR-008; TR-016; TR-019; TR-028; TR-029</x:v>
      </x:c>
      <x:c r="AN70" s="66" t="str"/>
    </x:row>
    <x:row r="71" ht="58" customHeight="1">
      <x:c r="A71" s="56" t="str">
        <x:v>B4-Q28</x:v>
      </x:c>
      <x:c r="B71" s="56" t="str">
        <x:v>4</x:v>
      </x:c>
      <x:c r="C71" s="56" t="str">
        <x:v>base_40</x:v>
      </x:c>
      <x:c r="D71" s="56" t="n">
        <x:v>28</x:v>
      </x:c>
      <x:c r="E71" s="56" t="n">
        <x:v>1</x:v>
      </x:c>
      <x:c r="F71" s="56" t="str">
        <x:v>B4_4_10</x:v>
      </x:c>
      <x:c r="G71" s="56" t="str">
        <x:v>4.10</x:v>
      </x:c>
      <x:c r="H71" s="56" t="str">
        <x:v>¿El orden en que REALMENTE haces las cosas es diferente al orden que dice el proceso?</x:v>
      </x:c>
      <x:c r="I71" s="56" t="str">
        <x:v>Responde según lo que haces en la práctica, no según el procedimiento ideal.</x:v>
      </x:c>
      <x:c r="J71" s="56" t="str">
        <x:v>single_choice_boolean_text</x:v>
      </x:c>
      <x:c r="K71" s="56" t="str">
        <x:v>hybrid_choice_text</x:v>
      </x:c>
      <x:c r="L71" s="56" t="str">
        <x:v>No, hago todo en el orden que dice el proceso; Sí, hay pasos que hago en diferente orden</x:v>
      </x:c>
      <x:c r="M71" s="56" t="str">
        <x:v>Obligatoria.</x:v>
      </x:c>
      <x:c r="N71" s="56" t="str">
        <x:v>Siempre.</x:v>
      </x:c>
      <x:c r="O71" s="56" t="str">
        <x:v>Si respuesta = Sí, mostrar 4.10b. Puede activar 4.B si la explicación es insuficiente.</x:v>
      </x:c>
      <x:c r="P71" s="56" t="str">
        <x:v>visible_capture</x:v>
      </x:c>
      <x:c r="Q71" s="56" t="str">
        <x:v>DIRECT_CAPTURE_ONLY</x:v>
      </x:c>
      <x:c r="R71" s="56" t="str">
        <x:v>real_vs_official_sequence</x:v>
      </x:c>
      <x:c r="S71" s="56" t="str">
        <x:v>captured_user_evidence</x:v>
      </x:c>
      <x:c r="T71" s="56" t="str">
        <x:v>Bloque_4_Documento_Madre_Capa1_v2_1_EVE.docx</x:v>
      </x:c>
      <x:c r="U71" s="56" t="str">
        <x:v>b4dab985a18b32383fc8bb968cc41cab2781bbb50f9d53af834cb40d182d87c6</x:v>
      </x:c>
      <x:c r="V71" s="56" t="str">
        <x:v>Decisión binaria/cerrada + texto</x:v>
      </x:c>
      <x:c r="W71" s="56" t="str">
        <x:v>Capturar decisión exacta y explicación separada cuando corresponda.</x:v>
      </x:c>
      <x:c r="X71" s="56" t="str">
        <x:v>decision:string|boolean + explanation:string|null</x:v>
      </x:c>
      <x:c r="Y71" s="56" t="str">
        <x:v>Opciones rectoras</x:v>
      </x:c>
      <x:c r="Z71" s="56" t="str">
        <x:v>slot_ref server-issued; no convertir texto no vacío en verdadero.</x:v>
      </x:c>
      <x:c r="AA71" s="56" t="str">
        <x:v>EXPLICIT_COMPOSITE</x:v>
      </x:c>
      <x:c r="AB71" s="56" t="str">
        <x:v>Pantalla específica Bloque 4</x:v>
      </x:c>
      <x:c r="AC71" s="66" t="str"/>
      <x:c r="AD71" s="66" t="str">
        <x:v>No evaluado</x:v>
      </x:c>
      <x:c r="AE71" s="66" t="str">
        <x:v>No evaluado</x:v>
      </x:c>
      <x:c r="AF71" s="66" t="str">
        <x:v>No evaluado</x:v>
      </x:c>
      <x:c r="AG71" s="66" t="str">
        <x:v>No ejecutado</x:v>
      </x:c>
      <x:c r="AH71" s="68" t="str">
        <x:f>IF(AND(AD71="No evaluado",AE71="No evaluado",AF71="No evaluado",AG71="No ejecutado"),"No evaluado",IF(OR(AD71="Bloqueado",AE71="Bloqueado",AF71="Bloqueado",AG71="Bloqueado"),"Bloqueado",IF(OR(AE71="No conforme",AF71="No conforme",AG71="Falló"),"No conforme",IF(AND(OR(AD71="Implementado",AD71="No aplica"),OR(AE71="Conforme",AE71="No aplica"),OR(AF71="Conforme",AF71="No aplica"),OR(AG71="Pasó",AG71="No aplica")),"Conforme","Parcial"))))</x:f>
        <x:v>No evaluado</x:v>
      </x:c>
      <x:c r="AI71" s="56" t="str">
        <x:v>No conforme</x:v>
      </x:c>
      <x:c r="AJ71" s="66" t="str"/>
      <x:c r="AK71" s="66" t="str"/>
      <x:c r="AL71" s="56" t="str">
        <x:v>VALIDATED_044A3M / 170 identity tuples</x:v>
      </x:c>
      <x:c r="AM71" s="56" t="str">
        <x:v>TR-005; TR-006; TR-008; TR-016; TR-019; TR-028; TR-029</x:v>
      </x:c>
      <x:c r="AN71" s="66" t="str"/>
    </x:row>
    <x:row r="72" ht="58" customHeight="1">
      <x:c r="A72" s="56" t="str">
        <x:v>B4-Q28</x:v>
      </x:c>
      <x:c r="B72" s="56" t="str">
        <x:v>4</x:v>
      </x:c>
      <x:c r="C72" s="56" t="str">
        <x:v>base_40</x:v>
      </x:c>
      <x:c r="D72" s="56" t="n">
        <x:v>28</x:v>
      </x:c>
      <x:c r="E72" s="56" t="n">
        <x:v>2</x:v>
      </x:c>
      <x:c r="F72" s="56" t="str">
        <x:v>B4_4_11</x:v>
      </x:c>
      <x:c r="G72" s="56" t="str">
        <x:v>4.11</x:v>
      </x:c>
      <x:c r="H72" s="56" t="str">
        <x:v>Cuando esta actividad se bloquea o se retrasa más de lo normal, ¿qué se rompe primero?</x:v>
      </x:c>
      <x:c r="I72" s="56" t="str">
        <x:v>Selecciona los primeros impactos observables cuando el flujo se atasca o se atrasa.</x:v>
      </x:c>
      <x:c r="J72" s="56" t="str">
        <x:v>multi_choice</x:v>
      </x:c>
      <x:c r="K72" s="56" t="str">
        <x:v>multi_choice</x:v>
      </x:c>
      <x:c r="L72" s="56" t="str">
        <x:v>Se detiene el trabajo de otros equipos; El cliente espera, reclama o se molesta; Se pierde tiempo buscando, persiguiendo o reexplicando; Se acumula trabajo pendiente; Mi jefe o dirección intervienen; El sistema o proceso siguiente se bloquea; Hay costo económico o penalización; Otro</x:v>
      </x:c>
      <x:c r="M72" s="56" t="str">
        <x:v>Obligatoria.</x:v>
      </x:c>
      <x:c r="N72" s="56" t="str">
        <x:v>Siempre.</x:v>
      </x:c>
      <x:c r="O72" s="56" t="str">
        <x:v>Puede activar 4.C si el impacto es incompatible con el resto del flujo.</x:v>
      </x:c>
      <x:c r="P72" s="56" t="str">
        <x:v>visible_capture</x:v>
      </x:c>
      <x:c r="Q72" s="56" t="str">
        <x:v>DIRECT_CAPTURE_ONLY</x:v>
      </x:c>
      <x:c r="R72" s="56" t="str">
        <x:v>blockage_impact</x:v>
      </x:c>
      <x:c r="S72" s="56" t="str">
        <x:v>captured_user_evidence</x:v>
      </x:c>
      <x:c r="T72" s="56" t="str">
        <x:v>Bloque_4_Documento_Madre_Capa1_v2_1_EVE.docx</x:v>
      </x:c>
      <x:c r="U72" s="56" t="str">
        <x:v>b4dab985a18b32383fc8bb968cc41cab2781bbb50f9d53af834cb40d182d87c6</x:v>
      </x:c>
      <x:c r="V72" s="56" t="str">
        <x:v>Selección múltiple</x:v>
      </x:c>
      <x:c r="W72" s="56" t="str">
        <x:v>Mostrar opciones autorizadas; preservar conjunto exacto y exclusiones rectoras.</x:v>
      </x:c>
      <x:c r="X72" s="56" t="str">
        <x:v>array&lt;string&gt;</x:v>
      </x:c>
      <x:c r="Y72" s="56" t="str">
        <x:v>Campo options rector</x:v>
      </x:c>
      <x:c r="Z72" s="56" t="str">
        <x:v>slot_ref server-issued; cada selección conserva código literal.</x:v>
      </x:c>
      <x:c r="AA72" s="56" t="str">
        <x:v>EXPLICIT_FIELD_TYPE</x:v>
      </x:c>
      <x:c r="AB72" s="56" t="str">
        <x:v>Pantalla específica Bloque 4</x:v>
      </x:c>
      <x:c r="AC72" s="66" t="str"/>
      <x:c r="AD72" s="66" t="str">
        <x:v>No evaluado</x:v>
      </x:c>
      <x:c r="AE72" s="66" t="str">
        <x:v>No evaluado</x:v>
      </x:c>
      <x:c r="AF72" s="66" t="str">
        <x:v>No evaluado</x:v>
      </x:c>
      <x:c r="AG72" s="66" t="str">
        <x:v>No ejecutado</x:v>
      </x:c>
      <x:c r="AH72" s="68" t="str">
        <x:f>IF(AND(AD72="No evaluado",AE72="No evaluado",AF72="No evaluado",AG72="No ejecutado"),"No evaluado",IF(OR(AD72="Bloqueado",AE72="Bloqueado",AF72="Bloqueado",AG72="Bloqueado"),"Bloqueado",IF(OR(AE72="No conforme",AF72="No conforme",AG72="Falló"),"No conforme",IF(AND(OR(AD72="Implementado",AD72="No aplica"),OR(AE72="Conforme",AE72="No aplica"),OR(AF72="Conforme",AF72="No aplica"),OR(AG72="Pasó",AG72="No aplica")),"Conforme","Parcial"))))</x:f>
        <x:v>No evaluado</x:v>
      </x:c>
      <x:c r="AI72" s="56" t="str">
        <x:v>No conforme</x:v>
      </x:c>
      <x:c r="AJ72" s="66" t="str"/>
      <x:c r="AK72" s="66" t="str"/>
      <x:c r="AL72" s="56" t="str">
        <x:v>VALIDATED_044A3M / 170 identity tuples</x:v>
      </x:c>
      <x:c r="AM72" s="56" t="str">
        <x:v>TR-005; TR-006; TR-008; TR-016; TR-019; TR-028; TR-029</x:v>
      </x:c>
      <x:c r="AN72" s="66" t="str"/>
    </x:row>
    <x:row r="73" ht="58" customHeight="1">
      <x:c r="A73" s="56" t="str">
        <x:v>B4-Q28</x:v>
      </x:c>
      <x:c r="B73" s="56" t="str">
        <x:v>4</x:v>
      </x:c>
      <x:c r="C73" s="56" t="str">
        <x:v>base_40</x:v>
      </x:c>
      <x:c r="D73" s="56" t="n">
        <x:v>28</x:v>
      </x:c>
      <x:c r="E73" s="56" t="n">
        <x:v>3</x:v>
      </x:c>
      <x:c r="F73" s="56" t="str">
        <x:v>B4_4_12</x:v>
      </x:c>
      <x:c r="G73" s="56" t="str">
        <x:v>4.12</x:v>
      </x:c>
      <x:c r="H73" s="56" t="str">
        <x:v>¿Hay un punto específico donde esta actividad TÍPICAMENTE se atasca o se retrasa?</x:v>
      </x:c>
      <x:c r="I73" s="56" t="str">
        <x:v>Marca el cuello de botella más típico. Si no está en la lista, elige Otro y descríbelo.</x:v>
      </x:c>
      <x:c r="J73" s="56" t="str">
        <x:v>single_choice</x:v>
      </x:c>
      <x:c r="K73" s="56" t="str">
        <x:v>single_choice</x:v>
      </x:c>
      <x:c r="L73" s="56" t="str">
        <x:v>No hay cuellos de botella significativos; Esperar aprobación o firma de alguien; Esperar información de otro equipo; Sistema lento o caído; Falta de personal o exceso de carga; Cambios constantes en lo que me piden; Otro</x:v>
      </x:c>
      <x:c r="M73" s="56" t="str">
        <x:v>Obligatoria.</x:v>
      </x:c>
      <x:c r="N73" s="56" t="str">
        <x:v>Siempre.</x:v>
      </x:c>
      <x:c r="O73" s="56" t="str">
        <x:v>Se cruza con 4.5, 4.9, 4.10 y 4.13 para consistencia.</x:v>
      </x:c>
      <x:c r="P73" s="56" t="str">
        <x:v>visible_capture</x:v>
      </x:c>
      <x:c r="Q73" s="56" t="str">
        <x:v>DIRECT_CAPTURE_ONLY</x:v>
      </x:c>
      <x:c r="R73" s="56" t="str"/>
      <x:c r="S73" s="56" t="str">
        <x:v>captured_user_evidence</x:v>
      </x:c>
      <x:c r="T73" s="56" t="str">
        <x:v>Bloque_4_Documento_Madre_Capa1_v2_1_EVE.docx</x:v>
      </x:c>
      <x:c r="U73" s="56" t="str">
        <x:v>b4dab985a18b32383fc8bb968cc41cab2781bbb50f9d53af834cb40d182d87c6</x:v>
      </x:c>
      <x:c r="V73" s="56" t="str">
        <x:v>Selección única</x:v>
      </x:c>
      <x:c r="W73" s="56" t="str">
        <x:v>Mostrar opciones autorizadas; permitir una sola selección; opción literal preservada.</x:v>
      </x:c>
      <x:c r="X73" s="56" t="str">
        <x:v>scalar:string</x:v>
      </x:c>
      <x:c r="Y73" s="56" t="str">
        <x:v>Campo options / catálogo dinámico rector</x:v>
      </x:c>
      <x:c r="Z73" s="56" t="str">
        <x:v>slot_ref server-issued; no mapear por label ni posición.</x:v>
      </x:c>
      <x:c r="AA73" s="56" t="str">
        <x:v>EXPLICIT_FIELD_TYPE</x:v>
      </x:c>
      <x:c r="AB73" s="56" t="str">
        <x:v>Pantalla específica Bloque 4</x:v>
      </x:c>
      <x:c r="AC73" s="66" t="str"/>
      <x:c r="AD73" s="66" t="str">
        <x:v>No evaluado</x:v>
      </x:c>
      <x:c r="AE73" s="66" t="str">
        <x:v>No evaluado</x:v>
      </x:c>
      <x:c r="AF73" s="66" t="str">
        <x:v>No evaluado</x:v>
      </x:c>
      <x:c r="AG73" s="66" t="str">
        <x:v>No ejecutado</x:v>
      </x:c>
      <x:c r="AH73" s="68" t="str">
        <x:f>IF(AND(AD73="No evaluado",AE73="No evaluado",AF73="No evaluado",AG73="No ejecutado"),"No evaluado",IF(OR(AD73="Bloqueado",AE73="Bloqueado",AF73="Bloqueado",AG73="Bloqueado"),"Bloqueado",IF(OR(AE73="No conforme",AF73="No conforme",AG73="Falló"),"No conforme",IF(AND(OR(AD73="Implementado",AD73="No aplica"),OR(AE73="Conforme",AE73="No aplica"),OR(AF73="Conforme",AF73="No aplica"),OR(AG73="Pasó",AG73="No aplica")),"Conforme","Parcial"))))</x:f>
        <x:v>No evaluado</x:v>
      </x:c>
      <x:c r="AI73" s="56" t="str">
        <x:v>No conforme</x:v>
      </x:c>
      <x:c r="AJ73" s="66" t="str"/>
      <x:c r="AK73" s="66" t="str"/>
      <x:c r="AL73" s="56" t="str">
        <x:v>VALIDATED_044A3M / 170 identity tuples</x:v>
      </x:c>
      <x:c r="AM73" s="56" t="str">
        <x:v>TR-005; TR-006; TR-008; TR-016; TR-019; TR-028; TR-029</x:v>
      </x:c>
      <x:c r="AN73" s="66" t="str"/>
    </x:row>
    <x:row r="74" ht="58" customHeight="1">
      <x:c r="A74" s="56" t="str">
        <x:v>B4-Q28</x:v>
      </x:c>
      <x:c r="B74" s="56" t="str">
        <x:v>4</x:v>
      </x:c>
      <x:c r="C74" s="56" t="str">
        <x:v>base_40</x:v>
      </x:c>
      <x:c r="D74" s="56" t="n">
        <x:v>28</x:v>
      </x:c>
      <x:c r="E74" s="56" t="n">
        <x:v>4</x:v>
      </x:c>
      <x:c r="F74" s="56" t="str">
        <x:v>B4_4_13</x:v>
      </x:c>
      <x:c r="G74" s="56" t="str">
        <x:v>4.13</x:v>
      </x:c>
      <x:c r="H74" s="56" t="str">
        <x:v>¿Con qué frecuencia el flujo de esta actividad NO funciona como debería (bloqueos, cambios de orden, workarounds)?</x:v>
      </x:c>
      <x:c r="I74" s="56" t="str">
        <x:v>Piensa en la frecuencia real con la que el proceso se sale de su forma esperada.</x:v>
      </x:c>
      <x:c r="J74" s="56" t="str">
        <x:v>single_choice</x:v>
      </x:c>
      <x:c r="K74" s="56" t="str">
        <x:v>single_choice</x:v>
      </x:c>
      <x:c r="L74" s="56" t="str">
        <x:v>Casi nunca (el proceso funciona bien); Ocasionalmente (algunas veces al mes); Frecuentemente (varias veces a la semana); Constantemente (es la forma normal de trabajar)</x:v>
      </x:c>
      <x:c r="M74" s="56" t="str">
        <x:v>Obligatoria.</x:v>
      </x:c>
      <x:c r="N74" s="56" t="str">
        <x:v>Siempre.</x:v>
      </x:c>
      <x:c r="O74" s="56" t="str">
        <x:v>Puede elevar flow_deadlock_flag o flow_complexity_hint junto con otras señales del bloque.</x:v>
      </x:c>
      <x:c r="P74" s="56" t="str">
        <x:v>visible_capture</x:v>
      </x:c>
      <x:c r="Q74" s="56" t="str">
        <x:v>DIRECT_CAPTURE_ONLY</x:v>
      </x:c>
      <x:c r="R74" s="56" t="str">
        <x:v>deviation_frequency</x:v>
      </x:c>
      <x:c r="S74" s="56" t="str">
        <x:v>captured_user_evidence</x:v>
      </x:c>
      <x:c r="T74" s="56" t="str">
        <x:v>Bloque_4_Documento_Madre_Capa1_v2_1_EVE.docx</x:v>
      </x:c>
      <x:c r="U74" s="56" t="str">
        <x:v>b4dab985a18b32383fc8bb968cc41cab2781bbb50f9d53af834cb40d182d87c6</x:v>
      </x:c>
      <x:c r="V74" s="56" t="str">
        <x:v>Selección única</x:v>
      </x:c>
      <x:c r="W74" s="56" t="str">
        <x:v>Mostrar opciones autorizadas; permitir una sola selección; opción literal preservada.</x:v>
      </x:c>
      <x:c r="X74" s="56" t="str">
        <x:v>scalar:string</x:v>
      </x:c>
      <x:c r="Y74" s="56" t="str">
        <x:v>Campo options / catálogo dinámico rector</x:v>
      </x:c>
      <x:c r="Z74" s="56" t="str">
        <x:v>slot_ref server-issued; no mapear por label ni posición.</x:v>
      </x:c>
      <x:c r="AA74" s="56" t="str">
        <x:v>EXPLICIT_FIELD_TYPE</x:v>
      </x:c>
      <x:c r="AB74" s="56" t="str">
        <x:v>Pantalla específica Bloque 4</x:v>
      </x:c>
      <x:c r="AC74" s="66" t="str"/>
      <x:c r="AD74" s="66" t="str">
        <x:v>No evaluado</x:v>
      </x:c>
      <x:c r="AE74" s="66" t="str">
        <x:v>No evaluado</x:v>
      </x:c>
      <x:c r="AF74" s="66" t="str">
        <x:v>No evaluado</x:v>
      </x:c>
      <x:c r="AG74" s="66" t="str">
        <x:v>No ejecutado</x:v>
      </x:c>
      <x:c r="AH74" s="68" t="str">
        <x:f>IF(AND(AD74="No evaluado",AE74="No evaluado",AF74="No evaluado",AG74="No ejecutado"),"No evaluado",IF(OR(AD74="Bloqueado",AE74="Bloqueado",AF74="Bloqueado",AG74="Bloqueado"),"Bloqueado",IF(OR(AE74="No conforme",AF74="No conforme",AG74="Falló"),"No conforme",IF(AND(OR(AD74="Implementado",AD74="No aplica"),OR(AE74="Conforme",AE74="No aplica"),OR(AF74="Conforme",AF74="No aplica"),OR(AG74="Pasó",AG74="No aplica")),"Conforme","Parcial"))))</x:f>
        <x:v>No evaluado</x:v>
      </x:c>
      <x:c r="AI74" s="56" t="str">
        <x:v>No conforme</x:v>
      </x:c>
      <x:c r="AJ74" s="66" t="str"/>
      <x:c r="AK74" s="66" t="str"/>
      <x:c r="AL74" s="56" t="str">
        <x:v>VALIDATED_044A3M / 170 identity tuples</x:v>
      </x:c>
      <x:c r="AM74" s="56" t="str">
        <x:v>TR-005; TR-006; TR-008; TR-016; TR-019; TR-028; TR-029</x:v>
      </x:c>
      <x:c r="AN74" s="66" t="str"/>
    </x:row>
    <x:row r="75" ht="58" customHeight="1">
      <x:c r="A75" s="56" t="str">
        <x:v>B5-Q29</x:v>
      </x:c>
      <x:c r="B75" s="56" t="str">
        <x:v>5</x:v>
      </x:c>
      <x:c r="C75" s="56" t="str">
        <x:v>base_40</x:v>
      </x:c>
      <x:c r="D75" s="56" t="n">
        <x:v>29</x:v>
      </x:c>
      <x:c r="E75" s="56" t="n">
        <x:v>1</x:v>
      </x:c>
      <x:c r="F75" s="56" t="str">
        <x:v>B5_5_0</x:v>
      </x:c>
      <x:c r="G75" s="56" t="str">
        <x:v>5.0</x:v>
      </x:c>
      <x:c r="H75" s="56" t="str">
        <x:v>Pregunta filtro dinámica según dimensión dominante heredada desde Bloque 2.</x:v>
      </x:c>
      <x:c r="I75" s="56" t="str">
        <x:v>Piensa en cómo se vive esta actividad en la práctica. Queremos saber si normalmente trabajas con muchos casos parecidos en un mismo periodo, si cada caso requiere atención más individual, o si pasa un poco de ambas cosas.</x:v>
      </x:c>
      <x:c r="J75" s="56" t="str">
        <x:v>single_choice</x:v>
      </x:c>
      <x:c r="K75" s="56" t="str">
        <x:v>single_choice</x:v>
      </x:c>
      <x:c r="L75" s="56" t="str">
        <x:v>Repetitivo / Discrecional / Mezcla</x:v>
      </x:c>
      <x:c r="M75" s="56" t="str">
        <x:v>Siempre obligatoria una vez resuelta la dimensión dominante.</x:v>
      </x:c>
      <x:c r="N75" s="56" t="str">
        <x:v>Visible al abrir el bloque, con redacción dinámica.</x:v>
      </x:c>
      <x:c r="O75" s="56" t="str">
        <x:v>Dispara 5.0_auto y después 5.1 con la métrica correcta.</x:v>
      </x:c>
      <x:c r="P75" s="56" t="str">
        <x:v>visible_capture</x:v>
      </x:c>
      <x:c r="Q75" s="56" t="str">
        <x:v>DIRECT_CAPTURE_ONLY</x:v>
      </x:c>
      <x:c r="R75" s="56" t="str">
        <x:v>naturaleza_actividad_5_0</x:v>
      </x:c>
      <x:c r="S75" s="56" t="str">
        <x:v>captured_user_evidence</x:v>
      </x:c>
      <x:c r="T75" s="56" t="str">
        <x:v>Bloque_5_Documento_Madre_Capa1_v2_1_EVE_rev3.docx</x:v>
      </x:c>
      <x:c r="U75" s="56" t="str">
        <x:v>43c1d19ec3fd4e50f769dbd60d06685176c946a6364e3010b417cffff4266488</x:v>
      </x:c>
      <x:c r="V75" s="56" t="str">
        <x:v>Selección única</x:v>
      </x:c>
      <x:c r="W75" s="56" t="str">
        <x:v>Mostrar opciones autorizadas; permitir una sola selección; opción literal preservada.</x:v>
      </x:c>
      <x:c r="X75" s="56" t="str">
        <x:v>scalar:string</x:v>
      </x:c>
      <x:c r="Y75" s="56" t="str">
        <x:v>Campo options / catálogo dinámico rector</x:v>
      </x:c>
      <x:c r="Z75" s="56" t="str">
        <x:v>slot_ref server-issued; no mapear por label ni posición.</x:v>
      </x:c>
      <x:c r="AA75" s="56" t="str">
        <x:v>EXPLICIT_FIELD_TYPE</x:v>
      </x:c>
      <x:c r="AB75" s="56" t="str">
        <x:v>Pantalla específica Bloque 5</x:v>
      </x:c>
      <x:c r="AC75" s="66" t="str"/>
      <x:c r="AD75" s="66" t="str">
        <x:v>No evaluado</x:v>
      </x:c>
      <x:c r="AE75" s="66" t="str">
        <x:v>No evaluado</x:v>
      </x:c>
      <x:c r="AF75" s="66" t="str">
        <x:v>No evaluado</x:v>
      </x:c>
      <x:c r="AG75" s="66" t="str">
        <x:v>No ejecutado</x:v>
      </x:c>
      <x:c r="AH75" s="68" t="str">
        <x:f>IF(AND(AD75="No evaluado",AE75="No evaluado",AF75="No evaluado",AG75="No ejecutado"),"No evaluado",IF(OR(AD75="Bloqueado",AE75="Bloqueado",AF75="Bloqueado",AG75="Bloqueado"),"Bloqueado",IF(OR(AE75="No conforme",AF75="No conforme",AG75="Falló"),"No conforme",IF(AND(OR(AD75="Implementado",AD75="No aplica"),OR(AE75="Conforme",AE75="No aplica"),OR(AF75="Conforme",AF75="No aplica"),OR(AG75="Pasó",AG75="No aplica")),"Conforme","Parcial"))))</x:f>
        <x:v>No evaluado</x:v>
      </x:c>
      <x:c r="AI75" s="56" t="str">
        <x:v>No conforme</x:v>
      </x:c>
      <x:c r="AJ75" s="66" t="str"/>
      <x:c r="AK75" s="66" t="str"/>
      <x:c r="AL75" s="56" t="str">
        <x:v>VALIDATED_044A3M / 170 identity tuples</x:v>
      </x:c>
      <x:c r="AM75" s="56" t="str">
        <x:v>TR-005; TR-006; TR-008; TR-016; TR-019; TR-028; TR-029</x:v>
      </x:c>
      <x:c r="AN75" s="66" t="str"/>
    </x:row>
    <x:row r="76" ht="58" customHeight="1">
      <x:c r="A76" s="56" t="str">
        <x:v>B5-Q29</x:v>
      </x:c>
      <x:c r="B76" s="56" t="str">
        <x:v>5</x:v>
      </x:c>
      <x:c r="C76" s="56" t="str">
        <x:v>base_40</x:v>
      </x:c>
      <x:c r="D76" s="56" t="n">
        <x:v>29</x:v>
      </x:c>
      <x:c r="E76" s="56" t="n">
        <x:v>2</x:v>
      </x:c>
      <x:c r="F76" s="56" t="str">
        <x:v>B5_5_0_auto</x:v>
      </x:c>
      <x:c r="G76" s="56" t="str">
        <x:v>5.0_auto</x:v>
      </x:c>
      <x:c r="H76" s="56" t="str">
        <x:v>Inferencia automática de métrica comparativa a partir de dimensión dominante y naturaleza 5.0.</x:v>
      </x:c>
      <x:c r="I76" s="56" t="str">
        <x:v>Nodo interno, no visible. Formaliza la regla de decisión para evitar improvisación en plataforma.</x:v>
      </x:c>
      <x:c r="J76" s="56" t="str">
        <x:v>internal_rule</x:v>
      </x:c>
      <x:c r="K76" s="56" t="str">
        <x:v>internal_calculated</x:v>
      </x:c>
      <x:c r="L76" s="56" t="str">
        <x:v>N/A</x:v>
      </x:c>
      <x:c r="M76" s="56" t="str">
        <x:v>Siempre automático.</x:v>
      </x:c>
      <x:c r="N76" s="56" t="str">
        <x:v>Nunca visible al usuario.</x:v>
      </x:c>
      <x:c r="O76" s="56" t="str">
        <x:v>Si la métrica queda ambigua, marcar needs_clarification o needs_reentry_to_block_2.</x:v>
      </x:c>
      <x:c r="P76" s="56" t="str">
        <x:v>internal</x:v>
      </x:c>
      <x:c r="Q76" s="56" t="str">
        <x:v>EXPLICIT_RULE_DERIVATION</x:v>
      </x:c>
      <x:c r="R76" s="56" t="str">
        <x:v>capacity_metric_kind | capacity_metric_confidence | capacity_metric_conversion_method</x:v>
      </x:c>
      <x:c r="S76" s="56" t="str">
        <x:v>canonical_derivation</x:v>
      </x:c>
      <x:c r="T76" s="56" t="str">
        <x:v>Bloque_5_Documento_Madre_Capa1_v2_1_EVE_rev3.docx</x:v>
      </x:c>
      <x:c r="U76" s="56" t="str">
        <x:v>43c1d19ec3fd4e50f769dbd60d06685176c946a6364e3010b417cffff4266488</x:v>
      </x:c>
      <x:c r="V76" s="56" t="str">
        <x:v>Sin control visible / lógica interna</x:v>
      </x:c>
      <x:c r="W76" s="56" t="str">
        <x:v>No renderizar al usuario; resolver y auditar server-side.</x:v>
      </x:c>
      <x:c r="X76" s="56" t="str">
        <x:v>Sin valor de usuario</x:v>
      </x:c>
      <x:c r="Y76" s="56" t="str">
        <x:v>No aplica</x:v>
      </x:c>
      <x:c r="Z76" s="56" t="str">
        <x:v>Identidad interna por interaction/source tuple; no slot visible.</x:v>
      </x:c>
      <x:c r="AA76" s="56" t="str">
        <x:v>EXPLICIT_INTERNAL</x:v>
      </x:c>
      <x:c r="AB76" s="56" t="str">
        <x:v>Pantalla específica Bloque 5</x:v>
      </x:c>
      <x:c r="AC76" s="66" t="str"/>
      <x:c r="AD76" s="66" t="str">
        <x:v>No aplica</x:v>
      </x:c>
      <x:c r="AE76" s="66" t="str">
        <x:v>No evaluado</x:v>
      </x:c>
      <x:c r="AF76" s="66" t="str">
        <x:v>No evaluado</x:v>
      </x:c>
      <x:c r="AG76" s="66" t="str">
        <x:v>No ejecutado</x:v>
      </x:c>
      <x:c r="AH76" s="68" t="str">
        <x:f>IF(AND(AD76="No evaluado",AE76="No evaluado",AF76="No evaluado",AG76="No ejecutado"),"No evaluado",IF(OR(AD76="Bloqueado",AE76="Bloqueado",AF76="Bloqueado",AG76="Bloqueado"),"Bloqueado",IF(OR(AE76="No conforme",AF76="No conforme",AG76="Falló"),"No conforme",IF(AND(OR(AD76="Implementado",AD76="No aplica"),OR(AE76="Conforme",AE76="No aplica"),OR(AF76="Conforme",AF76="No aplica"),OR(AG76="Pasó",AG76="No aplica")),"Conforme","Parcial"))))</x:f>
        <x:v>Parcial</x:v>
      </x:c>
      <x:c r="AI76" s="56" t="str">
        <x:v>No aplica</x:v>
      </x:c>
      <x:c r="AJ76" s="66" t="str"/>
      <x:c r="AK76" s="66" t="str"/>
      <x:c r="AL76" s="56" t="str">
        <x:v>VALIDATED_044A3M / 170 identity tuples</x:v>
      </x:c>
      <x:c r="AM76" s="56" t="str">
        <x:v>TR-005; TR-006; TR-008; TR-016; TR-019; TR-028; TR-029</x:v>
      </x:c>
      <x:c r="AN76" s="66" t="str"/>
    </x:row>
    <x:row r="77" ht="58" customHeight="1">
      <x:c r="A77" s="56" t="str">
        <x:v>B5-Q29</x:v>
      </x:c>
      <x:c r="B77" s="56" t="str">
        <x:v>5</x:v>
      </x:c>
      <x:c r="C77" s="56" t="str">
        <x:v>base_40</x:v>
      </x:c>
      <x:c r="D77" s="56" t="n">
        <x:v>29</x:v>
      </x:c>
      <x:c r="E77" s="56" t="n">
        <x:v>3</x:v>
      </x:c>
      <x:c r="F77" s="56" t="str">
        <x:v>B5_5_1</x:v>
      </x:c>
      <x:c r="G77" s="56" t="str">
        <x:v>5.1</x:v>
      </x:c>
      <x:c r="H77" s="56" t="str">
        <x:v>Capacidad nominal dinámica en la métrica correcta.</x:v>
      </x:c>
      <x:c r="I77" s="56" t="str">
        <x:v>Responde según lo que normalmente se supone que deberías poder sacar adelante en condiciones normales. Si la pregunta aparece en cantidad, piensa en cuántos casos se espera que atiendas; si aparece en tiempo, piensa en cuánto debería tardar cada caso cuando todo funciona como se espera.</x:v>
      </x:c>
      <x:c r="J77" s="56" t="str">
        <x:v>dynamic</x:v>
      </x:c>
      <x:c r="K77" s="56" t="str">
        <x:v>dynamic_number_or_single_choice</x:v>
      </x:c>
      <x:c r="L77" s="56" t="str">
        <x:v>number_with_unit OR time_scale_enum</x:v>
      </x:c>
      <x:c r="M77" s="56" t="str">
        <x:v>Siempre obligatoria.</x:v>
      </x:c>
      <x:c r="N77" s="56" t="str">
        <x:v>Visible después de 5.0_auto.</x:v>
      </x:c>
      <x:c r="O77" s="56" t="str">
        <x:v>Define el espejo exacto para 5.2.</x:v>
      </x:c>
      <x:c r="P77" s="56" t="str">
        <x:v>visible_capture</x:v>
      </x:c>
      <x:c r="Q77" s="56" t="str">
        <x:v>DIRECT_CAPTURE_ONLY</x:v>
      </x:c>
      <x:c r="R77" s="56" t="str">
        <x:v>capacidad_nominal_5_1</x:v>
      </x:c>
      <x:c r="S77" s="56" t="str">
        <x:v>captured_user_evidence</x:v>
      </x:c>
      <x:c r="T77" s="56" t="str">
        <x:v>Bloque_5_Documento_Madre_Capa1_v2_1_EVE_rev3.docx</x:v>
      </x:c>
      <x:c r="U77" s="56" t="str">
        <x:v>43c1d19ec3fd4e50f769dbd60d06685176c946a6364e3010b417cffff4266488</x:v>
      </x:c>
      <x:c r="V77" s="56" t="str">
        <x:v>Control dinámico según catálogo</x:v>
      </x:c>
      <x:c r="W77" s="56" t="str">
        <x:v>Resolver server-side si es número/unidad o selector; no hardcodear alternativas.</x:v>
      </x:c>
      <x:c r="X77" s="56" t="str">
        <x:v>number|string + unit/enum según contrato</x:v>
      </x:c>
      <x:c r="Y77" s="56" t="str">
        <x:v>Catálogo/shape dinámico rector</x:v>
      </x:c>
      <x:c r="Z77" s="56" t="str">
        <x:v>slot_ref server-issued; metadata de control debe venir del Renderer.</x:v>
      </x:c>
      <x:c r="AA77" s="56" t="str">
        <x:v>REQUIRES_RENDERER_METADATA</x:v>
      </x:c>
      <x:c r="AB77" s="56" t="str">
        <x:v>Pantalla específica Bloque 5</x:v>
      </x:c>
      <x:c r="AC77" s="66" t="str"/>
      <x:c r="AD77" s="66" t="str">
        <x:v>No evaluado</x:v>
      </x:c>
      <x:c r="AE77" s="66" t="str">
        <x:v>No evaluado</x:v>
      </x:c>
      <x:c r="AF77" s="66" t="str">
        <x:v>No evaluado</x:v>
      </x:c>
      <x:c r="AG77" s="66" t="str">
        <x:v>No ejecutado</x:v>
      </x:c>
      <x:c r="AH77" s="68" t="str">
        <x:f>IF(AND(AD77="No evaluado",AE77="No evaluado",AF77="No evaluado",AG77="No ejecutado"),"No evaluado",IF(OR(AD77="Bloqueado",AE77="Bloqueado",AF77="Bloqueado",AG77="Bloqueado"),"Bloqueado",IF(OR(AE77="No conforme",AF77="No conforme",AG77="Falló"),"No conforme",IF(AND(OR(AD77="Implementado",AD77="No aplica"),OR(AE77="Conforme",AE77="No aplica"),OR(AF77="Conforme",AF77="No aplica"),OR(AG77="Pasó",AG77="No aplica")),"Conforme","Parcial"))))</x:f>
        <x:v>No evaluado</x:v>
      </x:c>
      <x:c r="AI77" s="56" t="str">
        <x:v>No conforme</x:v>
      </x:c>
      <x:c r="AJ77" s="66" t="str"/>
      <x:c r="AK77" s="66" t="str"/>
      <x:c r="AL77" s="56" t="str">
        <x:v>VALIDATED_044A3M / 170 identity tuples</x:v>
      </x:c>
      <x:c r="AM77" s="56" t="str">
        <x:v>TR-005; TR-006; TR-008; TR-016; TR-019; TR-028; TR-029</x:v>
      </x:c>
      <x:c r="AN77" s="66" t="str"/>
    </x:row>
    <x:row r="78" ht="58" customHeight="1">
      <x:c r="A78" s="56" t="str">
        <x:v>B5-Q29</x:v>
      </x:c>
      <x:c r="B78" s="56" t="str">
        <x:v>5</x:v>
      </x:c>
      <x:c r="C78" s="56" t="str">
        <x:v>base_40</x:v>
      </x:c>
      <x:c r="D78" s="56" t="n">
        <x:v>29</x:v>
      </x:c>
      <x:c r="E78" s="56" t="n">
        <x:v>4</x:v>
      </x:c>
      <x:c r="F78" s="56" t="str">
        <x:v>B5_5_2</x:v>
      </x:c>
      <x:c r="G78" s="56" t="str">
        <x:v>5.2</x:v>
      </x:c>
      <x:c r="H78" s="56" t="str">
        <x:v>Capacidad real dinámica en la misma métrica que 5.1.</x:v>
      </x:c>
      <x:c r="I78" s="56" t="str">
        <x:v>Responde con lo que realmente logras hacer hoy, considerando interrupciones, carga paralela, cambios de prioridad, herramientas disponibles y cualquier limitación habitual.</x:v>
      </x:c>
      <x:c r="J78" s="56" t="str">
        <x:v>dynamic</x:v>
      </x:c>
      <x:c r="K78" s="56" t="str">
        <x:v>dynamic_number_or_single_choice</x:v>
      </x:c>
      <x:c r="L78" s="56" t="str">
        <x:v>mirror_of_5_1</x:v>
      </x:c>
      <x:c r="M78" s="56" t="str">
        <x:v>Siempre obligatoria.</x:v>
      </x:c>
      <x:c r="N78" s="56" t="str">
        <x:v>Visible después de 5.1.</x:v>
      </x:c>
      <x:c r="O78" s="56" t="str">
        <x:v>Dispara 5.3; si la comparabilidad se rompe, activar 5.A.</x:v>
      </x:c>
      <x:c r="P78" s="56" t="str">
        <x:v>visible_capture</x:v>
      </x:c>
      <x:c r="Q78" s="56" t="str">
        <x:v>DIRECT_CAPTURE_ONLY</x:v>
      </x:c>
      <x:c r="R78" s="56" t="str">
        <x:v>capacidad_real_5_2</x:v>
      </x:c>
      <x:c r="S78" s="56" t="str">
        <x:v>captured_user_evidence</x:v>
      </x:c>
      <x:c r="T78" s="56" t="str">
        <x:v>Bloque_5_Documento_Madre_Capa1_v2_1_EVE_rev3.docx</x:v>
      </x:c>
      <x:c r="U78" s="56" t="str">
        <x:v>43c1d19ec3fd4e50f769dbd60d06685176c946a6364e3010b417cffff4266488</x:v>
      </x:c>
      <x:c r="V78" s="56" t="str">
        <x:v>Control dinámico según catálogo</x:v>
      </x:c>
      <x:c r="W78" s="56" t="str">
        <x:v>Resolver server-side si es número/unidad o selector; no hardcodear alternativas.</x:v>
      </x:c>
      <x:c r="X78" s="56" t="str">
        <x:v>number|string + unit/enum según contrato</x:v>
      </x:c>
      <x:c r="Y78" s="56" t="str">
        <x:v>Catálogo/shape dinámico rector</x:v>
      </x:c>
      <x:c r="Z78" s="56" t="str">
        <x:v>slot_ref server-issued; metadata de control debe venir del Renderer.</x:v>
      </x:c>
      <x:c r="AA78" s="56" t="str">
        <x:v>REQUIRES_RENDERER_METADATA</x:v>
      </x:c>
      <x:c r="AB78" s="56" t="str">
        <x:v>Pantalla específica Bloque 5</x:v>
      </x:c>
      <x:c r="AC78" s="66" t="str"/>
      <x:c r="AD78" s="66" t="str">
        <x:v>No evaluado</x:v>
      </x:c>
      <x:c r="AE78" s="66" t="str">
        <x:v>No evaluado</x:v>
      </x:c>
      <x:c r="AF78" s="66" t="str">
        <x:v>No evaluado</x:v>
      </x:c>
      <x:c r="AG78" s="66" t="str">
        <x:v>No ejecutado</x:v>
      </x:c>
      <x:c r="AH78" s="68" t="str">
        <x:f>IF(AND(AD78="No evaluado",AE78="No evaluado",AF78="No evaluado",AG78="No ejecutado"),"No evaluado",IF(OR(AD78="Bloqueado",AE78="Bloqueado",AF78="Bloqueado",AG78="Bloqueado"),"Bloqueado",IF(OR(AE78="No conforme",AF78="No conforme",AG78="Falló"),"No conforme",IF(AND(OR(AD78="Implementado",AD78="No aplica"),OR(AE78="Conforme",AE78="No aplica"),OR(AF78="Conforme",AF78="No aplica"),OR(AG78="Pasó",AG78="No aplica")),"Conforme","Parcial"))))</x:f>
        <x:v>No evaluado</x:v>
      </x:c>
      <x:c r="AI78" s="56" t="str">
        <x:v>No conforme</x:v>
      </x:c>
      <x:c r="AJ78" s="66" t="str"/>
      <x:c r="AK78" s="66" t="str"/>
      <x:c r="AL78" s="56" t="str">
        <x:v>VALIDATED_044A3M / 170 identity tuples</x:v>
      </x:c>
      <x:c r="AM78" s="56" t="str">
        <x:v>TR-005; TR-006; TR-008; TR-016; TR-019; TR-028; TR-029</x:v>
      </x:c>
      <x:c r="AN78" s="66" t="str"/>
    </x:row>
    <x:row r="79" ht="58" customHeight="1">
      <x:c r="A79" s="56" t="str">
        <x:v>B5-Q29</x:v>
      </x:c>
      <x:c r="B79" s="56" t="str">
        <x:v>5</x:v>
      </x:c>
      <x:c r="C79" s="56" t="str">
        <x:v>base_40</x:v>
      </x:c>
      <x:c r="D79" s="56" t="n">
        <x:v>29</x:v>
      </x:c>
      <x:c r="E79" s="56" t="n">
        <x:v>5</x:v>
      </x:c>
      <x:c r="F79" s="56" t="str">
        <x:v>B5_5_3</x:v>
      </x:c>
      <x:c r="G79" s="56" t="str">
        <x:v>5.3</x:v>
      </x:c>
      <x:c r="H79" s="56" t="str">
        <x:v>Brecha de capacidad calculada automáticamente.</x:v>
      </x:c>
      <x:c r="I79" s="56" t="str">
        <x:v>Nodo interno. Si la métrica es numérica, usar (nominal - real) / nominal × 100. Si la métrica es temporal, usar (real - nominal) / nominal × 100 y etiquetar la salida como sobretiempo o exceso temporal para evitar ambigüedad semántica.</x:v>
      </x:c>
      <x:c r="J79" s="56" t="str">
        <x:v>internal_calculated</x:v>
      </x:c>
      <x:c r="K79" s="56" t="str">
        <x:v>internal_calculated</x:v>
      </x:c>
      <x:c r="L79" s="56" t="str">
        <x:v>N/A</x:v>
      </x:c>
      <x:c r="M79" s="56" t="str">
        <x:v>Siempre automático.</x:v>
      </x:c>
      <x:c r="N79" s="56" t="str">
        <x:v>No visible como pregunta; visible como resultado derivado si la UI lo requiere.</x:v>
      </x:c>
      <x:c r="O79" s="56" t="str">
        <x:v>Puede disparar 5.B y alimentar 5.14.</x:v>
      </x:c>
      <x:c r="P79" s="56" t="str">
        <x:v>internal</x:v>
      </x:c>
      <x:c r="Q79" s="56" t="str">
        <x:v>EXPLICIT_RULE_DERIVATION</x:v>
      </x:c>
      <x:c r="R79" s="56" t="str">
        <x:v>brecha_capacidad_5_3 | brecha_capacidad_5_3_out</x:v>
      </x:c>
      <x:c r="S79" s="56" t="str">
        <x:v>internal_calculated</x:v>
      </x:c>
      <x:c r="T79" s="56" t="str">
        <x:v>Bloque_5_Documento_Madre_Capa1_v2_1_EVE_rev3.docx</x:v>
      </x:c>
      <x:c r="U79" s="56" t="str">
        <x:v>43c1d19ec3fd4e50f769dbd60d06685176c946a6364e3010b417cffff4266488</x:v>
      </x:c>
      <x:c r="V79" s="56" t="str">
        <x:v>Sin control visible / lógica interna</x:v>
      </x:c>
      <x:c r="W79" s="56" t="str">
        <x:v>No renderizar al usuario; resolver y auditar server-side.</x:v>
      </x:c>
      <x:c r="X79" s="56" t="str">
        <x:v>Sin valor de usuario</x:v>
      </x:c>
      <x:c r="Y79" s="56" t="str">
        <x:v>No aplica</x:v>
      </x:c>
      <x:c r="Z79" s="56" t="str">
        <x:v>Identidad interna por interaction/source tuple; no slot visible.</x:v>
      </x:c>
      <x:c r="AA79" s="56" t="str">
        <x:v>EXPLICIT_INTERNAL</x:v>
      </x:c>
      <x:c r="AB79" s="56" t="str">
        <x:v>Pantalla específica Bloque 5</x:v>
      </x:c>
      <x:c r="AC79" s="66" t="str"/>
      <x:c r="AD79" s="66" t="str">
        <x:v>No aplica</x:v>
      </x:c>
      <x:c r="AE79" s="66" t="str">
        <x:v>No evaluado</x:v>
      </x:c>
      <x:c r="AF79" s="66" t="str">
        <x:v>No evaluado</x:v>
      </x:c>
      <x:c r="AG79" s="66" t="str">
        <x:v>No ejecutado</x:v>
      </x:c>
      <x:c r="AH79" s="68" t="str">
        <x:f>IF(AND(AD79="No evaluado",AE79="No evaluado",AF79="No evaluado",AG79="No ejecutado"),"No evaluado",IF(OR(AD79="Bloqueado",AE79="Bloqueado",AF79="Bloqueado",AG79="Bloqueado"),"Bloqueado",IF(OR(AE79="No conforme",AF79="No conforme",AG79="Falló"),"No conforme",IF(AND(OR(AD79="Implementado",AD79="No aplica"),OR(AE79="Conforme",AE79="No aplica"),OR(AF79="Conforme",AF79="No aplica"),OR(AG79="Pasó",AG79="No aplica")),"Conforme","Parcial"))))</x:f>
        <x:v>Parcial</x:v>
      </x:c>
      <x:c r="AI79" s="56" t="str">
        <x:v>No aplica</x:v>
      </x:c>
      <x:c r="AJ79" s="66" t="str"/>
      <x:c r="AK79" s="66" t="str"/>
      <x:c r="AL79" s="56" t="str">
        <x:v>VALIDATED_044A3M / 170 identity tuples</x:v>
      </x:c>
      <x:c r="AM79" s="56" t="str">
        <x:v>TR-005; TR-006; TR-008; TR-016; TR-019; TR-028; TR-029</x:v>
      </x:c>
      <x:c r="AN79" s="66" t="str"/>
    </x:row>
    <x:row r="80" ht="58" customHeight="1">
      <x:c r="A80" s="56" t="str">
        <x:v>B5-Q30</x:v>
      </x:c>
      <x:c r="B80" s="56" t="str">
        <x:v>5</x:v>
      </x:c>
      <x:c r="C80" s="56" t="str">
        <x:v>base_40</x:v>
      </x:c>
      <x:c r="D80" s="56" t="n">
        <x:v>30</x:v>
      </x:c>
      <x:c r="E80" s="56" t="n">
        <x:v>1</x:v>
      </x:c>
      <x:c r="F80" s="56" t="str">
        <x:v>B5_5_4</x:v>
      </x:c>
      <x:c r="G80" s="56" t="str">
        <x:v>5.4</x:v>
      </x:c>
      <x:c r="H80" s="56" t="str">
        <x:v>¿Con cuántas PERSONAS cuentas realmente para hacer esta actividad?</x:v>
      </x:c>
      <x:c r="I80" s="56" t="str">
        <x:v>Cuenta a las personas que realmente ayudan a sacar adelante esta actividad. Elige la opción que más se parezca a tu realidad habitual.</x:v>
      </x:c>
      <x:c r="J80" s="56" t="str">
        <x:v>single_choice</x:v>
      </x:c>
      <x:c r="K80" s="56" t="str">
        <x:v>single_choice</x:v>
      </x:c>
      <x:c r="L80" s="56" t="str">
        <x:v>Solo yo / Yo + 1 persona a tiempo parcial / Yo + 1 persona a tiempo completo / Yo + 2-3 personas / Yo + 4 o más personas / Rotativo (varía mucho)</x:v>
      </x:c>
      <x:c r="M80" s="56" t="str">
        <x:v>Obligatoria si visible.</x:v>
      </x:c>
      <x:c r="N80" s="56" t="str">
        <x:v>Siempre visible.</x:v>
      </x:c>
      <x:c r="O80" s="56" t="str">
        <x:v>N/A</x:v>
      </x:c>
      <x:c r="P80" s="56" t="str">
        <x:v>visible_capture</x:v>
      </x:c>
      <x:c r="Q80" s="56" t="str">
        <x:v>DIRECT_CAPTURE_ONLY</x:v>
      </x:c>
      <x:c r="R80" s="56" t="str">
        <x:v>recursos_personas_5_4</x:v>
      </x:c>
      <x:c r="S80" s="56" t="str">
        <x:v>captured_user_evidence</x:v>
      </x:c>
      <x:c r="T80" s="56" t="str">
        <x:v>Bloque_5_Documento_Madre_Capa1_v2_1_EVE_rev3.docx</x:v>
      </x:c>
      <x:c r="U80" s="56" t="str">
        <x:v>43c1d19ec3fd4e50f769dbd60d06685176c946a6364e3010b417cffff4266488</x:v>
      </x:c>
      <x:c r="V80" s="56" t="str">
        <x:v>Selección única</x:v>
      </x:c>
      <x:c r="W80" s="56" t="str">
        <x:v>Mostrar opciones autorizadas; permitir una sola selección; opción literal preservada.</x:v>
      </x:c>
      <x:c r="X80" s="56" t="str">
        <x:v>scalar:string</x:v>
      </x:c>
      <x:c r="Y80" s="56" t="str">
        <x:v>Campo options / catálogo dinámico rector</x:v>
      </x:c>
      <x:c r="Z80" s="56" t="str">
        <x:v>slot_ref server-issued; no mapear por label ni posición.</x:v>
      </x:c>
      <x:c r="AA80" s="56" t="str">
        <x:v>EXPLICIT_FIELD_TYPE</x:v>
      </x:c>
      <x:c r="AB80" s="56" t="str">
        <x:v>Pantalla específica Bloque 5</x:v>
      </x:c>
      <x:c r="AC80" s="66" t="str"/>
      <x:c r="AD80" s="66" t="str">
        <x:v>No evaluado</x:v>
      </x:c>
      <x:c r="AE80" s="66" t="str">
        <x:v>No evaluado</x:v>
      </x:c>
      <x:c r="AF80" s="66" t="str">
        <x:v>No evaluado</x:v>
      </x:c>
      <x:c r="AG80" s="66" t="str">
        <x:v>No ejecutado</x:v>
      </x:c>
      <x:c r="AH80" s="68" t="str">
        <x:f>IF(AND(AD80="No evaluado",AE80="No evaluado",AF80="No evaluado",AG80="No ejecutado"),"No evaluado",IF(OR(AD80="Bloqueado",AE80="Bloqueado",AF80="Bloqueado",AG80="Bloqueado"),"Bloqueado",IF(OR(AE80="No conforme",AF80="No conforme",AG80="Falló"),"No conforme",IF(AND(OR(AD80="Implementado",AD80="No aplica"),OR(AE80="Conforme",AE80="No aplica"),OR(AF80="Conforme",AF80="No aplica"),OR(AG80="Pasó",AG80="No aplica")),"Conforme","Parcial"))))</x:f>
        <x:v>No evaluado</x:v>
      </x:c>
      <x:c r="AI80" s="56" t="str">
        <x:v>No conforme</x:v>
      </x:c>
      <x:c r="AJ80" s="66" t="str"/>
      <x:c r="AK80" s="66" t="str"/>
      <x:c r="AL80" s="56" t="str">
        <x:v>VALIDATED_044A3M / 170 identity tuples</x:v>
      </x:c>
      <x:c r="AM80" s="56" t="str">
        <x:v>TR-005; TR-006; TR-008; TR-016; TR-019; TR-028; TR-029</x:v>
      </x:c>
      <x:c r="AN80" s="66" t="str"/>
    </x:row>
    <x:row r="81" ht="58" customHeight="1">
      <x:c r="A81" s="56" t="str">
        <x:v>B5-Q30</x:v>
      </x:c>
      <x:c r="B81" s="56" t="str">
        <x:v>5</x:v>
      </x:c>
      <x:c r="C81" s="56" t="str">
        <x:v>base_40</x:v>
      </x:c>
      <x:c r="D81" s="56" t="n">
        <x:v>30</x:v>
      </x:c>
      <x:c r="E81" s="56" t="n">
        <x:v>2</x:v>
      </x:c>
      <x:c r="F81" s="56" t="str">
        <x:v>B5_5_5</x:v>
      </x:c>
      <x:c r="G81" s="56" t="str">
        <x:v>5.5</x:v>
      </x:c>
      <x:c r="H81" s="56" t="str">
        <x:v>¿Qué sistemas o herramientas tienes disponibles para hacer esta actividad?</x:v>
      </x:c>
      <x:c r="I81" s="56" t="str">
        <x:v>Selecciona las herramientas o sistemas con los que realmente cuentas para hacer esta actividad.</x:v>
      </x:c>
      <x:c r="J81" s="56" t="str">
        <x:v>multi_choice</x:v>
      </x:c>
      <x:c r="K81" s="56" t="str">
        <x:v>multi_choice</x:v>
      </x:c>
      <x:c r="L81" s="56" t="str">
        <x:v>Un sistema automatizado que lo hace casi todo / Un sistema que ayuda pero requiere trabajo manual / Múltiples sistemas que tengo que conectar manualmente / Hojas de cálculo o herramientas improvisadas / Principalmente trabajo manual sin sistema / Otro</x:v>
      </x:c>
      <x:c r="M81" s="56" t="str">
        <x:v>Obligatoria si visible.</x:v>
      </x:c>
      <x:c r="N81" s="56" t="str">
        <x:v>Siempre visible.</x:v>
      </x:c>
      <x:c r="O81" s="56" t="str">
        <x:v>N/A</x:v>
      </x:c>
      <x:c r="P81" s="56" t="str">
        <x:v>visible_capture</x:v>
      </x:c>
      <x:c r="Q81" s="56" t="str">
        <x:v>DIRECT_CAPTURE_ONLY</x:v>
      </x:c>
      <x:c r="R81" s="56" t="str">
        <x:v>recursos_sistemas_5_5</x:v>
      </x:c>
      <x:c r="S81" s="56" t="str">
        <x:v>captured_user_evidence</x:v>
      </x:c>
      <x:c r="T81" s="56" t="str">
        <x:v>Bloque_5_Documento_Madre_Capa1_v2_1_EVE_rev3.docx</x:v>
      </x:c>
      <x:c r="U81" s="56" t="str">
        <x:v>43c1d19ec3fd4e50f769dbd60d06685176c946a6364e3010b417cffff4266488</x:v>
      </x:c>
      <x:c r="V81" s="56" t="str">
        <x:v>Selección múltiple</x:v>
      </x:c>
      <x:c r="W81" s="56" t="str">
        <x:v>Mostrar opciones autorizadas; preservar conjunto exacto y exclusiones rectoras.</x:v>
      </x:c>
      <x:c r="X81" s="56" t="str">
        <x:v>array&lt;string&gt;</x:v>
      </x:c>
      <x:c r="Y81" s="56" t="str">
        <x:v>Campo options rector</x:v>
      </x:c>
      <x:c r="Z81" s="56" t="str">
        <x:v>slot_ref server-issued; cada selección conserva código literal.</x:v>
      </x:c>
      <x:c r="AA81" s="56" t="str">
        <x:v>EXPLICIT_FIELD_TYPE</x:v>
      </x:c>
      <x:c r="AB81" s="56" t="str">
        <x:v>Pantalla específica Bloque 5</x:v>
      </x:c>
      <x:c r="AC81" s="66" t="str"/>
      <x:c r="AD81" s="66" t="str">
        <x:v>No evaluado</x:v>
      </x:c>
      <x:c r="AE81" s="66" t="str">
        <x:v>No evaluado</x:v>
      </x:c>
      <x:c r="AF81" s="66" t="str">
        <x:v>No evaluado</x:v>
      </x:c>
      <x:c r="AG81" s="66" t="str">
        <x:v>No ejecutado</x:v>
      </x:c>
      <x:c r="AH81" s="68" t="str">
        <x:f>IF(AND(AD81="No evaluado",AE81="No evaluado",AF81="No evaluado",AG81="No ejecutado"),"No evaluado",IF(OR(AD81="Bloqueado",AE81="Bloqueado",AF81="Bloqueado",AG81="Bloqueado"),"Bloqueado",IF(OR(AE81="No conforme",AF81="No conforme",AG81="Falló"),"No conforme",IF(AND(OR(AD81="Implementado",AD81="No aplica"),OR(AE81="Conforme",AE81="No aplica"),OR(AF81="Conforme",AF81="No aplica"),OR(AG81="Pasó",AG81="No aplica")),"Conforme","Parcial"))))</x:f>
        <x:v>No evaluado</x:v>
      </x:c>
      <x:c r="AI81" s="56" t="str">
        <x:v>No conforme</x:v>
      </x:c>
      <x:c r="AJ81" s="66" t="str"/>
      <x:c r="AK81" s="66" t="str"/>
      <x:c r="AL81" s="56" t="str">
        <x:v>VALIDATED_044A3M / 170 identity tuples</x:v>
      </x:c>
      <x:c r="AM81" s="56" t="str">
        <x:v>TR-005; TR-006; TR-008; TR-016; TR-019; TR-028; TR-029</x:v>
      </x:c>
      <x:c r="AN81" s="66" t="str"/>
    </x:row>
    <x:row r="82" ht="58" customHeight="1">
      <x:c r="A82" s="56" t="str">
        <x:v>B5-Q30</x:v>
      </x:c>
      <x:c r="B82" s="56" t="str">
        <x:v>5</x:v>
      </x:c>
      <x:c r="C82" s="56" t="str">
        <x:v>base_40</x:v>
      </x:c>
      <x:c r="D82" s="56" t="n">
        <x:v>30</x:v>
      </x:c>
      <x:c r="E82" s="56" t="n">
        <x:v>3</x:v>
      </x:c>
      <x:c r="F82" s="56" t="str">
        <x:v>B5_5_6</x:v>
      </x:c>
      <x:c r="G82" s="56" t="str">
        <x:v>5.6</x:v>
      </x:c>
      <x:c r="H82" s="56" t="str">
        <x:v>¿Cuánto tiempo OFICIALMENTE se te asigna para esta actividad?</x:v>
      </x:c>
      <x:c r="I82" s="56" t="str">
        <x:v>No respondas con lo que terminas dedicándole de verdad, sino con lo que en teoría te asignan o esperan que dediques.</x:v>
      </x:c>
      <x:c r="J82" s="56" t="str">
        <x:v>single_choice</x:v>
      </x:c>
      <x:c r="K82" s="56" t="str">
        <x:v>single_choice</x:v>
      </x:c>
      <x:c r="L82" s="56" t="str">
        <x:v>100% de mi tiempo / 75% / 50% / 25% / Menos del 25% / No está claro</x:v>
      </x:c>
      <x:c r="M82" s="56" t="str">
        <x:v>Obligatoria si visible.</x:v>
      </x:c>
      <x:c r="N82" s="56" t="str">
        <x:v>Siempre visible.</x:v>
      </x:c>
      <x:c r="O82" s="56" t="str">
        <x:v>N/A</x:v>
      </x:c>
      <x:c r="P82" s="56" t="str">
        <x:v>visible_capture</x:v>
      </x:c>
      <x:c r="Q82" s="56" t="str">
        <x:v>DIRECT_CAPTURE_ONLY</x:v>
      </x:c>
      <x:c r="R82" s="56" t="str">
        <x:v>recursos_tiempo_5_6</x:v>
      </x:c>
      <x:c r="S82" s="56" t="str">
        <x:v>captured_user_evidence</x:v>
      </x:c>
      <x:c r="T82" s="56" t="str">
        <x:v>Bloque_5_Documento_Madre_Capa1_v2_1_EVE_rev3.docx</x:v>
      </x:c>
      <x:c r="U82" s="56" t="str">
        <x:v>43c1d19ec3fd4e50f769dbd60d06685176c946a6364e3010b417cffff4266488</x:v>
      </x:c>
      <x:c r="V82" s="56" t="str">
        <x:v>Selección única</x:v>
      </x:c>
      <x:c r="W82" s="56" t="str">
        <x:v>Mostrar opciones autorizadas; permitir una sola selección; opción literal preservada.</x:v>
      </x:c>
      <x:c r="X82" s="56" t="str">
        <x:v>scalar:string</x:v>
      </x:c>
      <x:c r="Y82" s="56" t="str">
        <x:v>Campo options / catálogo dinámico rector</x:v>
      </x:c>
      <x:c r="Z82" s="56" t="str">
        <x:v>slot_ref server-issued; no mapear por label ni posición.</x:v>
      </x:c>
      <x:c r="AA82" s="56" t="str">
        <x:v>EXPLICIT_FIELD_TYPE</x:v>
      </x:c>
      <x:c r="AB82" s="56" t="str">
        <x:v>Pantalla específica Bloque 5</x:v>
      </x:c>
      <x:c r="AC82" s="66" t="str"/>
      <x:c r="AD82" s="66" t="str">
        <x:v>No evaluado</x:v>
      </x:c>
      <x:c r="AE82" s="66" t="str">
        <x:v>No evaluado</x:v>
      </x:c>
      <x:c r="AF82" s="66" t="str">
        <x:v>No evaluado</x:v>
      </x:c>
      <x:c r="AG82" s="66" t="str">
        <x:v>No ejecutado</x:v>
      </x:c>
      <x:c r="AH82" s="68" t="str">
        <x:f>IF(AND(AD82="No evaluado",AE82="No evaluado",AF82="No evaluado",AG82="No ejecutado"),"No evaluado",IF(OR(AD82="Bloqueado",AE82="Bloqueado",AF82="Bloqueado",AG82="Bloqueado"),"Bloqueado",IF(OR(AE82="No conforme",AF82="No conforme",AG82="Falló"),"No conforme",IF(AND(OR(AD82="Implementado",AD82="No aplica"),OR(AE82="Conforme",AE82="No aplica"),OR(AF82="Conforme",AF82="No aplica"),OR(AG82="Pasó",AG82="No aplica")),"Conforme","Parcial"))))</x:f>
        <x:v>No evaluado</x:v>
      </x:c>
      <x:c r="AI82" s="56" t="str">
        <x:v>No conforme</x:v>
      </x:c>
      <x:c r="AJ82" s="66" t="str"/>
      <x:c r="AK82" s="66" t="str"/>
      <x:c r="AL82" s="56" t="str">
        <x:v>VALIDATED_044A3M / 170 identity tuples</x:v>
      </x:c>
      <x:c r="AM82" s="56" t="str">
        <x:v>TR-005; TR-006; TR-008; TR-016; TR-019; TR-028; TR-029</x:v>
      </x:c>
      <x:c r="AN82" s="66" t="str"/>
    </x:row>
    <x:row r="83" ht="58" customHeight="1">
      <x:c r="A83" s="56" t="str">
        <x:v>B5-Q31</x:v>
      </x:c>
      <x:c r="B83" s="56" t="str">
        <x:v>5</x:v>
      </x:c>
      <x:c r="C83" s="56" t="str">
        <x:v>base_40</x:v>
      </x:c>
      <x:c r="D83" s="56" t="n">
        <x:v>31</x:v>
      </x:c>
      <x:c r="E83" s="56" t="n">
        <x:v>1</x:v>
      </x:c>
      <x:c r="F83" s="56" t="str">
        <x:v>B5_5_7</x:v>
      </x:c>
      <x:c r="G83" s="56" t="str">
        <x:v>5.7</x:v>
      </x:c>
      <x:c r="H83" s="56" t="str">
        <x:v>Para hacer esta actividad bien y sin sacrificios recurrentes, ¿cuál de estas situaciones se parece más a lo que necesitarías?</x:v>
      </x:c>
      <x:c r="I83" s="56" t="str">
        <x:v>Elige la opción que más se acerque a lo que haría falta para hacer esta actividad bien y sin tener que compensar de forma recurrente.</x:v>
      </x:c>
      <x:c r="J83" s="56" t="str">
        <x:v>single_choice</x:v>
      </x:c>
      <x:c r="K83" s="56" t="str">
        <x:v>single_choice</x:v>
      </x:c>
      <x:c r="L83" s="56" t="str">
        <x:v>Estoy bien con las personas actuales / Necesitaría apoyo parcial en picos o urgencias / Necesitaría una persona más de forma estable / Necesitaría 2 o más personas más / No es solo un tema de personas, también falta sistema/tiempo/proceso</x:v>
      </x:c>
      <x:c r="M83" s="56" t="str">
        <x:v>Obligatoria si visible.</x:v>
      </x:c>
      <x:c r="N83" s="56" t="str">
        <x:v>Siempre visible.</x:v>
      </x:c>
      <x:c r="O83" s="56" t="str">
        <x:v>N/A</x:v>
      </x:c>
      <x:c r="P83" s="56" t="str">
        <x:v>visible_capture</x:v>
      </x:c>
      <x:c r="Q83" s="56" t="str">
        <x:v>DIRECT_CAPTURE_ONLY</x:v>
      </x:c>
      <x:c r="R83" s="56" t="str">
        <x:v>recursos_personas_requeridas_5_7</x:v>
      </x:c>
      <x:c r="S83" s="56" t="str">
        <x:v>captured_user_evidence</x:v>
      </x:c>
      <x:c r="T83" s="56" t="str">
        <x:v>Bloque_5_Documento_Madre_Capa1_v2_1_EVE_rev3.docx</x:v>
      </x:c>
      <x:c r="U83" s="56" t="str">
        <x:v>43c1d19ec3fd4e50f769dbd60d06685176c946a6364e3010b417cffff4266488</x:v>
      </x:c>
      <x:c r="V83" s="56" t="str">
        <x:v>Selección única</x:v>
      </x:c>
      <x:c r="W83" s="56" t="str">
        <x:v>Mostrar opciones autorizadas; permitir una sola selección; opción literal preservada.</x:v>
      </x:c>
      <x:c r="X83" s="56" t="str">
        <x:v>scalar:string</x:v>
      </x:c>
      <x:c r="Y83" s="56" t="str">
        <x:v>Campo options / catálogo dinámico rector</x:v>
      </x:c>
      <x:c r="Z83" s="56" t="str">
        <x:v>slot_ref server-issued; no mapear por label ni posición.</x:v>
      </x:c>
      <x:c r="AA83" s="56" t="str">
        <x:v>EXPLICIT_FIELD_TYPE</x:v>
      </x:c>
      <x:c r="AB83" s="56" t="str">
        <x:v>Pantalla específica Bloque 5</x:v>
      </x:c>
      <x:c r="AC83" s="66" t="str"/>
      <x:c r="AD83" s="66" t="str">
        <x:v>No evaluado</x:v>
      </x:c>
      <x:c r="AE83" s="66" t="str">
        <x:v>No evaluado</x:v>
      </x:c>
      <x:c r="AF83" s="66" t="str">
        <x:v>No evaluado</x:v>
      </x:c>
      <x:c r="AG83" s="66" t="str">
        <x:v>No ejecutado</x:v>
      </x:c>
      <x:c r="AH83" s="68" t="str">
        <x:f>IF(AND(AD83="No evaluado",AE83="No evaluado",AF83="No evaluado",AG83="No ejecutado"),"No evaluado",IF(OR(AD83="Bloqueado",AE83="Bloqueado",AF83="Bloqueado",AG83="Bloqueado"),"Bloqueado",IF(OR(AE83="No conforme",AF83="No conforme",AG83="Falló"),"No conforme",IF(AND(OR(AD83="Implementado",AD83="No aplica"),OR(AE83="Conforme",AE83="No aplica"),OR(AF83="Conforme",AF83="No aplica"),OR(AG83="Pasó",AG83="No aplica")),"Conforme","Parcial"))))</x:f>
        <x:v>No evaluado</x:v>
      </x:c>
      <x:c r="AI83" s="56" t="str">
        <x:v>No conforme</x:v>
      </x:c>
      <x:c r="AJ83" s="66" t="str"/>
      <x:c r="AK83" s="66" t="str"/>
      <x:c r="AL83" s="56" t="str">
        <x:v>VALIDATED_044A3M / 170 identity tuples</x:v>
      </x:c>
      <x:c r="AM83" s="56" t="str">
        <x:v>TR-005; TR-006; TR-008; TR-016; TR-019; TR-028; TR-029</x:v>
      </x:c>
      <x:c r="AN83" s="66" t="str"/>
    </x:row>
    <x:row r="84" ht="58" customHeight="1">
      <x:c r="A84" s="56" t="str">
        <x:v>B5-Q31</x:v>
      </x:c>
      <x:c r="B84" s="56" t="str">
        <x:v>5</x:v>
      </x:c>
      <x:c r="C84" s="56" t="str">
        <x:v>base_40</x:v>
      </x:c>
      <x:c r="D84" s="56" t="n">
        <x:v>31</x:v>
      </x:c>
      <x:c r="E84" s="56" t="n">
        <x:v>2</x:v>
      </x:c>
      <x:c r="F84" s="56" t="str">
        <x:v>B5_5_8</x:v>
      </x:c>
      <x:c r="G84" s="56" t="str">
        <x:v>5.8</x:v>
      </x:c>
      <x:c r="H84" s="56" t="str">
        <x:v>¿Cuánto tiempo REALMENTE necesitarías para hacer esto bien?</x:v>
      </x:c>
      <x:c r="I84" s="56" t="str">
        <x:v>Ahora responde con el tiempo que realmente necesitarías para hacer esta actividad bien, sin apuros crónicos ni sacrificios repetidos.</x:v>
      </x:c>
      <x:c r="J84" s="56" t="str">
        <x:v>single_choice</x:v>
      </x:c>
      <x:c r="K84" s="56" t="str">
        <x:v>single_choice</x:v>
      </x:c>
      <x:c r="L84" s="56" t="str">
        <x:v>100% / 75% / 50% / 25% / Menos del 25%</x:v>
      </x:c>
      <x:c r="M84" s="56" t="str">
        <x:v>Obligatoria si visible.</x:v>
      </x:c>
      <x:c r="N84" s="56" t="str">
        <x:v>Siempre visible.</x:v>
      </x:c>
      <x:c r="O84" s="56" t="str">
        <x:v>N/A</x:v>
      </x:c>
      <x:c r="P84" s="56" t="str">
        <x:v>visible_capture</x:v>
      </x:c>
      <x:c r="Q84" s="56" t="str">
        <x:v>DIRECT_CAPTURE_ONLY</x:v>
      </x:c>
      <x:c r="R84" s="56" t="str">
        <x:v>recursos_tiempo_requerido_5_8</x:v>
      </x:c>
      <x:c r="S84" s="56" t="str">
        <x:v>captured_user_evidence</x:v>
      </x:c>
      <x:c r="T84" s="56" t="str">
        <x:v>Bloque_5_Documento_Madre_Capa1_v2_1_EVE_rev3.docx</x:v>
      </x:c>
      <x:c r="U84" s="56" t="str">
        <x:v>43c1d19ec3fd4e50f769dbd60d06685176c946a6364e3010b417cffff4266488</x:v>
      </x:c>
      <x:c r="V84" s="56" t="str">
        <x:v>Selección única</x:v>
      </x:c>
      <x:c r="W84" s="56" t="str">
        <x:v>Mostrar opciones autorizadas; permitir una sola selección; opción literal preservada.</x:v>
      </x:c>
      <x:c r="X84" s="56" t="str">
        <x:v>scalar:string</x:v>
      </x:c>
      <x:c r="Y84" s="56" t="str">
        <x:v>Campo options / catálogo dinámico rector</x:v>
      </x:c>
      <x:c r="Z84" s="56" t="str">
        <x:v>slot_ref server-issued; no mapear por label ni posición.</x:v>
      </x:c>
      <x:c r="AA84" s="56" t="str">
        <x:v>EXPLICIT_FIELD_TYPE</x:v>
      </x:c>
      <x:c r="AB84" s="56" t="str">
        <x:v>Pantalla específica Bloque 5</x:v>
      </x:c>
      <x:c r="AC84" s="66" t="str"/>
      <x:c r="AD84" s="66" t="str">
        <x:v>No evaluado</x:v>
      </x:c>
      <x:c r="AE84" s="66" t="str">
        <x:v>No evaluado</x:v>
      </x:c>
      <x:c r="AF84" s="66" t="str">
        <x:v>No evaluado</x:v>
      </x:c>
      <x:c r="AG84" s="66" t="str">
        <x:v>No ejecutado</x:v>
      </x:c>
      <x:c r="AH84" s="68" t="str">
        <x:f>IF(AND(AD84="No evaluado",AE84="No evaluado",AF84="No evaluado",AG84="No ejecutado"),"No evaluado",IF(OR(AD84="Bloqueado",AE84="Bloqueado",AF84="Bloqueado",AG84="Bloqueado"),"Bloqueado",IF(OR(AE84="No conforme",AF84="No conforme",AG84="Falló"),"No conforme",IF(AND(OR(AD84="Implementado",AD84="No aplica"),OR(AE84="Conforme",AE84="No aplica"),OR(AF84="Conforme",AF84="No aplica"),OR(AG84="Pasó",AG84="No aplica")),"Conforme","Parcial"))))</x:f>
        <x:v>No evaluado</x:v>
      </x:c>
      <x:c r="AI84" s="56" t="str">
        <x:v>No conforme</x:v>
      </x:c>
      <x:c r="AJ84" s="66" t="str"/>
      <x:c r="AK84" s="66" t="str"/>
      <x:c r="AL84" s="56" t="str">
        <x:v>VALIDATED_044A3M / 170 identity tuples</x:v>
      </x:c>
      <x:c r="AM84" s="56" t="str">
        <x:v>TR-005; TR-006; TR-008; TR-016; TR-019; TR-028; TR-029</x:v>
      </x:c>
      <x:c r="AN84" s="66" t="str"/>
    </x:row>
    <x:row r="85" ht="58" customHeight="1">
      <x:c r="A85" s="56" t="str">
        <x:v>B5-Q32</x:v>
      </x:c>
      <x:c r="B85" s="56" t="str">
        <x:v>5</x:v>
      </x:c>
      <x:c r="C85" s="56" t="str">
        <x:v>base_40</x:v>
      </x:c>
      <x:c r="D85" s="56" t="n">
        <x:v>32</x:v>
      </x:c>
      <x:c r="E85" s="56" t="n">
        <x:v>1</x:v>
      </x:c>
      <x:c r="F85" s="56" t="str">
        <x:v>B5_5_9</x:v>
      </x:c>
      <x:c r="G85" s="56" t="str">
        <x:v>5.9</x:v>
      </x:c>
      <x:c r="H85" s="56" t="str">
        <x:v>¿En qué decisiones tienes libertad para actuar? ¿En cuáles estás constreñido?</x:v>
      </x:c>
      <x:c r="I85" s="56" t="str">
        <x:v>Marca las decisiones que realmente puedes tomar sin pedir permiso cada vez.</x:v>
      </x:c>
      <x:c r="J85" s="56" t="str">
        <x:v>multi_choice</x:v>
      </x:c>
      <x:c r="K85" s="56" t="str">
        <x:v>multi_choice</x:v>
      </x:c>
      <x:c r="L85" s="56" t="str">
        <x:v>Puedo decidir el orden / Puedo decidir cómo hacer cada tarea / Puedo decidir si algo es urgente / Puedo decidir si delego / Puedo decidir si algo está bien hecho / Puedo decidir si le digo no a una solicitud / Tengo muy poca decisión sobre esto</x:v>
      </x:c>
      <x:c r="M85" s="56" t="str">
        <x:v>Obligatoria si visible.</x:v>
      </x:c>
      <x:c r="N85" s="56" t="str">
        <x:v>Siempre visible.</x:v>
      </x:c>
      <x:c r="O85" s="56" t="str">
        <x:v>N/A</x:v>
      </x:c>
      <x:c r="P85" s="56" t="str">
        <x:v>visible_capture</x:v>
      </x:c>
      <x:c r="Q85" s="56" t="str">
        <x:v>DIRECT_CAPTURE_ONLY</x:v>
      </x:c>
      <x:c r="R85" s="56" t="str">
        <x:v>discrecionalidad_5_9</x:v>
      </x:c>
      <x:c r="S85" s="56" t="str">
        <x:v>captured_user_evidence</x:v>
      </x:c>
      <x:c r="T85" s="56" t="str">
        <x:v>Bloque_5_Documento_Madre_Capa1_v2_1_EVE_rev3.docx</x:v>
      </x:c>
      <x:c r="U85" s="56" t="str">
        <x:v>43c1d19ec3fd4e50f769dbd60d06685176c946a6364e3010b417cffff4266488</x:v>
      </x:c>
      <x:c r="V85" s="56" t="str">
        <x:v>Selección múltiple</x:v>
      </x:c>
      <x:c r="W85" s="56" t="str">
        <x:v>Mostrar opciones autorizadas; preservar conjunto exacto y exclusiones rectoras.</x:v>
      </x:c>
      <x:c r="X85" s="56" t="str">
        <x:v>array&lt;string&gt;</x:v>
      </x:c>
      <x:c r="Y85" s="56" t="str">
        <x:v>Campo options rector</x:v>
      </x:c>
      <x:c r="Z85" s="56" t="str">
        <x:v>slot_ref server-issued; cada selección conserva código literal.</x:v>
      </x:c>
      <x:c r="AA85" s="56" t="str">
        <x:v>EXPLICIT_FIELD_TYPE</x:v>
      </x:c>
      <x:c r="AB85" s="56" t="str">
        <x:v>Pantalla específica Bloque 5</x:v>
      </x:c>
      <x:c r="AC85" s="66" t="str"/>
      <x:c r="AD85" s="66" t="str">
        <x:v>No evaluado</x:v>
      </x:c>
      <x:c r="AE85" s="66" t="str">
        <x:v>No evaluado</x:v>
      </x:c>
      <x:c r="AF85" s="66" t="str">
        <x:v>No evaluado</x:v>
      </x:c>
      <x:c r="AG85" s="66" t="str">
        <x:v>No ejecutado</x:v>
      </x:c>
      <x:c r="AH85" s="68" t="str">
        <x:f>IF(AND(AD85="No evaluado",AE85="No evaluado",AF85="No evaluado",AG85="No ejecutado"),"No evaluado",IF(OR(AD85="Bloqueado",AE85="Bloqueado",AF85="Bloqueado",AG85="Bloqueado"),"Bloqueado",IF(OR(AE85="No conforme",AF85="No conforme",AG85="Falló"),"No conforme",IF(AND(OR(AD85="Implementado",AD85="No aplica"),OR(AE85="Conforme",AE85="No aplica"),OR(AF85="Conforme",AF85="No aplica"),OR(AG85="Pasó",AG85="No aplica")),"Conforme","Parcial"))))</x:f>
        <x:v>No evaluado</x:v>
      </x:c>
      <x:c r="AI85" s="56" t="str">
        <x:v>No conforme</x:v>
      </x:c>
      <x:c r="AJ85" s="66" t="str"/>
      <x:c r="AK85" s="66" t="str"/>
      <x:c r="AL85" s="56" t="str">
        <x:v>VALIDATED_044A3M / 170 identity tuples</x:v>
      </x:c>
      <x:c r="AM85" s="56" t="str">
        <x:v>TR-005; TR-006; TR-008; TR-016; TR-019; TR-028; TR-029</x:v>
      </x:c>
      <x:c r="AN85" s="66" t="str"/>
    </x:row>
    <x:row r="86" ht="58" customHeight="1">
      <x:c r="A86" s="56" t="str">
        <x:v>B5-Q32</x:v>
      </x:c>
      <x:c r="B86" s="56" t="str">
        <x:v>5</x:v>
      </x:c>
      <x:c r="C86" s="56" t="str">
        <x:v>base_40</x:v>
      </x:c>
      <x:c r="D86" s="56" t="n">
        <x:v>32</x:v>
      </x:c>
      <x:c r="E86" s="56" t="n">
        <x:v>2</x:v>
      </x:c>
      <x:c r="F86" s="56" t="str">
        <x:v>B5_5_10</x:v>
      </x:c>
      <x:c r="G86" s="56" t="str">
        <x:v>5.10</x:v>
      </x:c>
      <x:c r="H86" s="56" t="str">
        <x:v>¿Hay límites o restricciones que NO PUEDES cruzar bajo ninguna circunstancia?</x:v>
      </x:c>
      <x:c r="I86" s="56" t="str">
        <x:v>Selecciona los límites que realmente no puedes cruzar, aunque quisieras resolver mejor la actividad. Pueden ser restricciones de presupuesto, tiempo, proceso, herramientas, horario o margen de decisión.</x:v>
      </x:c>
      <x:c r="J86" s="56" t="str">
        <x:v>multi_choice</x:v>
      </x:c>
      <x:c r="K86" s="56" t="str">
        <x:v>multi_choice</x:v>
      </x:c>
      <x:c r="L86" s="56" t="str">
        <x:v>No puedo gastar más de X presupuesto / No puedo contratar más personas / No puedo cambiar el proceso / No puedo rechazar una solicitud / No puedo trabajar fuera de X horario / No puedo usar ciertos sistemas / No hay constreñimientos claros / Otro</x:v>
      </x:c>
      <x:c r="M86" s="56" t="str">
        <x:v>Obligatoria si visible.</x:v>
      </x:c>
      <x:c r="N86" s="56" t="str">
        <x:v>Siempre visible.</x:v>
      </x:c>
      <x:c r="O86" s="56" t="str">
        <x:v>N/A</x:v>
      </x:c>
      <x:c r="P86" s="56" t="str">
        <x:v>visible_capture</x:v>
      </x:c>
      <x:c r="Q86" s="56" t="str">
        <x:v>DIRECT_CAPTURE_ONLY</x:v>
      </x:c>
      <x:c r="R86" s="56" t="str">
        <x:v>constreñimientos_5_10</x:v>
      </x:c>
      <x:c r="S86" s="56" t="str">
        <x:v>captured_user_evidence</x:v>
      </x:c>
      <x:c r="T86" s="56" t="str">
        <x:v>Bloque_5_Documento_Madre_Capa1_v2_1_EVE_rev3.docx</x:v>
      </x:c>
      <x:c r="U86" s="56" t="str">
        <x:v>43c1d19ec3fd4e50f769dbd60d06685176c946a6364e3010b417cffff4266488</x:v>
      </x:c>
      <x:c r="V86" s="56" t="str">
        <x:v>Selección múltiple</x:v>
      </x:c>
      <x:c r="W86" s="56" t="str">
        <x:v>Mostrar opciones autorizadas; preservar conjunto exacto y exclusiones rectoras.</x:v>
      </x:c>
      <x:c r="X86" s="56" t="str">
        <x:v>array&lt;string&gt;</x:v>
      </x:c>
      <x:c r="Y86" s="56" t="str">
        <x:v>Campo options rector</x:v>
      </x:c>
      <x:c r="Z86" s="56" t="str">
        <x:v>slot_ref server-issued; cada selección conserva código literal.</x:v>
      </x:c>
      <x:c r="AA86" s="56" t="str">
        <x:v>EXPLICIT_FIELD_TYPE</x:v>
      </x:c>
      <x:c r="AB86" s="56" t="str">
        <x:v>Pantalla específica Bloque 5</x:v>
      </x:c>
      <x:c r="AC86" s="66" t="str"/>
      <x:c r="AD86" s="66" t="str">
        <x:v>No evaluado</x:v>
      </x:c>
      <x:c r="AE86" s="66" t="str">
        <x:v>No evaluado</x:v>
      </x:c>
      <x:c r="AF86" s="66" t="str">
        <x:v>No evaluado</x:v>
      </x:c>
      <x:c r="AG86" s="66" t="str">
        <x:v>No ejecutado</x:v>
      </x:c>
      <x:c r="AH86" s="68" t="str">
        <x:f>IF(AND(AD86="No evaluado",AE86="No evaluado",AF86="No evaluado",AG86="No ejecutado"),"No evaluado",IF(OR(AD86="Bloqueado",AE86="Bloqueado",AF86="Bloqueado",AG86="Bloqueado"),"Bloqueado",IF(OR(AE86="No conforme",AF86="No conforme",AG86="Falló"),"No conforme",IF(AND(OR(AD86="Implementado",AD86="No aplica"),OR(AE86="Conforme",AE86="No aplica"),OR(AF86="Conforme",AF86="No aplica"),OR(AG86="Pasó",AG86="No aplica")),"Conforme","Parcial"))))</x:f>
        <x:v>No evaluado</x:v>
      </x:c>
      <x:c r="AI86" s="56" t="str">
        <x:v>No conforme</x:v>
      </x:c>
      <x:c r="AJ86" s="66" t="str"/>
      <x:c r="AK86" s="66" t="str"/>
      <x:c r="AL86" s="56" t="str">
        <x:v>VALIDATED_044A3M / 170 identity tuples</x:v>
      </x:c>
      <x:c r="AM86" s="56" t="str">
        <x:v>TR-005; TR-006; TR-008; TR-016; TR-019; TR-028; TR-029</x:v>
      </x:c>
      <x:c r="AN86" s="66" t="str"/>
    </x:row>
    <x:row r="87" ht="58" customHeight="1">
      <x:c r="A87" s="56" t="str">
        <x:v>B5-Q33</x:v>
      </x:c>
      <x:c r="B87" s="56" t="str">
        <x:v>5</x:v>
      </x:c>
      <x:c r="C87" s="56" t="str">
        <x:v>base_40</x:v>
      </x:c>
      <x:c r="D87" s="56" t="n">
        <x:v>33</x:v>
      </x:c>
      <x:c r="E87" s="56" t="n">
        <x:v>1</x:v>
      </x:c>
      <x:c r="F87" s="56" t="str">
        <x:v>B5_5_11</x:v>
      </x:c>
      <x:c r="G87" s="56" t="str">
        <x:v>5.11</x:v>
      </x:c>
      <x:c r="H87" s="56" t="str">
        <x:v>Para hacer esta actividad dentro de los límites que tienes, ¿qué tienes que sacrificar?</x:v>
      </x:c>
      <x:c r="I87" s="56" t="str">
        <x:v>Piensa en lo que terminas cediendo para poder cumplir con esta actividad dentro de los límites actuales. Puede ser tiempo, calidad, descanso, otras responsabilidades o algo más.</x:v>
      </x:c>
      <x:c r="J87" s="56" t="str">
        <x:v>multi_choice</x:v>
      </x:c>
      <x:c r="K87" s="56" t="str">
        <x:v>multi_choice</x:v>
      </x:c>
      <x:c r="L87" s="56" t="str">
        <x:v>Tiempo personal / Calidad / Otras responsabilidades / Salud mental o estrés / Relaciones / Descanso o sueño / No sacrifico nada / Otro</x:v>
      </x:c>
      <x:c r="M87" s="56" t="str">
        <x:v>Obligatoria si visible.</x:v>
      </x:c>
      <x:c r="N87" s="56" t="str">
        <x:v>Siempre visible.</x:v>
      </x:c>
      <x:c r="O87" s="56" t="str">
        <x:v>N/A</x:v>
      </x:c>
      <x:c r="P87" s="56" t="str">
        <x:v>visible_capture</x:v>
      </x:c>
      <x:c r="Q87" s="56" t="str">
        <x:v>DIRECT_CAPTURE_ONLY</x:v>
      </x:c>
      <x:c r="R87" s="56" t="str">
        <x:v>compensacion_5_11</x:v>
      </x:c>
      <x:c r="S87" s="56" t="str">
        <x:v>captured_user_evidence</x:v>
      </x:c>
      <x:c r="T87" s="56" t="str">
        <x:v>Bloque_5_Documento_Madre_Capa1_v2_1_EVE_rev3.docx</x:v>
      </x:c>
      <x:c r="U87" s="56" t="str">
        <x:v>43c1d19ec3fd4e50f769dbd60d06685176c946a6364e3010b417cffff4266488</x:v>
      </x:c>
      <x:c r="V87" s="56" t="str">
        <x:v>Selección múltiple</x:v>
      </x:c>
      <x:c r="W87" s="56" t="str">
        <x:v>Mostrar opciones autorizadas; preservar conjunto exacto y exclusiones rectoras.</x:v>
      </x:c>
      <x:c r="X87" s="56" t="str">
        <x:v>array&lt;string&gt;</x:v>
      </x:c>
      <x:c r="Y87" s="56" t="str">
        <x:v>Campo options rector</x:v>
      </x:c>
      <x:c r="Z87" s="56" t="str">
        <x:v>slot_ref server-issued; cada selección conserva código literal.</x:v>
      </x:c>
      <x:c r="AA87" s="56" t="str">
        <x:v>EXPLICIT_FIELD_TYPE</x:v>
      </x:c>
      <x:c r="AB87" s="56" t="str">
        <x:v>Pantalla específica Bloque 5</x:v>
      </x:c>
      <x:c r="AC87" s="66" t="str"/>
      <x:c r="AD87" s="66" t="str">
        <x:v>No evaluado</x:v>
      </x:c>
      <x:c r="AE87" s="66" t="str">
        <x:v>No evaluado</x:v>
      </x:c>
      <x:c r="AF87" s="66" t="str">
        <x:v>No evaluado</x:v>
      </x:c>
      <x:c r="AG87" s="66" t="str">
        <x:v>No ejecutado</x:v>
      </x:c>
      <x:c r="AH87" s="68" t="str">
        <x:f>IF(AND(AD87="No evaluado",AE87="No evaluado",AF87="No evaluado",AG87="No ejecutado"),"No evaluado",IF(OR(AD87="Bloqueado",AE87="Bloqueado",AF87="Bloqueado",AG87="Bloqueado"),"Bloqueado",IF(OR(AE87="No conforme",AF87="No conforme",AG87="Falló"),"No conforme",IF(AND(OR(AD87="Implementado",AD87="No aplica"),OR(AE87="Conforme",AE87="No aplica"),OR(AF87="Conforme",AF87="No aplica"),OR(AG87="Pasó",AG87="No aplica")),"Conforme","Parcial"))))</x:f>
        <x:v>No evaluado</x:v>
      </x:c>
      <x:c r="AI87" s="56" t="str">
        <x:v>No conforme</x:v>
      </x:c>
      <x:c r="AJ87" s="66" t="str"/>
      <x:c r="AK87" s="66" t="str"/>
      <x:c r="AL87" s="56" t="str">
        <x:v>VALIDATED_044A3M / 170 identity tuples</x:v>
      </x:c>
      <x:c r="AM87" s="56" t="str">
        <x:v>TR-005; TR-006; TR-008; TR-016; TR-019; TR-028; TR-029</x:v>
      </x:c>
      <x:c r="AN87" s="66" t="str"/>
    </x:row>
    <x:row r="88" ht="58" customHeight="1">
      <x:c r="A88" s="56" t="str">
        <x:v>B5-Q33</x:v>
      </x:c>
      <x:c r="B88" s="56" t="str">
        <x:v>5</x:v>
      </x:c>
      <x:c r="C88" s="56" t="str">
        <x:v>base_40</x:v>
      </x:c>
      <x:c r="D88" s="56" t="n">
        <x:v>33</x:v>
      </x:c>
      <x:c r="E88" s="56" t="n">
        <x:v>2</x:v>
      </x:c>
      <x:c r="F88" s="56" t="str">
        <x:v>B5_5_12</x:v>
      </x:c>
      <x:c r="G88" s="56" t="str">
        <x:v>5.12</x:v>
      </x:c>
      <x:c r="H88" s="56" t="str">
        <x:v>¿Hay casos o situaciones que simplemente NO puedes absorber? ¿Qué se escapa?</x:v>
      </x:c>
      <x:c r="I88" s="56" t="str">
        <x:v>Queremos identificar qué tipos de casos, situaciones o variaciones rebasan tu capacidad normal. Marca lo que se te escapa o te deja sin margen, aunque ocurra solo en ciertos momentos.</x:v>
      </x:c>
      <x:c r="J88" s="56" t="str">
        <x:v>multi_choice</x:v>
      </x:c>
      <x:c r="K88" s="56" t="str">
        <x:v>multi_choice</x:v>
      </x:c>
      <x:c r="L88" s="56" t="str">
        <x:v>Casos excepcionales / Urgencias sin aviso / Cambios de requisitos / Volumen inesperado / Problemas de calidad / Nada se escapa / Otro</x:v>
      </x:c>
      <x:c r="M88" s="56" t="str">
        <x:v>Obligatoria si visible.</x:v>
      </x:c>
      <x:c r="N88" s="56" t="str">
        <x:v>Siempre visible.</x:v>
      </x:c>
      <x:c r="O88" s="56" t="str">
        <x:v>N/A</x:v>
      </x:c>
      <x:c r="P88" s="56" t="str">
        <x:v>visible_capture</x:v>
      </x:c>
      <x:c r="Q88" s="56" t="str">
        <x:v>DIRECT_CAPTURE_ONLY</x:v>
      </x:c>
      <x:c r="R88" s="56" t="str">
        <x:v>variedad_residual_5_12</x:v>
      </x:c>
      <x:c r="S88" s="56" t="str">
        <x:v>captured_user_evidence</x:v>
      </x:c>
      <x:c r="T88" s="56" t="str">
        <x:v>Bloque_5_Documento_Madre_Capa1_v2_1_EVE_rev3.docx</x:v>
      </x:c>
      <x:c r="U88" s="56" t="str">
        <x:v>43c1d19ec3fd4e50f769dbd60d06685176c946a6364e3010b417cffff4266488</x:v>
      </x:c>
      <x:c r="V88" s="56" t="str">
        <x:v>Selección múltiple</x:v>
      </x:c>
      <x:c r="W88" s="56" t="str">
        <x:v>Mostrar opciones autorizadas; preservar conjunto exacto y exclusiones rectoras.</x:v>
      </x:c>
      <x:c r="X88" s="56" t="str">
        <x:v>array&lt;string&gt;</x:v>
      </x:c>
      <x:c r="Y88" s="56" t="str">
        <x:v>Campo options rector</x:v>
      </x:c>
      <x:c r="Z88" s="56" t="str">
        <x:v>slot_ref server-issued; cada selección conserva código literal.</x:v>
      </x:c>
      <x:c r="AA88" s="56" t="str">
        <x:v>EXPLICIT_FIELD_TYPE</x:v>
      </x:c>
      <x:c r="AB88" s="56" t="str">
        <x:v>Pantalla específica Bloque 5</x:v>
      </x:c>
      <x:c r="AC88" s="66" t="str"/>
      <x:c r="AD88" s="66" t="str">
        <x:v>No evaluado</x:v>
      </x:c>
      <x:c r="AE88" s="66" t="str">
        <x:v>No evaluado</x:v>
      </x:c>
      <x:c r="AF88" s="66" t="str">
        <x:v>No evaluado</x:v>
      </x:c>
      <x:c r="AG88" s="66" t="str">
        <x:v>No ejecutado</x:v>
      </x:c>
      <x:c r="AH88" s="68" t="str">
        <x:f>IF(AND(AD88="No evaluado",AE88="No evaluado",AF88="No evaluado",AG88="No ejecutado"),"No evaluado",IF(OR(AD88="Bloqueado",AE88="Bloqueado",AF88="Bloqueado",AG88="Bloqueado"),"Bloqueado",IF(OR(AE88="No conforme",AF88="No conforme",AG88="Falló"),"No conforme",IF(AND(OR(AD88="Implementado",AD88="No aplica"),OR(AE88="Conforme",AE88="No aplica"),OR(AF88="Conforme",AF88="No aplica"),OR(AG88="Pasó",AG88="No aplica")),"Conforme","Parcial"))))</x:f>
        <x:v>No evaluado</x:v>
      </x:c>
      <x:c r="AI88" s="56" t="str">
        <x:v>No conforme</x:v>
      </x:c>
      <x:c r="AJ88" s="66" t="str"/>
      <x:c r="AK88" s="66" t="str"/>
      <x:c r="AL88" s="56" t="str">
        <x:v>VALIDATED_044A3M / 170 identity tuples</x:v>
      </x:c>
      <x:c r="AM88" s="56" t="str">
        <x:v>TR-005; TR-006; TR-008; TR-016; TR-019; TR-028; TR-029</x:v>
      </x:c>
      <x:c r="AN88" s="66" t="str"/>
    </x:row>
    <x:row r="89" ht="58" customHeight="1">
      <x:c r="A89" s="56" t="str">
        <x:v>B5-Q33</x:v>
      </x:c>
      <x:c r="B89" s="56" t="str">
        <x:v>5</x:v>
      </x:c>
      <x:c r="C89" s="56" t="str">
        <x:v>base_40</x:v>
      </x:c>
      <x:c r="D89" s="56" t="n">
        <x:v>33</x:v>
      </x:c>
      <x:c r="E89" s="56" t="n">
        <x:v>3</x:v>
      </x:c>
      <x:c r="F89" s="56" t="str">
        <x:v>B5_5_14</x:v>
      </x:c>
      <x:c r="G89" s="56" t="str">
        <x:v>5.14</x:v>
      </x:c>
      <x:c r="H89" s="56" t="str">
        <x:v>Con los recursos que tienes hoy, ¿qué tan sostenible es cumplir esta actividad sin sacrificar otras cosas?</x:v>
      </x:c>
      <x:c r="I89" s="56" t="str">
        <x:v>Piensa en si esta actividad puede sostenerse en el tiempo con los recursos actuales, sin que tú tengas que compensar constantemente con sacrificios o tensiones.</x:v>
      </x:c>
      <x:c r="J89" s="56" t="str">
        <x:v>single_choice</x:v>
      </x:c>
      <x:c r="K89" s="56" t="str">
        <x:v>single_choice</x:v>
      </x:c>
      <x:c r="L89" s="56" t="str">
        <x:v>Sostenible / Tenso pero manejable / Se cumple, pero a costa de sacrificios frecuentes / Es insostenible en el tiempo / No está claro porque cambia demasiado</x:v>
      </x:c>
      <x:c r="M89" s="56" t="str">
        <x:v>Obligatoria si visible.</x:v>
      </x:c>
      <x:c r="N89" s="56" t="str">
        <x:v>Siempre visible.</x:v>
      </x:c>
      <x:c r="O89" s="56" t="str">
        <x:v>Puede activar 5.B.</x:v>
      </x:c>
      <x:c r="P89" s="56" t="str">
        <x:v>visible_capture</x:v>
      </x:c>
      <x:c r="Q89" s="56" t="str">
        <x:v>DIRECT_CAPTURE_ONLY</x:v>
      </x:c>
      <x:c r="R89" s="56" t="str">
        <x:v>resource_bargain_5_14</x:v>
      </x:c>
      <x:c r="S89" s="56" t="str">
        <x:v>captured_user_evidence</x:v>
      </x:c>
      <x:c r="T89" s="56" t="str">
        <x:v>Bloque_5_Documento_Madre_Capa1_v2_1_EVE_rev3.docx</x:v>
      </x:c>
      <x:c r="U89" s="56" t="str">
        <x:v>43c1d19ec3fd4e50f769dbd60d06685176c946a6364e3010b417cffff4266488</x:v>
      </x:c>
      <x:c r="V89" s="56" t="str">
        <x:v>Selección única</x:v>
      </x:c>
      <x:c r="W89" s="56" t="str">
        <x:v>Mostrar opciones autorizadas; permitir una sola selección; opción literal preservada.</x:v>
      </x:c>
      <x:c r="X89" s="56" t="str">
        <x:v>scalar:string</x:v>
      </x:c>
      <x:c r="Y89" s="56" t="str">
        <x:v>Campo options / catálogo dinámico rector</x:v>
      </x:c>
      <x:c r="Z89" s="56" t="str">
        <x:v>slot_ref server-issued; no mapear por label ni posición.</x:v>
      </x:c>
      <x:c r="AA89" s="56" t="str">
        <x:v>EXPLICIT_FIELD_TYPE</x:v>
      </x:c>
      <x:c r="AB89" s="56" t="str">
        <x:v>Pantalla específica Bloque 5</x:v>
      </x:c>
      <x:c r="AC89" s="66" t="str"/>
      <x:c r="AD89" s="66" t="str">
        <x:v>No evaluado</x:v>
      </x:c>
      <x:c r="AE89" s="66" t="str">
        <x:v>No evaluado</x:v>
      </x:c>
      <x:c r="AF89" s="66" t="str">
        <x:v>No evaluado</x:v>
      </x:c>
      <x:c r="AG89" s="66" t="str">
        <x:v>No ejecutado</x:v>
      </x:c>
      <x:c r="AH89" s="68" t="str">
        <x:f>IF(AND(AD89="No evaluado",AE89="No evaluado",AF89="No evaluado",AG89="No ejecutado"),"No evaluado",IF(OR(AD89="Bloqueado",AE89="Bloqueado",AF89="Bloqueado",AG89="Bloqueado"),"Bloqueado",IF(OR(AE89="No conforme",AF89="No conforme",AG89="Falló"),"No conforme",IF(AND(OR(AD89="Implementado",AD89="No aplica"),OR(AE89="Conforme",AE89="No aplica"),OR(AF89="Conforme",AF89="No aplica"),OR(AG89="Pasó",AG89="No aplica")),"Conforme","Parcial"))))</x:f>
        <x:v>No evaluado</x:v>
      </x:c>
      <x:c r="AI89" s="56" t="str">
        <x:v>No conforme</x:v>
      </x:c>
      <x:c r="AJ89" s="66" t="str"/>
      <x:c r="AK89" s="66" t="str"/>
      <x:c r="AL89" s="56" t="str">
        <x:v>VALIDATED_044A3M / 170 identity tuples</x:v>
      </x:c>
      <x:c r="AM89" s="56" t="str">
        <x:v>TR-005; TR-006; TR-008; TR-016; TR-019; TR-028; TR-029</x:v>
      </x:c>
      <x:c r="AN89" s="66" t="str"/>
    </x:row>
    <x:row r="90" ht="58" customHeight="1">
      <x:c r="A90" s="56" t="str">
        <x:v>B6-Q34</x:v>
      </x:c>
      <x:c r="B90" s="56" t="str">
        <x:v>6</x:v>
      </x:c>
      <x:c r="C90" s="56" t="str">
        <x:v>base_40</x:v>
      </x:c>
      <x:c r="D90" s="56" t="n">
        <x:v>34</x:v>
      </x:c>
      <x:c r="E90" s="56" t="n">
        <x:v>1</x:v>
      </x:c>
      <x:c r="F90" s="56" t="str">
        <x:v>B6_6_1</x:v>
      </x:c>
      <x:c r="G90" s="56" t="str">
        <x:v>6.1</x:v>
      </x:c>
      <x:c r="H90" s="56" t="str">
        <x:v>Cuando esto no sale como debería, ¿qué haces TÚ para que no se caiga? ¿Hay algún procedimiento, atajo o solución que tuviste que inventar?</x:v>
      </x:c>
      <x:c r="I90" s="56" t="str">
        <x:v>Describe lo que haces de verdad para que la actividad siga funcionando cuando el sistema no alcanza. Puede ser un archivo manual, un paso extra, saltarte algo que no sirve, usar otra herramienta o pedir apoyo informal.</x:v>
      </x:c>
      <x:c r="J90" s="56" t="str">
        <x:v>hybrid_choice_text</x:v>
      </x:c>
      <x:c r="K90" s="56" t="str">
        <x:v>hybrid_choice_text</x:v>
      </x:c>
      <x:c r="L90" s="56" t="str">
        <x:v>Hago un archivo manual / Hago un paso extra / Salto un paso / Uso otro sistema / Pido ayuda informal / Otro</x:v>
      </x:c>
      <x:c r="M90" s="56" t="str">
        <x:v>Siempre obligatoria.</x:v>
      </x:c>
      <x:c r="N90" s="56" t="str">
        <x:v>Siempre visible al inicio del bloque.</x:v>
      </x:c>
      <x:c r="O90" s="56" t="str">
        <x:v>No activa subpreguntas, pero puede contribuir a 6.A si sigue habiendo silencio de compensación.</x:v>
      </x:c>
      <x:c r="P90" s="56" t="str">
        <x:v>visible_capture</x:v>
      </x:c>
      <x:c r="Q90" s="56" t="str">
        <x:v>DIRECT_CAPTURE_ONLY</x:v>
      </x:c>
      <x:c r="R90" s="56" t="str">
        <x:v>workaround_used | workaround_types</x:v>
      </x:c>
      <x:c r="S90" s="56" t="str">
        <x:v>captured_user_evidence</x:v>
      </x:c>
      <x:c r="T90" s="56" t="str">
        <x:v>Bloque_6_Documento_Madre_Capa1_v2_1_EVE_rev4_reconstruido.docx</x:v>
      </x:c>
      <x:c r="U90" s="56" t="str">
        <x:v>32120139abad0348c007c31b16ee38e7e18954d85a6dca8054c48c4a96732b2d</x:v>
      </x:c>
      <x:c r="V90" s="56" t="str">
        <x:v>Selección + texto complementario</x:v>
      </x:c>
      <x:c r="W90" s="56" t="str">
        <x:v>Persistir choice y free_text por separado; activar texto según regla.</x:v>
      </x:c>
      <x:c r="X90" s="56" t="str">
        <x:v>choice:string|array + free_text:string|null</x:v>
      </x:c>
      <x:c r="Y90" s="56" t="str">
        <x:v>Campo options rector / catálogo dinámico</x:v>
      </x:c>
      <x:c r="Z90" s="56" t="str">
        <x:v>slot_ref para la unidad híbrida; servidor preserva partes separadas.</x:v>
      </x:c>
      <x:c r="AA90" s="56" t="str">
        <x:v>EXPLICIT_COMPOSITE</x:v>
      </x:c>
      <x:c r="AB90" s="56" t="str">
        <x:v>Pantalla específica Bloque 6</x:v>
      </x:c>
      <x:c r="AC90" s="66" t="str"/>
      <x:c r="AD90" s="66" t="str">
        <x:v>No evaluado</x:v>
      </x:c>
      <x:c r="AE90" s="66" t="str">
        <x:v>No evaluado</x:v>
      </x:c>
      <x:c r="AF90" s="66" t="str">
        <x:v>No evaluado</x:v>
      </x:c>
      <x:c r="AG90" s="66" t="str">
        <x:v>No ejecutado</x:v>
      </x:c>
      <x:c r="AH90" s="68" t="str">
        <x:f>IF(AND(AD90="No evaluado",AE90="No evaluado",AF90="No evaluado",AG90="No ejecutado"),"No evaluado",IF(OR(AD90="Bloqueado",AE90="Bloqueado",AF90="Bloqueado",AG90="Bloqueado"),"Bloqueado",IF(OR(AE90="No conforme",AF90="No conforme",AG90="Falló"),"No conforme",IF(AND(OR(AD90="Implementado",AD90="No aplica"),OR(AE90="Conforme",AE90="No aplica"),OR(AF90="Conforme",AF90="No aplica"),OR(AG90="Pasó",AG90="No aplica")),"Conforme","Parcial"))))</x:f>
        <x:v>No evaluado</x:v>
      </x:c>
      <x:c r="AI90" s="56" t="str">
        <x:v>No conforme</x:v>
      </x:c>
      <x:c r="AJ90" s="66" t="str"/>
      <x:c r="AK90" s="66" t="str"/>
      <x:c r="AL90" s="56" t="str">
        <x:v>VALIDATED_044A3M / 170 identity tuples</x:v>
      </x:c>
      <x:c r="AM90" s="56" t="str">
        <x:v>TR-005; TR-006; TR-008; TR-016; TR-019; TR-028; TR-029</x:v>
      </x:c>
      <x:c r="AN90" s="66" t="str"/>
    </x:row>
    <x:row r="91" ht="58" customHeight="1">
      <x:c r="A91" s="56" t="str">
        <x:v>B6-Q35</x:v>
      </x:c>
      <x:c r="B91" s="56" t="str">
        <x:v>6</x:v>
      </x:c>
      <x:c r="C91" s="56" t="str">
        <x:v>base_40</x:v>
      </x:c>
      <x:c r="D91" s="56" t="n">
        <x:v>35</x:v>
      </x:c>
      <x:c r="E91" s="56" t="n">
        <x:v>1</x:v>
      </x:c>
      <x:c r="F91" s="56" t="str">
        <x:v>B6_6_2</x:v>
      </x:c>
      <x:c r="G91" s="56" t="str">
        <x:v>6.2</x:v>
      </x:c>
      <x:c r="H91" s="56" t="str">
        <x:v>¿Hay trabajo que tengas que hacer más de una vez? ¿Hay algo que regresa, que hay que corregir, que no “pega” a la primera?</x:v>
      </x:c>
      <x:c r="I91" s="56" t="str">
        <x:v>Aquí buscamos saber si algo rebota, regresa o tiene que rehacerse. Responde pensando en la práctica real, no en cómo debería funcionar el proceso.</x:v>
      </x:c>
      <x:c r="J91" s="56" t="str">
        <x:v>single_choice</x:v>
      </x:c>
      <x:c r="K91" s="56" t="str">
        <x:v>single_choice</x:v>
      </x:c>
      <x:c r="L91" s="56" t="str">
        <x:v>No / Sí</x:v>
      </x:c>
      <x:c r="M91" s="56" t="str">
        <x:v>Siempre obligatoria.</x:v>
      </x:c>
      <x:c r="N91" s="56" t="str">
        <x:v>Siempre visible.</x:v>
      </x:c>
      <x:c r="O91" s="56" t="str">
        <x:v>Si respuesta = Sí, mostrar 6.2a, 6.2b y 6.2c.</x:v>
      </x:c>
      <x:c r="P91" s="56" t="str">
        <x:v>visible_capture</x:v>
      </x:c>
      <x:c r="Q91" s="56" t="str">
        <x:v>DIRECT_CAPTURE_ONLY</x:v>
      </x:c>
      <x:c r="R91" s="56" t="str">
        <x:v>rework_present</x:v>
      </x:c>
      <x:c r="S91" s="56" t="str">
        <x:v>captured_user_evidence</x:v>
      </x:c>
      <x:c r="T91" s="56" t="str">
        <x:v>Bloque_6_Documento_Madre_Capa1_v2_1_EVE_rev4_reconstruido.docx</x:v>
      </x:c>
      <x:c r="U91" s="56" t="str">
        <x:v>32120139abad0348c007c31b16ee38e7e18954d85a6dca8054c48c4a96732b2d</x:v>
      </x:c>
      <x:c r="V91" s="56" t="str">
        <x:v>Selección única</x:v>
      </x:c>
      <x:c r="W91" s="56" t="str">
        <x:v>Mostrar opciones autorizadas; permitir una sola selección; opción literal preservada.</x:v>
      </x:c>
      <x:c r="X91" s="56" t="str">
        <x:v>scalar:string</x:v>
      </x:c>
      <x:c r="Y91" s="56" t="str">
        <x:v>Campo options / catálogo dinámico rector</x:v>
      </x:c>
      <x:c r="Z91" s="56" t="str">
        <x:v>slot_ref server-issued; no mapear por label ni posición.</x:v>
      </x:c>
      <x:c r="AA91" s="56" t="str">
        <x:v>EXPLICIT_FIELD_TYPE</x:v>
      </x:c>
      <x:c r="AB91" s="56" t="str">
        <x:v>Pantalla específica Bloque 6</x:v>
      </x:c>
      <x:c r="AC91" s="66" t="str"/>
      <x:c r="AD91" s="66" t="str">
        <x:v>No evaluado</x:v>
      </x:c>
      <x:c r="AE91" s="66" t="str">
        <x:v>No evaluado</x:v>
      </x:c>
      <x:c r="AF91" s="66" t="str">
        <x:v>No evaluado</x:v>
      </x:c>
      <x:c r="AG91" s="66" t="str">
        <x:v>No ejecutado</x:v>
      </x:c>
      <x:c r="AH91" s="68" t="str">
        <x:f>IF(AND(AD91="No evaluado",AE91="No evaluado",AF91="No evaluado",AG91="No ejecutado"),"No evaluado",IF(OR(AD91="Bloqueado",AE91="Bloqueado",AF91="Bloqueado",AG91="Bloqueado"),"Bloqueado",IF(OR(AE91="No conforme",AF91="No conforme",AG91="Falló"),"No conforme",IF(AND(OR(AD91="Implementado",AD91="No aplica"),OR(AE91="Conforme",AE91="No aplica"),OR(AF91="Conforme",AF91="No aplica"),OR(AG91="Pasó",AG91="No aplica")),"Conforme","Parcial"))))</x:f>
        <x:v>No evaluado</x:v>
      </x:c>
      <x:c r="AI91" s="56" t="str">
        <x:v>No conforme</x:v>
      </x:c>
      <x:c r="AJ91" s="66" t="str"/>
      <x:c r="AK91" s="66" t="str"/>
      <x:c r="AL91" s="56" t="str">
        <x:v>VALIDATED_044A3M / 170 identity tuples</x:v>
      </x:c>
      <x:c r="AM91" s="56" t="str">
        <x:v>TR-005; TR-006; TR-008; TR-016; TR-019; TR-028; TR-029</x:v>
      </x:c>
      <x:c r="AN91" s="66" t="str"/>
    </x:row>
    <x:row r="92" ht="58" customHeight="1">
      <x:c r="A92" s="56" t="str">
        <x:v>B6-Q36</x:v>
      </x:c>
      <x:c r="B92" s="56" t="str">
        <x:v>6</x:v>
      </x:c>
      <x:c r="C92" s="56" t="str">
        <x:v>base_40</x:v>
      </x:c>
      <x:c r="D92" s="56" t="n">
        <x:v>36</x:v>
      </x:c>
      <x:c r="E92" s="56" t="n">
        <x:v>1</x:v>
      </x:c>
      <x:c r="F92" s="56" t="str">
        <x:v>B6_6_3</x:v>
      </x:c>
      <x:c r="G92" s="56" t="str">
        <x:v>6.3</x:v>
      </x:c>
      <x:c r="H92" s="56" t="str">
        <x:v>¿Hay información, datos, aprobación o claridad que NO TE LLEGA cuando la necesitas?</x:v>
      </x:c>
      <x:c r="I92" s="56" t="str">
        <x:v>Marca lo que normalmente no te llega a tiempo o no te llega con claridad suficiente. Si todo fluye bien, también es importante que quede registrado.</x:v>
      </x:c>
      <x:c r="J92" s="56" t="str">
        <x:v>hybrid_choice_text</x:v>
      </x:c>
      <x:c r="K92" s="56" t="str">
        <x:v>hybrid_choice_text</x:v>
      </x:c>
      <x:c r="L92" s="56" t="str">
        <x:v>No me llega aprobación / No me llega info del cliente / No me llega info de otro equipo / No me llega claridad / No me llega feedback / No me llega actualización / No me falta información / Otro</x:v>
      </x:c>
      <x:c r="M92" s="56" t="str">
        <x:v>Siempre obligatoria.</x:v>
      </x:c>
      <x:c r="N92" s="56" t="str">
        <x:v>Siempre visible.</x:v>
      </x:c>
      <x:c r="O92" s="56" t="str">
        <x:v>Si la selección indica alguna carencia, mostrar 6.3a.</x:v>
      </x:c>
      <x:c r="P92" s="56" t="str">
        <x:v>visible_capture</x:v>
      </x:c>
      <x:c r="Q92" s="56" t="str">
        <x:v>DIRECT_CAPTURE_ONLY</x:v>
      </x:c>
      <x:c r="R92" s="56" t="str">
        <x:v>missing_information</x:v>
      </x:c>
      <x:c r="S92" s="56" t="str">
        <x:v>captured_user_evidence</x:v>
      </x:c>
      <x:c r="T92" s="56" t="str">
        <x:v>Bloque_6_Documento_Madre_Capa1_v2_1_EVE_rev4_reconstruido.docx</x:v>
      </x:c>
      <x:c r="U92" s="56" t="str">
        <x:v>32120139abad0348c007c31b16ee38e7e18954d85a6dca8054c48c4a96732b2d</x:v>
      </x:c>
      <x:c r="V92" s="56" t="str">
        <x:v>Selección + texto complementario</x:v>
      </x:c>
      <x:c r="W92" s="56" t="str">
        <x:v>Persistir choice y free_text por separado; activar texto según regla.</x:v>
      </x:c>
      <x:c r="X92" s="56" t="str">
        <x:v>choice:string|array + free_text:string|null</x:v>
      </x:c>
      <x:c r="Y92" s="56" t="str">
        <x:v>Campo options rector / catálogo dinámico</x:v>
      </x:c>
      <x:c r="Z92" s="56" t="str">
        <x:v>slot_ref para la unidad híbrida; servidor preserva partes separadas.</x:v>
      </x:c>
      <x:c r="AA92" s="56" t="str">
        <x:v>EXPLICIT_COMPOSITE</x:v>
      </x:c>
      <x:c r="AB92" s="56" t="str">
        <x:v>Pantalla específica Bloque 6</x:v>
      </x:c>
      <x:c r="AC92" s="66" t="str"/>
      <x:c r="AD92" s="66" t="str">
        <x:v>No evaluado</x:v>
      </x:c>
      <x:c r="AE92" s="66" t="str">
        <x:v>No evaluado</x:v>
      </x:c>
      <x:c r="AF92" s="66" t="str">
        <x:v>No evaluado</x:v>
      </x:c>
      <x:c r="AG92" s="66" t="str">
        <x:v>No ejecutado</x:v>
      </x:c>
      <x:c r="AH92" s="68" t="str">
        <x:f>IF(AND(AD92="No evaluado",AE92="No evaluado",AF92="No evaluado",AG92="No ejecutado"),"No evaluado",IF(OR(AD92="Bloqueado",AE92="Bloqueado",AF92="Bloqueado",AG92="Bloqueado"),"Bloqueado",IF(OR(AE92="No conforme",AF92="No conforme",AG92="Falló"),"No conforme",IF(AND(OR(AD92="Implementado",AD92="No aplica"),OR(AE92="Conforme",AE92="No aplica"),OR(AF92="Conforme",AF92="No aplica"),OR(AG92="Pasó",AG92="No aplica")),"Conforme","Parcial"))))</x:f>
        <x:v>No evaluado</x:v>
      </x:c>
      <x:c r="AI92" s="56" t="str">
        <x:v>No conforme</x:v>
      </x:c>
      <x:c r="AJ92" s="66" t="str"/>
      <x:c r="AK92" s="66" t="str"/>
      <x:c r="AL92" s="56" t="str">
        <x:v>VALIDATED_044A3M / 170 identity tuples</x:v>
      </x:c>
      <x:c r="AM92" s="56" t="str">
        <x:v>TR-005; TR-006; TR-008; TR-016; TR-019; TR-028; TR-029</x:v>
      </x:c>
      <x:c r="AN92" s="66" t="str"/>
    </x:row>
    <x:row r="93" ht="58" customHeight="1">
      <x:c r="A93" s="56" t="str">
        <x:v>B6-Q36</x:v>
      </x:c>
      <x:c r="B93" s="56" t="str">
        <x:v>6</x:v>
      </x:c>
      <x:c r="C93" s="56" t="str">
        <x:v>base_40</x:v>
      </x:c>
      <x:c r="D93" s="56" t="n">
        <x:v>36</x:v>
      </x:c>
      <x:c r="E93" s="56" t="n">
        <x:v>2</x:v>
      </x:c>
      <x:c r="F93" s="56" t="str">
        <x:v>B6_6_4</x:v>
      </x:c>
      <x:c r="G93" s="56" t="str">
        <x:v>6.4</x:v>
      </x:c>
      <x:c r="H93" s="56" t="str">
        <x:v>¿Hay algo que haces pero que no está en el procedimiento oficial? ¿Algo que haces porque es la única forma que funciona, aunque nadie te lo pidió?</x:v>
      </x:c>
      <x:c r="I93" s="56" t="str">
        <x:v>Piensa en prácticas no oficiales que igual terminas haciendo para que la actividad salga. Puede ser algo tolerado, algo no documentado o algo que haces solo tú.</x:v>
      </x:c>
      <x:c r="J93" s="56" t="str">
        <x:v>hybrid_choice_text</x:v>
      </x:c>
      <x:c r="K93" s="56" t="str">
        <x:v>hybrid_choice_text</x:v>
      </x:c>
      <x:c r="L93" s="56" t="str">
        <x:v>Sí, lo hago y mi jefe lo sabe y está de acuerdo / Sí, lo hago pero mi jefe no lo sabe o no está de acuerdo / No, todo lo que hago está en el manual</x:v>
      </x:c>
      <x:c r="M93" s="56" t="str">
        <x:v>Siempre obligatoria.</x:v>
      </x:c>
      <x:c r="N93" s="56" t="str">
        <x:v>Siempre visible.</x:v>
      </x:c>
      <x:c r="O93" s="56" t="str">
        <x:v>Si respuesta = conocida/autorizada, mostrar 6.4a. Si respuesta = no lo sabe/no está de acuerdo, mostrar 6.4b.</x:v>
      </x:c>
      <x:c r="P93" s="56" t="str">
        <x:v>visible_capture</x:v>
      </x:c>
      <x:c r="Q93" s="56" t="str">
        <x:v>DIRECT_CAPTURE_ONLY</x:v>
      </x:c>
      <x:c r="R93" s="56" t="str">
        <x:v>informal_rule_present | informal_rule_description | informal_rule_status</x:v>
      </x:c>
      <x:c r="S93" s="56" t="str">
        <x:v>captured_user_evidence</x:v>
      </x:c>
      <x:c r="T93" s="56" t="str">
        <x:v>Bloque_6_Documento_Madre_Capa1_v2_1_EVE_rev4_reconstruido.docx</x:v>
      </x:c>
      <x:c r="U93" s="56" t="str">
        <x:v>32120139abad0348c007c31b16ee38e7e18954d85a6dca8054c48c4a96732b2d</x:v>
      </x:c>
      <x:c r="V93" s="56" t="str">
        <x:v>Selección + texto complementario</x:v>
      </x:c>
      <x:c r="W93" s="56" t="str">
        <x:v>Persistir choice y free_text por separado; activar texto según regla.</x:v>
      </x:c>
      <x:c r="X93" s="56" t="str">
        <x:v>choice:string|array + free_text:string|null</x:v>
      </x:c>
      <x:c r="Y93" s="56" t="str">
        <x:v>Campo options rector / catálogo dinámico</x:v>
      </x:c>
      <x:c r="Z93" s="56" t="str">
        <x:v>slot_ref para la unidad híbrida; servidor preserva partes separadas.</x:v>
      </x:c>
      <x:c r="AA93" s="56" t="str">
        <x:v>EXPLICIT_COMPOSITE</x:v>
      </x:c>
      <x:c r="AB93" s="56" t="str">
        <x:v>Pantalla específica Bloque 6</x:v>
      </x:c>
      <x:c r="AC93" s="66" t="str"/>
      <x:c r="AD93" s="66" t="str">
        <x:v>No evaluado</x:v>
      </x:c>
      <x:c r="AE93" s="66" t="str">
        <x:v>No evaluado</x:v>
      </x:c>
      <x:c r="AF93" s="66" t="str">
        <x:v>No evaluado</x:v>
      </x:c>
      <x:c r="AG93" s="66" t="str">
        <x:v>No ejecutado</x:v>
      </x:c>
      <x:c r="AH93" s="68" t="str">
        <x:f>IF(AND(AD93="No evaluado",AE93="No evaluado",AF93="No evaluado",AG93="No ejecutado"),"No evaluado",IF(OR(AD93="Bloqueado",AE93="Bloqueado",AF93="Bloqueado",AG93="Bloqueado"),"Bloqueado",IF(OR(AE93="No conforme",AF93="No conforme",AG93="Falló"),"No conforme",IF(AND(OR(AD93="Implementado",AD93="No aplica"),OR(AE93="Conforme",AE93="No aplica"),OR(AF93="Conforme",AF93="No aplica"),OR(AG93="Pasó",AG93="No aplica")),"Conforme","Parcial"))))</x:f>
        <x:v>No evaluado</x:v>
      </x:c>
      <x:c r="AI93" s="56" t="str">
        <x:v>No conforme</x:v>
      </x:c>
      <x:c r="AJ93" s="66" t="str"/>
      <x:c r="AK93" s="66" t="str"/>
      <x:c r="AL93" s="56" t="str">
        <x:v>VALIDATED_044A3M / 170 identity tuples</x:v>
      </x:c>
      <x:c r="AM93" s="56" t="str">
        <x:v>TR-005; TR-006; TR-008; TR-016; TR-019; TR-028; TR-029</x:v>
      </x:c>
      <x:c r="AN93" s="66" t="str"/>
    </x:row>
    <x:row r="94" ht="58" customHeight="1">
      <x:c r="A94" s="56" t="str">
        <x:v>B6-Q37</x:v>
      </x:c>
      <x:c r="B94" s="56" t="str">
        <x:v>6</x:v>
      </x:c>
      <x:c r="C94" s="56" t="str">
        <x:v>base_40</x:v>
      </x:c>
      <x:c r="D94" s="56" t="n">
        <x:v>37</x:v>
      </x:c>
      <x:c r="E94" s="56" t="n">
        <x:v>1</x:v>
      </x:c>
      <x:c r="F94" s="56" t="str">
        <x:v>B6_6_5</x:v>
      </x:c>
      <x:c r="G94" s="56" t="str">
        <x:v>6.5</x:v>
      </x:c>
      <x:c r="H94" s="56" t="str">
        <x:v>Para que esta actividad funcione dentro de lo esperado, ¿qué tienes que sacrificar?</x:v>
      </x:c>
      <x:c r="I94" s="56" t="str">
        <x:v>Piensa en lo que terminas cediendo para que la actividad salga: tiempo, descanso, salud mental, otras responsabilidades, autonomía o algo más. No se trata de juzgarte, sino de entender qué costo absorbes tú.</x:v>
      </x:c>
      <x:c r="J94" s="56" t="str">
        <x:v>multi_choice</x:v>
      </x:c>
      <x:c r="K94" s="56" t="str">
        <x:v>multi_choice</x:v>
      </x:c>
      <x:c r="L94" s="56" t="str">
        <x:v>Tiempo personal / Calidad del sueño o descanso / Salud mental o estrés / Relaciones personales / Calidad en otras responsabilidades / Desarrollo profesional / Autonomía o libertad / No sacrifico nada / Otro</x:v>
      </x:c>
      <x:c r="M94" s="56" t="str">
        <x:v>Siempre obligatoria.</x:v>
      </x:c>
      <x:c r="N94" s="56" t="str">
        <x:v>Siempre visible.</x:v>
      </x:c>
      <x:c r="O94" s="56" t="str">
        <x:v>Puede disparar 6.C si emerge minimización o contradicción con desgaste.</x:v>
      </x:c>
      <x:c r="P94" s="56" t="str">
        <x:v>visible_capture</x:v>
      </x:c>
      <x:c r="Q94" s="56" t="str">
        <x:v>DIRECT_CAPTURE_ONLY</x:v>
      </x:c>
      <x:c r="R94" s="56" t="str">
        <x:v>human_sacrifice</x:v>
      </x:c>
      <x:c r="S94" s="56" t="str">
        <x:v>captured_user_evidence</x:v>
      </x:c>
      <x:c r="T94" s="56" t="str">
        <x:v>Bloque_6_Documento_Madre_Capa1_v2_1_EVE_rev4_reconstruido.docx</x:v>
      </x:c>
      <x:c r="U94" s="56" t="str">
        <x:v>32120139abad0348c007c31b16ee38e7e18954d85a6dca8054c48c4a96732b2d</x:v>
      </x:c>
      <x:c r="V94" s="56" t="str">
        <x:v>Selección múltiple</x:v>
      </x:c>
      <x:c r="W94" s="56" t="str">
        <x:v>Mostrar opciones autorizadas; preservar conjunto exacto y exclusiones rectoras.</x:v>
      </x:c>
      <x:c r="X94" s="56" t="str">
        <x:v>array&lt;string&gt;</x:v>
      </x:c>
      <x:c r="Y94" s="56" t="str">
        <x:v>Campo options rector</x:v>
      </x:c>
      <x:c r="Z94" s="56" t="str">
        <x:v>slot_ref server-issued; cada selección conserva código literal.</x:v>
      </x:c>
      <x:c r="AA94" s="56" t="str">
        <x:v>EXPLICIT_FIELD_TYPE</x:v>
      </x:c>
      <x:c r="AB94" s="56" t="str">
        <x:v>Pantalla específica Bloque 6</x:v>
      </x:c>
      <x:c r="AC94" s="66" t="str"/>
      <x:c r="AD94" s="66" t="str">
        <x:v>No evaluado</x:v>
      </x:c>
      <x:c r="AE94" s="66" t="str">
        <x:v>No evaluado</x:v>
      </x:c>
      <x:c r="AF94" s="66" t="str">
        <x:v>No evaluado</x:v>
      </x:c>
      <x:c r="AG94" s="66" t="str">
        <x:v>No ejecutado</x:v>
      </x:c>
      <x:c r="AH94" s="68" t="str">
        <x:f>IF(AND(AD94="No evaluado",AE94="No evaluado",AF94="No evaluado",AG94="No ejecutado"),"No evaluado",IF(OR(AD94="Bloqueado",AE94="Bloqueado",AF94="Bloqueado",AG94="Bloqueado"),"Bloqueado",IF(OR(AE94="No conforme",AF94="No conforme",AG94="Falló"),"No conforme",IF(AND(OR(AD94="Implementado",AD94="No aplica"),OR(AE94="Conforme",AE94="No aplica"),OR(AF94="Conforme",AF94="No aplica"),OR(AG94="Pasó",AG94="No aplica")),"Conforme","Parcial"))))</x:f>
        <x:v>No evaluado</x:v>
      </x:c>
      <x:c r="AI94" s="56" t="str">
        <x:v>No conforme</x:v>
      </x:c>
      <x:c r="AJ94" s="66" t="str"/>
      <x:c r="AK94" s="66" t="str"/>
      <x:c r="AL94" s="56" t="str">
        <x:v>VALIDATED_044A3M / 170 identity tuples</x:v>
      </x:c>
      <x:c r="AM94" s="56" t="str">
        <x:v>TR-005; TR-006; TR-008; TR-016; TR-019; TR-028; TR-029</x:v>
      </x:c>
      <x:c r="AN94" s="66" t="str"/>
    </x:row>
    <x:row r="95" ht="58" customHeight="1">
      <x:c r="A95" s="56" t="str">
        <x:v>B6-Q37</x:v>
      </x:c>
      <x:c r="B95" s="56" t="str">
        <x:v>6</x:v>
      </x:c>
      <x:c r="C95" s="56" t="str">
        <x:v>base_40</x:v>
      </x:c>
      <x:c r="D95" s="56" t="n">
        <x:v>37</x:v>
      </x:c>
      <x:c r="E95" s="56" t="n">
        <x:v>2</x:v>
      </x:c>
      <x:c r="F95" s="56" t="str">
        <x:v>B6_6_6</x:v>
      </x:c>
      <x:c r="G95" s="56" t="str">
        <x:v>6.6</x:v>
      </x:c>
      <x:c r="H95" s="56" t="str">
        <x:v>¿Cómo te sientes después de hacer esto durante un tiempo? ¿Hay algo que haya cambiado en ti?</x:v>
      </x:c>
      <x:c r="I95" s="56" t="str">
        <x:v>Marca lo que mejor describa cómo te impacta esta actividad con el tiempo. Si no ves cambios relevantes, también es válido dejarlo claro.</x:v>
      </x:c>
      <x:c r="J95" s="56" t="str">
        <x:v>hybrid_choice_text</x:v>
      </x:c>
      <x:c r="K95" s="56" t="str">
        <x:v>hybrid_choice_text</x:v>
      </x:c>
      <x:c r="L95" s="56" t="str">
        <x:v>Agotamiento / Pérdida de motivación / Sensación de insuficiencia / Deterioro de calidad / Ganas de irme / Cinismo o desconexión / Estoy bien / Otro</x:v>
      </x:c>
      <x:c r="M95" s="56" t="str">
        <x:v>Siempre obligatoria.</x:v>
      </x:c>
      <x:c r="N95" s="56" t="str">
        <x:v>Siempre visible.</x:v>
      </x:c>
      <x:c r="O95" s="56" t="str">
        <x:v>Si selecciona algo negativo, mostrar 6.6a y 6.6b.</x:v>
      </x:c>
      <x:c r="P95" s="56" t="str">
        <x:v>visible_capture</x:v>
      </x:c>
      <x:c r="Q95" s="56" t="str">
        <x:v>DIRECT_CAPTURE_ONLY</x:v>
      </x:c>
      <x:c r="R95" s="56" t="str">
        <x:v>wear_accumulated</x:v>
      </x:c>
      <x:c r="S95" s="56" t="str">
        <x:v>captured_user_evidence</x:v>
      </x:c>
      <x:c r="T95" s="56" t="str">
        <x:v>Bloque_6_Documento_Madre_Capa1_v2_1_EVE_rev4_reconstruido.docx</x:v>
      </x:c>
      <x:c r="U95" s="56" t="str">
        <x:v>32120139abad0348c007c31b16ee38e7e18954d85a6dca8054c48c4a96732b2d</x:v>
      </x:c>
      <x:c r="V95" s="56" t="str">
        <x:v>Selección + texto complementario</x:v>
      </x:c>
      <x:c r="W95" s="56" t="str">
        <x:v>Persistir choice y free_text por separado; activar texto según regla.</x:v>
      </x:c>
      <x:c r="X95" s="56" t="str">
        <x:v>choice:string|array + free_text:string|null</x:v>
      </x:c>
      <x:c r="Y95" s="56" t="str">
        <x:v>Campo options rector / catálogo dinámico</x:v>
      </x:c>
      <x:c r="Z95" s="56" t="str">
        <x:v>slot_ref para la unidad híbrida; servidor preserva partes separadas.</x:v>
      </x:c>
      <x:c r="AA95" s="56" t="str">
        <x:v>EXPLICIT_COMPOSITE</x:v>
      </x:c>
      <x:c r="AB95" s="56" t="str">
        <x:v>Pantalla específica Bloque 6</x:v>
      </x:c>
      <x:c r="AC95" s="66" t="str"/>
      <x:c r="AD95" s="66" t="str">
        <x:v>No evaluado</x:v>
      </x:c>
      <x:c r="AE95" s="66" t="str">
        <x:v>No evaluado</x:v>
      </x:c>
      <x:c r="AF95" s="66" t="str">
        <x:v>No evaluado</x:v>
      </x:c>
      <x:c r="AG95" s="66" t="str">
        <x:v>No ejecutado</x:v>
      </x:c>
      <x:c r="AH95" s="68" t="str">
        <x:f>IF(AND(AD95="No evaluado",AE95="No evaluado",AF95="No evaluado",AG95="No ejecutado"),"No evaluado",IF(OR(AD95="Bloqueado",AE95="Bloqueado",AF95="Bloqueado",AG95="Bloqueado"),"Bloqueado",IF(OR(AE95="No conforme",AF95="No conforme",AG95="Falló"),"No conforme",IF(AND(OR(AD95="Implementado",AD95="No aplica"),OR(AE95="Conforme",AE95="No aplica"),OR(AF95="Conforme",AF95="No aplica"),OR(AG95="Pasó",AG95="No aplica")),"Conforme","Parcial"))))</x:f>
        <x:v>No evaluado</x:v>
      </x:c>
      <x:c r="AI95" s="56" t="str">
        <x:v>No conforme</x:v>
      </x:c>
      <x:c r="AJ95" s="66" t="str"/>
      <x:c r="AK95" s="66" t="str"/>
      <x:c r="AL95" s="56" t="str">
        <x:v>VALIDATED_044A3M / 170 identity tuples</x:v>
      </x:c>
      <x:c r="AM95" s="56" t="str">
        <x:v>TR-005; TR-006; TR-008; TR-016; TR-019; TR-028; TR-029</x:v>
      </x:c>
      <x:c r="AN95" s="66" t="str"/>
    </x:row>
    <x:row r="96" ht="58" customHeight="1">
      <x:c r="A96" s="56" t="str">
        <x:v>B6-Q37</x:v>
      </x:c>
      <x:c r="B96" s="56" t="str">
        <x:v>6</x:v>
      </x:c>
      <x:c r="C96" s="56" t="str">
        <x:v>base_40</x:v>
      </x:c>
      <x:c r="D96" s="56" t="n">
        <x:v>37</x:v>
      </x:c>
      <x:c r="E96" s="56" t="n">
        <x:v>3</x:v>
      </x:c>
      <x:c r="F96" s="56" t="str">
        <x:v>B6_6_7</x:v>
      </x:c>
      <x:c r="G96" s="56" t="str">
        <x:v>6.7</x:v>
      </x:c>
      <x:c r="H96" s="56" t="str">
        <x:v>En una escala, ¿cuánto esfuerzo te cuesta hacer esta actividad bien?</x:v>
      </x:c>
      <x:c r="I96" s="56" t="str">
        <x:v>Usa la escala pensando en el esfuerzo real que te exige hacerla bien, no solo en lo difícil que debería ser. Puedes agregar una breve nota si ayuda a explicar tu puntuación.</x:v>
      </x:c>
      <x:c r="J96" s="56" t="str">
        <x:v>scale + free_text</x:v>
      </x:c>
      <x:c r="K96" s="56" t="str">
        <x:v>scale</x:v>
      </x:c>
      <x:c r="L96" s="56" t="str">
        <x:v>1-10</x:v>
      </x:c>
      <x:c r="M96" s="56" t="str">
        <x:v>Siempre obligatoria.</x:v>
      </x:c>
      <x:c r="N96" s="56" t="str">
        <x:v>Siempre visible.</x:v>
      </x:c>
      <x:c r="O96" s="56" t="str">
        <x:v>Si 7-10, mostrar 6.7a y 6.7b.</x:v>
      </x:c>
      <x:c r="P96" s="56" t="str">
        <x:v>visible_capture</x:v>
      </x:c>
      <x:c r="Q96" s="56" t="str">
        <x:v>DIRECT_CAPTURE_ONLY</x:v>
      </x:c>
      <x:c r="R96" s="56" t="str">
        <x:v>effort_cost</x:v>
      </x:c>
      <x:c r="S96" s="56" t="str">
        <x:v>captured_user_evidence</x:v>
      </x:c>
      <x:c r="T96" s="56" t="str">
        <x:v>Bloque_6_Documento_Madre_Capa1_v2_1_EVE_rev4_reconstruido.docx</x:v>
      </x:c>
      <x:c r="U96" s="56" t="str">
        <x:v>32120139abad0348c007c31b16ee38e7e18954d85a6dca8054c48c4a96732b2d</x:v>
      </x:c>
      <x:c r="V96" s="56" t="str">
        <x:v>Escala + texto</x:v>
      </x:c>
      <x:c r="W96" s="56" t="str">
        <x:v>Capturar valor de escala dentro de rango y nota separada.</x:v>
      </x:c>
      <x:c r="X96" s="56" t="str">
        <x:v>scale:number + free_text:string|null</x:v>
      </x:c>
      <x:c r="Y96" s="56" t="str">
        <x:v>Rango literal rector</x:v>
      </x:c>
      <x:c r="Z96" s="56" t="str">
        <x:v>slot_ref server-issued; validar rango server-side.</x:v>
      </x:c>
      <x:c r="AA96" s="56" t="str">
        <x:v>EXPLICIT_COMPOSITE</x:v>
      </x:c>
      <x:c r="AB96" s="56" t="str">
        <x:v>Pantalla específica Bloque 6</x:v>
      </x:c>
      <x:c r="AC96" s="66" t="str"/>
      <x:c r="AD96" s="66" t="str">
        <x:v>No evaluado</x:v>
      </x:c>
      <x:c r="AE96" s="66" t="str">
        <x:v>No evaluado</x:v>
      </x:c>
      <x:c r="AF96" s="66" t="str">
        <x:v>No evaluado</x:v>
      </x:c>
      <x:c r="AG96" s="66" t="str">
        <x:v>No ejecutado</x:v>
      </x:c>
      <x:c r="AH96" s="68" t="str">
        <x:f>IF(AND(AD96="No evaluado",AE96="No evaluado",AF96="No evaluado",AG96="No ejecutado"),"No evaluado",IF(OR(AD96="Bloqueado",AE96="Bloqueado",AF96="Bloqueado",AG96="Bloqueado"),"Bloqueado",IF(OR(AE96="No conforme",AF96="No conforme",AG96="Falló"),"No conforme",IF(AND(OR(AD96="Implementado",AD96="No aplica"),OR(AE96="Conforme",AE96="No aplica"),OR(AF96="Conforme",AF96="No aplica"),OR(AG96="Pasó",AG96="No aplica")),"Conforme","Parcial"))))</x:f>
        <x:v>No evaluado</x:v>
      </x:c>
      <x:c r="AI96" s="56" t="str">
        <x:v>No conforme</x:v>
      </x:c>
      <x:c r="AJ96" s="66" t="str"/>
      <x:c r="AK96" s="66" t="str"/>
      <x:c r="AL96" s="56" t="str">
        <x:v>VALIDATED_044A3M / 170 identity tuples</x:v>
      </x:c>
      <x:c r="AM96" s="56" t="str">
        <x:v>TR-005; TR-006; TR-008; TR-016; TR-019; TR-028; TR-029</x:v>
      </x:c>
      <x:c r="AN96" s="66" t="str"/>
    </x:row>
    <x:row r="97" ht="58" customHeight="1">
      <x:c r="A97" s="56" t="str">
        <x:v>B6-Q38</x:v>
      </x:c>
      <x:c r="B97" s="56" t="str">
        <x:v>6</x:v>
      </x:c>
      <x:c r="C97" s="56" t="str">
        <x:v>base_40</x:v>
      </x:c>
      <x:c r="D97" s="56" t="n">
        <x:v>38</x:v>
      </x:c>
      <x:c r="E97" s="56" t="n">
        <x:v>1</x:v>
      </x:c>
      <x:c r="F97" s="56" t="str">
        <x:v>B6_6_9</x:v>
      </x:c>
      <x:c r="G97" s="56" t="str">
        <x:v>6.9</x:v>
      </x:c>
      <x:c r="H97" s="56" t="str">
        <x:v>¿Hay algo que SIEMPRE FALLA o que SIEMPRE OCURRE bajo las mismas circunstancias?</x:v>
      </x:c>
      <x:c r="I97" s="56" t="str">
        <x:v>Piensa en fallas que se repiten bajo condiciones parecidas. Si no hay un patrón claro, también es importante decirlo. Ejemplo 1: Cuando llegan más de 50 pedidos en una hora, siempre se pierde información en la coordinación. Ejemplo 2: No hay un patrón claro. Las fallas ocurren de forma aleatoria</x:v>
      </x:c>
      <x:c r="J97" s="56" t="str">
        <x:v>hybrid_choice_text</x:v>
      </x:c>
      <x:c r="K97" s="56" t="str">
        <x:v>hybrid_choice_text</x:v>
      </x:c>
      <x:c r="L97" s="56" t="str">
        <x:v>No / Sí</x:v>
      </x:c>
      <x:c r="M97" s="56" t="str">
        <x:v>Siempre obligatoria.</x:v>
      </x:c>
      <x:c r="N97" s="56" t="str">
        <x:v>Siempre visible.</x:v>
      </x:c>
      <x:c r="O97" s="56" t="str">
        <x:v>Si respuesta = Sí, mostrar 6.9a, 6.9b y 6.9c.</x:v>
      </x:c>
      <x:c r="P97" s="56" t="str">
        <x:v>visible_capture</x:v>
      </x:c>
      <x:c r="Q97" s="56" t="str">
        <x:v>DIRECT_CAPTURE_ONLY</x:v>
      </x:c>
      <x:c r="R97" s="56" t="str">
        <x:v>repetitive_failure_pattern</x:v>
      </x:c>
      <x:c r="S97" s="56" t="str">
        <x:v>captured_user_evidence</x:v>
      </x:c>
      <x:c r="T97" s="56" t="str">
        <x:v>Bloque_6_Documento_Madre_Capa1_v2_1_EVE_rev4_reconstruido.docx</x:v>
      </x:c>
      <x:c r="U97" s="56" t="str">
        <x:v>32120139abad0348c007c31b16ee38e7e18954d85a6dca8054c48c4a96732b2d</x:v>
      </x:c>
      <x:c r="V97" s="56" t="str">
        <x:v>Selección + texto complementario</x:v>
      </x:c>
      <x:c r="W97" s="56" t="str">
        <x:v>Persistir choice y free_text por separado; activar texto según regla.</x:v>
      </x:c>
      <x:c r="X97" s="56" t="str">
        <x:v>choice:string|array + free_text:string|null</x:v>
      </x:c>
      <x:c r="Y97" s="56" t="str">
        <x:v>Campo options rector / catálogo dinámico</x:v>
      </x:c>
      <x:c r="Z97" s="56" t="str">
        <x:v>slot_ref para la unidad híbrida; servidor preserva partes separadas.</x:v>
      </x:c>
      <x:c r="AA97" s="56" t="str">
        <x:v>EXPLICIT_COMPOSITE</x:v>
      </x:c>
      <x:c r="AB97" s="56" t="str">
        <x:v>Pantalla específica Bloque 6</x:v>
      </x:c>
      <x:c r="AC97" s="66" t="str"/>
      <x:c r="AD97" s="66" t="str">
        <x:v>No evaluado</x:v>
      </x:c>
      <x:c r="AE97" s="66" t="str">
        <x:v>No evaluado</x:v>
      </x:c>
      <x:c r="AF97" s="66" t="str">
        <x:v>No evaluado</x:v>
      </x:c>
      <x:c r="AG97" s="66" t="str">
        <x:v>No ejecutado</x:v>
      </x:c>
      <x:c r="AH97" s="68" t="str">
        <x:f>IF(AND(AD97="No evaluado",AE97="No evaluado",AF97="No evaluado",AG97="No ejecutado"),"No evaluado",IF(OR(AD97="Bloqueado",AE97="Bloqueado",AF97="Bloqueado",AG97="Bloqueado"),"Bloqueado",IF(OR(AE97="No conforme",AF97="No conforme",AG97="Falló"),"No conforme",IF(AND(OR(AD97="Implementado",AD97="No aplica"),OR(AE97="Conforme",AE97="No aplica"),OR(AF97="Conforme",AF97="No aplica"),OR(AG97="Pasó",AG97="No aplica")),"Conforme","Parcial"))))</x:f>
        <x:v>No evaluado</x:v>
      </x:c>
      <x:c r="AI97" s="56" t="str">
        <x:v>No conforme</x:v>
      </x:c>
      <x:c r="AJ97" s="66" t="str"/>
      <x:c r="AK97" s="66" t="str"/>
      <x:c r="AL97" s="56" t="str">
        <x:v>VALIDATED_044A3M / 170 identity tuples</x:v>
      </x:c>
      <x:c r="AM97" s="56" t="str">
        <x:v>TR-005; TR-006; TR-008; TR-016; TR-019; TR-028; TR-029</x:v>
      </x:c>
      <x:c r="AN97" s="66" t="str"/>
    </x:row>
    <x:row r="98" ht="58" customHeight="1">
      <x:c r="A98" s="56" t="str">
        <x:v>B6-Q38</x:v>
      </x:c>
      <x:c r="B98" s="56" t="str">
        <x:v>6</x:v>
      </x:c>
      <x:c r="C98" s="56" t="str">
        <x:v>base_40</x:v>
      </x:c>
      <x:c r="D98" s="56" t="n">
        <x:v>38</x:v>
      </x:c>
      <x:c r="E98" s="56" t="n">
        <x:v>2</x:v>
      </x:c>
      <x:c r="F98" s="56" t="str">
        <x:v>B6_6_10</x:v>
      </x:c>
      <x:c r="G98" s="56" t="str">
        <x:v>6.10</x:v>
      </x:c>
      <x:c r="H98" s="56" t="str">
        <x:v>Hay cosas que simplemente no están en el procedimiento normal que estás haciendo. Cosas que “aparecen” y que agregan dificultad a la actividad. ¿Cómo las manejas TÚ?</x:v>
      </x:c>
      <x:c r="I98" s="56" t="str">
        <x:v>Selecciona cómo sueles manejar lo que aparece fuera del procedimiento normal. Piensa en lo que terminas haciendo de verdad para absorber esa carga adicional.</x:v>
      </x:c>
      <x:c r="J98" s="56" t="str">
        <x:v>hybrid_choice_text</x:v>
      </x:c>
      <x:c r="K98" s="56" t="str">
        <x:v>hybrid_choice_text</x:v>
      </x:c>
      <x:c r="L98" s="56" t="str">
        <x:v>Me quedo después de horario / Las hago en paralelo / Las improviso / Las dejo para después / Las delego informalmente / Las ignoro / Otro</x:v>
      </x:c>
      <x:c r="M98" s="56" t="str">
        <x:v>Siempre obligatoria.</x:v>
      </x:c>
      <x:c r="N98" s="56" t="str">
        <x:v>Siempre visible.</x:v>
      </x:c>
      <x:c r="O98" s="56" t="str">
        <x:v>Si selecciona algo, mostrar 6.10a y 6.10b.</x:v>
      </x:c>
      <x:c r="P98" s="56" t="str">
        <x:v>visible_capture</x:v>
      </x:c>
      <x:c r="Q98" s="56" t="str">
        <x:v>DIRECT_CAPTURE_ONLY</x:v>
      </x:c>
      <x:c r="R98" s="56" t="str">
        <x:v>residual_variety_absorption</x:v>
      </x:c>
      <x:c r="S98" s="56" t="str">
        <x:v>captured_user_evidence</x:v>
      </x:c>
      <x:c r="T98" s="56" t="str">
        <x:v>Bloque_6_Documento_Madre_Capa1_v2_1_EVE_rev4_reconstruido.docx</x:v>
      </x:c>
      <x:c r="U98" s="56" t="str">
        <x:v>32120139abad0348c007c31b16ee38e7e18954d85a6dca8054c48c4a96732b2d</x:v>
      </x:c>
      <x:c r="V98" s="56" t="str">
        <x:v>Selección + texto complementario</x:v>
      </x:c>
      <x:c r="W98" s="56" t="str">
        <x:v>Persistir choice y free_text por separado; activar texto según regla.</x:v>
      </x:c>
      <x:c r="X98" s="56" t="str">
        <x:v>choice:string|array + free_text:string|null</x:v>
      </x:c>
      <x:c r="Y98" s="56" t="str">
        <x:v>Campo options rector / catálogo dinámico</x:v>
      </x:c>
      <x:c r="Z98" s="56" t="str">
        <x:v>slot_ref para la unidad híbrida; servidor preserva partes separadas.</x:v>
      </x:c>
      <x:c r="AA98" s="56" t="str">
        <x:v>EXPLICIT_COMPOSITE</x:v>
      </x:c>
      <x:c r="AB98" s="56" t="str">
        <x:v>Pantalla específica Bloque 6</x:v>
      </x:c>
      <x:c r="AC98" s="66" t="str"/>
      <x:c r="AD98" s="66" t="str">
        <x:v>No evaluado</x:v>
      </x:c>
      <x:c r="AE98" s="66" t="str">
        <x:v>No evaluado</x:v>
      </x:c>
      <x:c r="AF98" s="66" t="str">
        <x:v>No evaluado</x:v>
      </x:c>
      <x:c r="AG98" s="66" t="str">
        <x:v>No ejecutado</x:v>
      </x:c>
      <x:c r="AH98" s="68" t="str">
        <x:f>IF(AND(AD98="No evaluado",AE98="No evaluado",AF98="No evaluado",AG98="No ejecutado"),"No evaluado",IF(OR(AD98="Bloqueado",AE98="Bloqueado",AF98="Bloqueado",AG98="Bloqueado"),"Bloqueado",IF(OR(AE98="No conforme",AF98="No conforme",AG98="Falló"),"No conforme",IF(AND(OR(AD98="Implementado",AD98="No aplica"),OR(AE98="Conforme",AE98="No aplica"),OR(AF98="Conforme",AF98="No aplica"),OR(AG98="Pasó",AG98="No aplica")),"Conforme","Parcial"))))</x:f>
        <x:v>No evaluado</x:v>
      </x:c>
      <x:c r="AI98" s="56" t="str">
        <x:v>No conforme</x:v>
      </x:c>
      <x:c r="AJ98" s="66" t="str"/>
      <x:c r="AK98" s="66" t="str"/>
      <x:c r="AL98" s="56" t="str">
        <x:v>VALIDATED_044A3M / 170 identity tuples</x:v>
      </x:c>
      <x:c r="AM98" s="56" t="str">
        <x:v>TR-005; TR-006; TR-008; TR-016; TR-019; TR-028; TR-029</x:v>
      </x:c>
      <x:c r="AN98" s="66" t="str"/>
    </x:row>
    <x:row r="99" ht="58" customHeight="1">
      <x:c r="A99" s="56" t="str">
        <x:v>B6-Q38</x:v>
      </x:c>
      <x:c r="B99" s="56" t="str">
        <x:v>6</x:v>
      </x:c>
      <x:c r="C99" s="56" t="str">
        <x:v>base_40</x:v>
      </x:c>
      <x:c r="D99" s="56" t="n">
        <x:v>38</x:v>
      </x:c>
      <x:c r="E99" s="56" t="n">
        <x:v>3</x:v>
      </x:c>
      <x:c r="F99" s="56" t="str">
        <x:v>B6_6_11</x:v>
      </x:c>
      <x:c r="G99" s="56" t="str">
        <x:v>6.11</x:v>
      </x:c>
      <x:c r="H99" s="56" t="str">
        <x:v>Considerando todo lo anterior, ¿cuál es el PRINCIPAL MECANISMO por el cual TÚ haces que esto funcione cuando el sistema no alcanza?</x:v>
      </x:c>
      <x:c r="I99" s="56" t="str">
        <x:v>Elige el mecanismo que mejor resume cómo logras que esto salga cuando el sistema no alcanza. Si ninguna opción encaja bien, usa Otro y explícalo.</x:v>
      </x:c>
      <x:c r="J99" s="56" t="str">
        <x:v>hybrid_choice_text</x:v>
      </x:c>
      <x:c r="K99" s="56" t="str">
        <x:v>hybrid_choice_text</x:v>
      </x:c>
      <x:c r="L99" s="56" t="str">
        <x:v>Trabajo extra / Improvisación y creatividad / Sacrificio de calidad / Apoyo informal de colegas / Automatización personal / Aceptación silenciosa / Otro</x:v>
      </x:c>
      <x:c r="M99" s="56" t="str">
        <x:v>Siempre obligatoria.</x:v>
      </x:c>
      <x:c r="N99" s="56" t="str">
        <x:v>Siempre visible al cierre del bloque.</x:v>
      </x:c>
      <x:c r="O99" s="56" t="str">
        <x:v>Integra evidencia previa y puede activar 6.A o 6.C si contradice el resto del bloque.</x:v>
      </x:c>
      <x:c r="P99" s="56" t="str">
        <x:v>visible_capture</x:v>
      </x:c>
      <x:c r="Q99" s="56" t="str">
        <x:v>DIRECT_CAPTURE_ONLY</x:v>
      </x:c>
      <x:c r="R99" s="56" t="str">
        <x:v>compensation_primary_mechanism</x:v>
      </x:c>
      <x:c r="S99" s="56" t="str">
        <x:v>captured_user_evidence</x:v>
      </x:c>
      <x:c r="T99" s="56" t="str">
        <x:v>Bloque_6_Documento_Madre_Capa1_v2_1_EVE_rev4_reconstruido.docx</x:v>
      </x:c>
      <x:c r="U99" s="56" t="str">
        <x:v>32120139abad0348c007c31b16ee38e7e18954d85a6dca8054c48c4a96732b2d</x:v>
      </x:c>
      <x:c r="V99" s="56" t="str">
        <x:v>Selección + texto complementario</x:v>
      </x:c>
      <x:c r="W99" s="56" t="str">
        <x:v>Persistir choice y free_text por separado; activar texto según regla.</x:v>
      </x:c>
      <x:c r="X99" s="56" t="str">
        <x:v>choice:string|array + free_text:string|null</x:v>
      </x:c>
      <x:c r="Y99" s="56" t="str">
        <x:v>Campo options rector / catálogo dinámico</x:v>
      </x:c>
      <x:c r="Z99" s="56" t="str">
        <x:v>slot_ref para la unidad híbrida; servidor preserva partes separadas.</x:v>
      </x:c>
      <x:c r="AA99" s="56" t="str">
        <x:v>EXPLICIT_COMPOSITE</x:v>
      </x:c>
      <x:c r="AB99" s="56" t="str">
        <x:v>Pantalla específica Bloque 6</x:v>
      </x:c>
      <x:c r="AC99" s="66" t="str"/>
      <x:c r="AD99" s="66" t="str">
        <x:v>No evaluado</x:v>
      </x:c>
      <x:c r="AE99" s="66" t="str">
        <x:v>No evaluado</x:v>
      </x:c>
      <x:c r="AF99" s="66" t="str">
        <x:v>No evaluado</x:v>
      </x:c>
      <x:c r="AG99" s="66" t="str">
        <x:v>No ejecutado</x:v>
      </x:c>
      <x:c r="AH99" s="68" t="str">
        <x:f>IF(AND(AD99="No evaluado",AE99="No evaluado",AF99="No evaluado",AG99="No ejecutado"),"No evaluado",IF(OR(AD99="Bloqueado",AE99="Bloqueado",AF99="Bloqueado",AG99="Bloqueado"),"Bloqueado",IF(OR(AE99="No conforme",AF99="No conforme",AG99="Falló"),"No conforme",IF(AND(OR(AD99="Implementado",AD99="No aplica"),OR(AE99="Conforme",AE99="No aplica"),OR(AF99="Conforme",AF99="No aplica"),OR(AG99="Pasó",AG99="No aplica")),"Conforme","Parcial"))))</x:f>
        <x:v>No evaluado</x:v>
      </x:c>
      <x:c r="AI99" s="56" t="str">
        <x:v>No conforme</x:v>
      </x:c>
      <x:c r="AJ99" s="66" t="str"/>
      <x:c r="AK99" s="66" t="str"/>
      <x:c r="AL99" s="56" t="str">
        <x:v>VALIDATED_044A3M / 170 identity tuples</x:v>
      </x:c>
      <x:c r="AM99" s="56" t="str">
        <x:v>TR-005; TR-006; TR-008; TR-016; TR-019; TR-028; TR-029</x:v>
      </x:c>
      <x:c r="AN99" s="66" t="str"/>
    </x:row>
    <x:row r="100" ht="58" customHeight="1">
      <x:c r="A100" s="56" t="str">
        <x:v>B7-Q39</x:v>
      </x:c>
      <x:c r="B100" s="56" t="str">
        <x:v>7</x:v>
      </x:c>
      <x:c r="C100" s="56" t="str">
        <x:v>base_40</x:v>
      </x:c>
      <x:c r="D100" s="56" t="n">
        <x:v>39</x:v>
      </x:c>
      <x:c r="E100" s="56" t="n">
        <x:v>1</x:v>
      </x:c>
      <x:c r="F100" s="56" t="str">
        <x:v>B7_7_0</x:v>
      </x:c>
      <x:c r="G100" s="56" t="str">
        <x:v>7.0</x:v>
      </x:c>
      <x:c r="H100" s="56" t="str">
        <x:v>[INTERNO] El sistema analiza la evidencia consolidada de Bloques 0.5-6 e infiere automáticamente tipo de escena, posición en cadena, función regulatoria predominante, señal AHE, misión sugerida y nivel de confianza; después invoca 7.0a para refinar plano AHE dominante y huella interpersonal cuando el Bloque 6 ampliado la soporte.</x:v>
      </x:c>
      <x:c r="I100" s="56" t="str">
        <x:v>No visible al usuario. Este nodo consolida la evidencia previa y produce una lectura preliminar trazable sin reescribir la evidencia original.</x:v>
      </x:c>
      <x:c r="J100" s="56" t="str">
        <x:v>generated_review</x:v>
      </x:c>
      <x:c r="K100" s="56" t="str">
        <x:v>internal_inference</x:v>
      </x:c>
      <x:c r="L100" s="56" t="str">
        <x:v>scene_type enum: transformation / coordination / validation / decision / adaptation / policy / escalation / compensation / mixed / uncertain; chain_position enum: opening / intermediate / closing / mixed / uncertain; vsm_role_candidate enum: S1 / S2 / S3 / S3* / S4 / S5 / algedonic / uncertain; confidence_level enum: high / medium / low.</x:v>
      </x:c>
      <x:c r="M100" s="56" t="str">
        <x:v>Siempre se ejecuta</x:v>
      </x:c>
      <x:c r="N100" s="56" t="str">
        <x:v>Interno, no visible al usuario</x:v>
      </x:c>
      <x:c r="O100" s="56" t="str">
        <x:v>Siempre ejecuta 7.0a como subinferencia interna posterior. Si confidence_level = high y no hay señales cruzadas relevantes ni huella interpersonal inestable, no dispara preguntas visibles. Si confidence_level = medium o low, o si hay ambigüedad, dispara 7.1 y opcionalmente 7.2, 7.3, 7.3a o 7.4 según corresponda.</x:v>
      </x:c>
      <x:c r="P100" s="56" t="str">
        <x:v>internal</x:v>
      </x:c>
      <x:c r="Q100" s="56" t="str">
        <x:v>LIGHT_INFERENCE_RESTRICTED</x:v>
      </x:c>
      <x:c r="R100" s="56" t="str">
        <x:v>preclassification_scene_type | preclassification_chain_position | preclassification_vsm_role | preclassification_ahe_signal | preclassification_ahe_note | preclassification_mission_suggested | confidence_level | confidence_score | confidence_reasoning | preclassification_readiness | evidence_bundle_for_transduction | base_for_7_0a</x:v>
      </x:c>
      <x:c r="S100" s="56" t="str">
        <x:v>internal_calculated</x:v>
      </x:c>
      <x:c r="T100" s="56" t="str">
        <x:v>Bloque_7_Documento_Madre_Capa1_v2_1_EVE_rev4_alineado.docx</x:v>
      </x:c>
      <x:c r="U100" s="56" t="str">
        <x:v>2a81e6eaa3d7ca9c11245d1010633fb233087e22a7d05bfd678350728820b399</x:v>
      </x:c>
      <x:c r="V100" s="56" t="str">
        <x:v>Sin control visible / lógica interna</x:v>
      </x:c>
      <x:c r="W100" s="56" t="str">
        <x:v>No renderizar al usuario; resolver y auditar server-side.</x:v>
      </x:c>
      <x:c r="X100" s="56" t="str">
        <x:v>Sin valor de usuario</x:v>
      </x:c>
      <x:c r="Y100" s="56" t="str">
        <x:v>No aplica</x:v>
      </x:c>
      <x:c r="Z100" s="56" t="str">
        <x:v>Identidad interna por interaction/source tuple; no slot visible.</x:v>
      </x:c>
      <x:c r="AA100" s="56" t="str">
        <x:v>EXPLICIT_INTERNAL</x:v>
      </x:c>
      <x:c r="AB100" s="56" t="str">
        <x:v>Pantalla específica Bloque 7</x:v>
      </x:c>
      <x:c r="AC100" s="66" t="str"/>
      <x:c r="AD100" s="66" t="str">
        <x:v>No aplica</x:v>
      </x:c>
      <x:c r="AE100" s="66" t="str">
        <x:v>No evaluado</x:v>
      </x:c>
      <x:c r="AF100" s="66" t="str">
        <x:v>No evaluado</x:v>
      </x:c>
      <x:c r="AG100" s="66" t="str">
        <x:v>No ejecutado</x:v>
      </x:c>
      <x:c r="AH100" s="68" t="str">
        <x:f>IF(AND(AD100="No evaluado",AE100="No evaluado",AF100="No evaluado",AG100="No ejecutado"),"No evaluado",IF(OR(AD100="Bloqueado",AE100="Bloqueado",AF100="Bloqueado",AG100="Bloqueado"),"Bloqueado",IF(OR(AE100="No conforme",AF100="No conforme",AG100="Falló"),"No conforme",IF(AND(OR(AD100="Implementado",AD100="No aplica"),OR(AE100="Conforme",AE100="No aplica"),OR(AF100="Conforme",AF100="No aplica"),OR(AG100="Pasó",AG100="No aplica")),"Conforme","Parcial"))))</x:f>
        <x:v>Parcial</x:v>
      </x:c>
      <x:c r="AI100" s="56" t="str">
        <x:v>No aplica</x:v>
      </x:c>
      <x:c r="AJ100" s="66" t="str"/>
      <x:c r="AK100" s="66" t="str"/>
      <x:c r="AL100" s="56" t="str">
        <x:v>VALIDATED_044A3M / 170 identity tuples</x:v>
      </x:c>
      <x:c r="AM100" s="56" t="str">
        <x:v>TR-005; TR-006; TR-008; TR-016; TR-019; TR-028; TR-029</x:v>
      </x:c>
      <x:c r="AN100" s="66" t="str"/>
    </x:row>
    <x:row r="101" ht="58" customHeight="1">
      <x:c r="A101" s="56" t="str">
        <x:v>B7-Q39</x:v>
      </x:c>
      <x:c r="B101" s="56" t="str">
        <x:v>7</x:v>
      </x:c>
      <x:c r="C101" s="56" t="str">
        <x:v>base_40</x:v>
      </x:c>
      <x:c r="D101" s="56" t="n">
        <x:v>39</x:v>
      </x:c>
      <x:c r="E101" s="56" t="n">
        <x:v>2</x:v>
      </x:c>
      <x:c r="F101" s="56" t="str">
        <x:v>B7_7_1</x:v>
      </x:c>
      <x:c r="G101" s="56" t="str">
        <x:v>7.1</x:v>
      </x:c>
      <x:c r="H101" s="56" t="str">
        <x:v>Parece que esto es principalmente una [tipo sugerido]. ¿Es correcto? ¿O hay algo más?</x:v>
      </x:c>
      <x:c r="I101" s="56" t="str">
        <x:v>Queremos verificar si la lectura preliminar de tu trabajo se parece a cómo ves esta escena. No necesitas usar términos técnicos; solo indica si encaja, si sería otro tipo principal, o si realmente es una combinación.</x:v>
      </x:c>
      <x:c r="J101" s="56" t="str">
        <x:v>hybrid_choice_text</x:v>
      </x:c>
      <x:c r="K101" s="56" t="str">
        <x:v>hybrid_choice_text</x:v>
      </x:c>
      <x:c r="L101" s="56" t="str">
        <x:v>Sí, es principalmente [tipo sugerido] / No, es principalmente [otro tipo] / Es una combinación. Tipos permitidos: transformation, coordination, validación, decision, adaptation, policy, escalation, compensation, mixed, uncertain.</x:v>
      </x:c>
      <x:c r="M101" s="56" t="str">
        <x:v>Obligatoria solo si se dispara</x:v>
      </x:c>
      <x:c r="N101" s="56" t="str">
        <x:v>Visible si confidence_level es Media/Baja o si el motor detecta competencia entre tipos</x:v>
      </x:c>
      <x:c r="O101" s="56" t="str">
        <x:v>Si el usuario rechaza el tipo sugerido y la misión sugerida depende de ese tipo, evaluar disparo de 7.4.</x:v>
      </x:c>
      <x:c r="P101" s="56" t="str">
        <x:v>visible_capture</x:v>
      </x:c>
      <x:c r="Q101" s="56" t="str">
        <x:v>CLARIFICATION_SEPARATE</x:v>
      </x:c>
      <x:c r="R101" s="56" t="str">
        <x:v>user_confirmation | user_correction | user_clarification</x:v>
      </x:c>
      <x:c r="S101" s="56" t="str">
        <x:v>clarification</x:v>
      </x:c>
      <x:c r="T101" s="56" t="str">
        <x:v>Bloque_7_Documento_Madre_Capa1_v2_1_EVE_rev4_alineado.docx</x:v>
      </x:c>
      <x:c r="U101" s="56" t="str">
        <x:v>2a81e6eaa3d7ca9c11245d1010633fb233087e22a7d05bfd678350728820b399</x:v>
      </x:c>
      <x:c r="V101" s="56" t="str">
        <x:v>Selección + texto complementario</x:v>
      </x:c>
      <x:c r="W101" s="56" t="str">
        <x:v>Persistir choice y free_text por separado; activar texto según regla.</x:v>
      </x:c>
      <x:c r="X101" s="56" t="str">
        <x:v>choice:string|array + free_text:string|null</x:v>
      </x:c>
      <x:c r="Y101" s="56" t="str">
        <x:v>Campo options rector / catálogo dinámico</x:v>
      </x:c>
      <x:c r="Z101" s="56" t="str">
        <x:v>slot_ref para la unidad híbrida; servidor preserva partes separadas.</x:v>
      </x:c>
      <x:c r="AA101" s="56" t="str">
        <x:v>EXPLICIT_COMPOSITE</x:v>
      </x:c>
      <x:c r="AB101" s="56" t="str">
        <x:v>Pantalla específica Bloque 7</x:v>
      </x:c>
      <x:c r="AC101" s="66" t="str"/>
      <x:c r="AD101" s="66" t="str">
        <x:v>No evaluado</x:v>
      </x:c>
      <x:c r="AE101" s="66" t="str">
        <x:v>No evaluado</x:v>
      </x:c>
      <x:c r="AF101" s="66" t="str">
        <x:v>No evaluado</x:v>
      </x:c>
      <x:c r="AG101" s="66" t="str">
        <x:v>No ejecutado</x:v>
      </x:c>
      <x:c r="AH101" s="68" t="str">
        <x:f>IF(AND(AD101="No evaluado",AE101="No evaluado",AF101="No evaluado",AG101="No ejecutado"),"No evaluado",IF(OR(AD101="Bloqueado",AE101="Bloqueado",AF101="Bloqueado",AG101="Bloqueado"),"Bloqueado",IF(OR(AE101="No conforme",AF101="No conforme",AG101="Falló"),"No conforme",IF(AND(OR(AD101="Implementado",AD101="No aplica"),OR(AE101="Conforme",AE101="No aplica"),OR(AF101="Conforme",AF101="No aplica"),OR(AG101="Pasó",AG101="No aplica")),"Conforme","Parcial"))))</x:f>
        <x:v>No evaluado</x:v>
      </x:c>
      <x:c r="AI101" s="56" t="str">
        <x:v>No conforme</x:v>
      </x:c>
      <x:c r="AJ101" s="66" t="str"/>
      <x:c r="AK101" s="66" t="str"/>
      <x:c r="AL101" s="56" t="str">
        <x:v>VALIDATED_044A3M / 170 identity tuples</x:v>
      </x:c>
      <x:c r="AM101" s="56" t="str">
        <x:v>TR-005; TR-006; TR-008; TR-016; TR-019; TR-028; TR-029</x:v>
      </x:c>
      <x:c r="AN101" s="66" t="str"/>
    </x:row>
    <x:row r="102" ht="58" customHeight="1">
      <x:c r="A102" s="56" t="str">
        <x:v>B7-Q39</x:v>
      </x:c>
      <x:c r="B102" s="56" t="str">
        <x:v>7</x:v>
      </x:c>
      <x:c r="C102" s="56" t="str">
        <x:v>base_40</x:v>
      </x:c>
      <x:c r="D102" s="56" t="n">
        <x:v>39</x:v>
      </x:c>
      <x:c r="E102" s="56" t="n">
        <x:v>3</x:v>
      </x:c>
      <x:c r="F102" s="56" t="str">
        <x:v>B7_7_4</x:v>
      </x:c>
      <x:c r="G102" s="56" t="str">
        <x:v>7.4</x:v>
      </x:c>
      <x:c r="H102" s="56" t="str">
        <x:v>La misión que propongo es: "[misión sugerida]". ¿Es correcta? ¿O la cambiarías a algo diferente?</x:v>
      </x:c>
      <x:c r="I102" s="56" t="str">
        <x:v>Lee la misión sugerida como una hipótesis del sistema. Si refleja bien lo que esta escena busca lograr, puedes dejarla así; si no, corrígela con tus propias palabras para que se acerque más a la función real de la escena.</x:v>
      </x:c>
      <x:c r="J102" s="56" t="str">
        <x:v>free_text</x:v>
      </x:c>
      <x:c r="K102" s="56" t="str">
        <x:v>free_text</x:v>
      </x:c>
      <x:c r="L102" s="56" t="str">
        <x:v>N/A</x:v>
      </x:c>
      <x:c r="M102" s="56" t="str">
        <x:v>Obligatoria solo si se dispara</x:v>
      </x:c>
      <x:c r="N102" s="56" t="str">
        <x:v>Visible si el usuario no está de acuerdo con la misión sugerida o si la misión sigue ambigua</x:v>
      </x:c>
      <x:c r="O102" s="56" t="str">
        <x:v>Puede sustituir únicamente la misión sugerida derivada; nunca modifica evidencia original de bloques previos.</x:v>
      </x:c>
      <x:c r="P102" s="56" t="str">
        <x:v>visible_capture</x:v>
      </x:c>
      <x:c r="Q102" s="56" t="str">
        <x:v>CLARIFICATION_SEPARATE</x:v>
      </x:c>
      <x:c r="R102" s="56" t="str">
        <x:v>user_correction</x:v>
      </x:c>
      <x:c r="S102" s="56" t="str">
        <x:v>clarification</x:v>
      </x:c>
      <x:c r="T102" s="56" t="str">
        <x:v>Bloque_7_Documento_Madre_Capa1_v2_1_EVE_rev4_alineado.docx</x:v>
      </x:c>
      <x:c r="U102" s="56" t="str">
        <x:v>2a81e6eaa3d7ca9c11245d1010633fb233087e22a7d05bfd678350728820b399</x:v>
      </x:c>
      <x:c r="V102" s="56" t="str">
        <x:v>Texto libre</x:v>
      </x:c>
      <x:c r="W102" s="56" t="str">
        <x:v>Capturar texto literal sin clasificación semántica cliente.</x:v>
      </x:c>
      <x:c r="X102" s="56" t="str">
        <x:v>scalar:string</x:v>
      </x:c>
      <x:c r="Y102" s="56" t="str">
        <x:v>No aplica</x:v>
      </x:c>
      <x:c r="Z102" s="56" t="str">
        <x:v>slot_ref server-issued; valor humano únicamente.</x:v>
      </x:c>
      <x:c r="AA102" s="56" t="str">
        <x:v>EXPLICIT_FIELD_TYPE</x:v>
      </x:c>
      <x:c r="AB102" s="56" t="str">
        <x:v>Pantalla específica Bloque 7</x:v>
      </x:c>
      <x:c r="AC102" s="66" t="str"/>
      <x:c r="AD102" s="66" t="str">
        <x:v>No evaluado</x:v>
      </x:c>
      <x:c r="AE102" s="66" t="str">
        <x:v>No evaluado</x:v>
      </x:c>
      <x:c r="AF102" s="66" t="str">
        <x:v>No evaluado</x:v>
      </x:c>
      <x:c r="AG102" s="66" t="str">
        <x:v>No ejecutado</x:v>
      </x:c>
      <x:c r="AH102" s="68" t="str">
        <x:f>IF(AND(AD102="No evaluado",AE102="No evaluado",AF102="No evaluado",AG102="No ejecutado"),"No evaluado",IF(OR(AD102="Bloqueado",AE102="Bloqueado",AF102="Bloqueado",AG102="Bloqueado"),"Bloqueado",IF(OR(AE102="No conforme",AF102="No conforme",AG102="Falló"),"No conforme",IF(AND(OR(AD102="Implementado",AD102="No aplica"),OR(AE102="Conforme",AE102="No aplica"),OR(AF102="Conforme",AF102="No aplica"),OR(AG102="Pasó",AG102="No aplica")),"Conforme","Parcial"))))</x:f>
        <x:v>No evaluado</x:v>
      </x:c>
      <x:c r="AI102" s="56" t="str">
        <x:v>Compatible</x:v>
      </x:c>
      <x:c r="AJ102" s="66" t="str"/>
      <x:c r="AK102" s="66" t="str"/>
      <x:c r="AL102" s="56" t="str">
        <x:v>VALIDATED_044A3M / 170 identity tuples</x:v>
      </x:c>
      <x:c r="AM102" s="56" t="str">
        <x:v>TR-005; TR-006; TR-008; TR-016; TR-019; TR-028; TR-029</x:v>
      </x:c>
      <x:c r="AN102" s="66" t="str"/>
    </x:row>
    <x:row r="103" ht="58" customHeight="1">
      <x:c r="A103" s="56" t="str">
        <x:v>B7-Q40</x:v>
      </x:c>
      <x:c r="B103" s="56" t="str">
        <x:v>7</x:v>
      </x:c>
      <x:c r="C103" s="56" t="str">
        <x:v>base_40</x:v>
      </x:c>
      <x:c r="D103" s="56" t="n">
        <x:v>40</x:v>
      </x:c>
      <x:c r="E103" s="56" t="n">
        <x:v>1</x:v>
      </x:c>
      <x:c r="F103" s="56" t="str">
        <x:v>B7_7_0a</x:v>
      </x:c>
      <x:c r="G103" s="56" t="str">
        <x:v>7.0a</x:v>
      </x:c>
      <x:c r="H103" s="56" t="str">
        <x:v>[INTERNO] El sistema analiza específicamente si la evidencia del Bloque 6 ampliado sugiere predominio intrapersonal, interpersonal u organizacional de la compensación observada, y si existe una huella interpersonal suficientemente nítida como para justificar microconfirmación.</x:v>
      </x:c>
      <x:c r="I103" s="56" t="str">
        <x:v>No visible al usuario. Este nodo complementa 7.0 leyendo huellas del plano interpersonal y estabilizando la salida AHE sin reescribir evidencia original.</x:v>
      </x:c>
      <x:c r="J103" s="56" t="str">
        <x:v>generated_review</x:v>
      </x:c>
      <x:c r="K103" s="56" t="str">
        <x:v>internal_inference</x:v>
      </x:c>
      <x:c r="L103" s="56" t="str">
        <x:v>ahe_level enum: intrapersonal / interpersonal / organizational / mixed / uncertain; interpersonal_signal enum orientativo: pursuit / insistence / informal_support / load_bounce / relational_buffering / cross_area_friction / mixed / uncertain.</x:v>
      </x:c>
      <x:c r="M103" s="56" t="str">
        <x:v>Siempre se ejecuta como subinferencia de 7.0</x:v>
      </x:c>
      <x:c r="N103" s="56" t="str">
        <x:v>Interno, no visible al usuario</x:v>
      </x:c>
      <x:c r="O103" s="56" t="str">
        <x:v>Si detecta señal interpersonal relevante con confianza media/baja o competencia entre coordinación y compensación interpersonal, puede disparar 7.3a.</x:v>
      </x:c>
      <x:c r="P103" s="56" t="str">
        <x:v>internal</x:v>
      </x:c>
      <x:c r="Q103" s="56" t="str">
        <x:v>LIGHT_INFERENCE_RESTRICTED</x:v>
      </x:c>
      <x:c r="R103" s="56" t="str">
        <x:v>preclassification_ahe_level_dominant | preclassification_interpersonal_signal | preclassification_interpersonal_note | preclassification_ahe_bundle_refined</x:v>
      </x:c>
      <x:c r="S103" s="56" t="str">
        <x:v>internal_calculated</x:v>
      </x:c>
      <x:c r="T103" s="56" t="str">
        <x:v>Bloque_7_Documento_Madre_Capa1_v2_1_EVE_rev4_alineado.docx</x:v>
      </x:c>
      <x:c r="U103" s="56" t="str">
        <x:v>2a81e6eaa3d7ca9c11245d1010633fb233087e22a7d05bfd678350728820b399</x:v>
      </x:c>
      <x:c r="V103" s="56" t="str">
        <x:v>Sin control visible / lógica interna</x:v>
      </x:c>
      <x:c r="W103" s="56" t="str">
        <x:v>No renderizar al usuario; resolver y auditar server-side.</x:v>
      </x:c>
      <x:c r="X103" s="56" t="str">
        <x:v>Sin valor de usuario</x:v>
      </x:c>
      <x:c r="Y103" s="56" t="str">
        <x:v>No aplica</x:v>
      </x:c>
      <x:c r="Z103" s="56" t="str">
        <x:v>Identidad interna por interaction/source tuple; no slot visible.</x:v>
      </x:c>
      <x:c r="AA103" s="56" t="str">
        <x:v>EXPLICIT_INTERNAL</x:v>
      </x:c>
      <x:c r="AB103" s="56" t="str">
        <x:v>Pantalla específica Bloque 7</x:v>
      </x:c>
      <x:c r="AC103" s="66" t="str"/>
      <x:c r="AD103" s="66" t="str">
        <x:v>No aplica</x:v>
      </x:c>
      <x:c r="AE103" s="66" t="str">
        <x:v>No evaluado</x:v>
      </x:c>
      <x:c r="AF103" s="66" t="str">
        <x:v>No evaluado</x:v>
      </x:c>
      <x:c r="AG103" s="66" t="str">
        <x:v>No ejecutado</x:v>
      </x:c>
      <x:c r="AH103" s="68" t="str">
        <x:f>IF(AND(AD103="No evaluado",AE103="No evaluado",AF103="No evaluado",AG103="No ejecutado"),"No evaluado",IF(OR(AD103="Bloqueado",AE103="Bloqueado",AF103="Bloqueado",AG103="Bloqueado"),"Bloqueado",IF(OR(AE103="No conforme",AF103="No conforme",AG103="Falló"),"No conforme",IF(AND(OR(AD103="Implementado",AD103="No aplica"),OR(AE103="Conforme",AE103="No aplica"),OR(AF103="Conforme",AF103="No aplica"),OR(AG103="Pasó",AG103="No aplica")),"Conforme","Parcial"))))</x:f>
        <x:v>Parcial</x:v>
      </x:c>
      <x:c r="AI103" s="56" t="str">
        <x:v>No aplica</x:v>
      </x:c>
      <x:c r="AJ103" s="66" t="str"/>
      <x:c r="AK103" s="66" t="str"/>
      <x:c r="AL103" s="56" t="str">
        <x:v>VALIDATED_044A3M / 170 identity tuples</x:v>
      </x:c>
      <x:c r="AM103" s="56" t="str">
        <x:v>TR-005; TR-006; TR-008; TR-016; TR-019; TR-028; TR-029</x:v>
      </x:c>
      <x:c r="AN103" s="66" t="str"/>
    </x:row>
    <x:row r="104" ht="58" customHeight="1">
      <x:c r="A104" s="56" t="str">
        <x:v>B7-Q40</x:v>
      </x:c>
      <x:c r="B104" s="56" t="str">
        <x:v>7</x:v>
      </x:c>
      <x:c r="C104" s="56" t="str">
        <x:v>base_40</x:v>
      </x:c>
      <x:c r="D104" s="56" t="n">
        <x:v>40</x:v>
      </x:c>
      <x:c r="E104" s="56" t="n">
        <x:v>2</x:v>
      </x:c>
      <x:c r="F104" s="56" t="str">
        <x:v>B7_7_2</x:v>
      </x:c>
      <x:c r="G104" s="56" t="str">
        <x:v>7.2</x:v>
      </x:c>
      <x:c r="H104" s="56" t="str">
        <x:v>En el flujo, ¿dónde está esto? ¿Es el primer paso, un paso intermedio, o el último?</x:v>
      </x:c>
      <x:c r="I104" s="56" t="str">
        <x:v>Responde según el lugar que esta escena ocupa dentro del flujo real. No pienses en el organigrama ni en su importancia, sino en si abre el trabajo, si ocurre en medio, o si deja algo ya listo al final.</x:v>
      </x:c>
      <x:c r="J104" s="56" t="str">
        <x:v>single_choice</x:v>
      </x:c>
      <x:c r="K104" s="56" t="str">
        <x:v>single_choice</x:v>
      </x:c>
      <x:c r="L104" s="56" t="str">
        <x:v>Es el primer paso (apertura) / Es un paso intermedio / Es el último paso (cierre)</x:v>
      </x:c>
      <x:c r="M104" s="56" t="str">
        <x:v>Obligatoria solo si se dispara</x:v>
      </x:c>
      <x:c r="N104" s="56" t="str">
        <x:v>Visible si hay dependencias previas y posteriores ambiguas o lectura inestable de cadena</x:v>
      </x:c>
      <x:c r="O104" s="56" t="str">
        <x:v>Su respuesta puede elevar confidence_level o reducir flagged_for_manual_review.</x:v>
      </x:c>
      <x:c r="P104" s="56" t="str">
        <x:v>visible_capture</x:v>
      </x:c>
      <x:c r="Q104" s="56" t="str">
        <x:v>CLARIFICATION_SEPARATE</x:v>
      </x:c>
      <x:c r="R104" s="56" t="str">
        <x:v>user_clarification</x:v>
      </x:c>
      <x:c r="S104" s="56" t="str">
        <x:v>clarification</x:v>
      </x:c>
      <x:c r="T104" s="56" t="str">
        <x:v>Bloque_7_Documento_Madre_Capa1_v2_1_EVE_rev4_alineado.docx</x:v>
      </x:c>
      <x:c r="U104" s="56" t="str">
        <x:v>2a81e6eaa3d7ca9c11245d1010633fb233087e22a7d05bfd678350728820b399</x:v>
      </x:c>
      <x:c r="V104" s="56" t="str">
        <x:v>Selección única</x:v>
      </x:c>
      <x:c r="W104" s="56" t="str">
        <x:v>Mostrar opciones autorizadas; permitir una sola selección; opción literal preservada.</x:v>
      </x:c>
      <x:c r="X104" s="56" t="str">
        <x:v>scalar:string</x:v>
      </x:c>
      <x:c r="Y104" s="56" t="str">
        <x:v>Campo options / catálogo dinámico rector</x:v>
      </x:c>
      <x:c r="Z104" s="56" t="str">
        <x:v>slot_ref server-issued; no mapear por label ni posición.</x:v>
      </x:c>
      <x:c r="AA104" s="56" t="str">
        <x:v>EXPLICIT_FIELD_TYPE</x:v>
      </x:c>
      <x:c r="AB104" s="56" t="str">
        <x:v>Pantalla específica Bloque 7</x:v>
      </x:c>
      <x:c r="AC104" s="66" t="str"/>
      <x:c r="AD104" s="66" t="str">
        <x:v>No evaluado</x:v>
      </x:c>
      <x:c r="AE104" s="66" t="str">
        <x:v>No evaluado</x:v>
      </x:c>
      <x:c r="AF104" s="66" t="str">
        <x:v>No evaluado</x:v>
      </x:c>
      <x:c r="AG104" s="66" t="str">
        <x:v>No ejecutado</x:v>
      </x:c>
      <x:c r="AH104" s="68" t="str">
        <x:f>IF(AND(AD104="No evaluado",AE104="No evaluado",AF104="No evaluado",AG104="No ejecutado"),"No evaluado",IF(OR(AD104="Bloqueado",AE104="Bloqueado",AF104="Bloqueado",AG104="Bloqueado"),"Bloqueado",IF(OR(AE104="No conforme",AF104="No conforme",AG104="Falló"),"No conforme",IF(AND(OR(AD104="Implementado",AD104="No aplica"),OR(AE104="Conforme",AE104="No aplica"),OR(AF104="Conforme",AF104="No aplica"),OR(AG104="Pasó",AG104="No aplica")),"Conforme","Parcial"))))</x:f>
        <x:v>No evaluado</x:v>
      </x:c>
      <x:c r="AI104" s="56" t="str">
        <x:v>No conforme</x:v>
      </x:c>
      <x:c r="AJ104" s="66" t="str"/>
      <x:c r="AK104" s="66" t="str"/>
      <x:c r="AL104" s="56" t="str">
        <x:v>VALIDATED_044A3M / 170 identity tuples</x:v>
      </x:c>
      <x:c r="AM104" s="56" t="str">
        <x:v>TR-005; TR-006; TR-008; TR-016; TR-019; TR-028; TR-029</x:v>
      </x:c>
      <x:c r="AN104" s="66" t="str"/>
    </x:row>
    <x:row r="105" ht="58" customHeight="1">
      <x:c r="A105" s="56" t="str">
        <x:v>B7-Q40</x:v>
      </x:c>
      <x:c r="B105" s="56" t="str">
        <x:v>7</x:v>
      </x:c>
      <x:c r="C105" s="56" t="str">
        <x:v>base_40</x:v>
      </x:c>
      <x:c r="D105" s="56" t="n">
        <x:v>40</x:v>
      </x:c>
      <x:c r="E105" s="56" t="n">
        <x:v>3</x:v>
      </x:c>
      <x:c r="F105" s="56" t="str">
        <x:v>B7_7_3</x:v>
      </x:c>
      <x:c r="G105" s="56" t="str">
        <x:v>7.3</x:v>
      </x:c>
      <x:c r="H105" s="56" t="str">
        <x:v>Veo que hay [evidencia A] que sugiere [función 1], pero también hay [evidencia B] que sugiere [función 2]. ¿Cuál es la función principal?</x:v>
      </x:c>
      <x:c r="I105" s="56" t="str">
        <x:v>A veces una escena muestra más de una función al mismo tiempo. Queremos saber cuál pesa más en esta escena, sin cambiar lo que ya contaste en los bloques anteriores.</x:v>
      </x:c>
      <x:c r="J105" s="56" t="str">
        <x:v>single_choice</x:v>
      </x:c>
      <x:c r="K105" s="56" t="str">
        <x:v>single_choice</x:v>
      </x:c>
      <x:c r="L105" s="56" t="str">
        <x:v>Función 1 / Función 2 / Ambas son igual de importantes. Funciones visibles posibles: S1 / S2 / S3 / S3* / S4 / S5 / Algedónico.</x:v>
      </x:c>
      <x:c r="M105" s="56" t="str">
        <x:v>Obligatoria solo si se dispara</x:v>
      </x:c>
      <x:c r="N105" s="56" t="str">
        <x:v>Visible si múltiples funciones VSM muestran evidencia similar</x:v>
      </x:c>
      <x:c r="O105" s="56" t="str">
        <x:v>Si el usuario indica igualdad funcional y la misión sugerida queda ambigua, evaluar 7.4 y/o flagged_for_manual_review. Si la competencia funcional involucra coordinación, compensación o canal algedónico con huella interpersonal relevante, evaluar 7.3a o priorizar 7.3a sobre 7.3 según la ambigüedad más crítica.</x:v>
      </x:c>
      <x:c r="P105" s="56" t="str">
        <x:v>visible_capture</x:v>
      </x:c>
      <x:c r="Q105" s="56" t="str">
        <x:v>CLARIFICATION_SEPARATE</x:v>
      </x:c>
      <x:c r="R105" s="56" t="str">
        <x:v>user_clarification</x:v>
      </x:c>
      <x:c r="S105" s="56" t="str">
        <x:v>clarification</x:v>
      </x:c>
      <x:c r="T105" s="56" t="str">
        <x:v>Bloque_7_Documento_Madre_Capa1_v2_1_EVE_rev4_alineado.docx</x:v>
      </x:c>
      <x:c r="U105" s="56" t="str">
        <x:v>2a81e6eaa3d7ca9c11245d1010633fb233087e22a7d05bfd678350728820b399</x:v>
      </x:c>
      <x:c r="V105" s="56" t="str">
        <x:v>Selección única</x:v>
      </x:c>
      <x:c r="W105" s="56" t="str">
        <x:v>Mostrar opciones autorizadas; permitir una sola selección; opción literal preservada.</x:v>
      </x:c>
      <x:c r="X105" s="56" t="str">
        <x:v>scalar:string</x:v>
      </x:c>
      <x:c r="Y105" s="56" t="str">
        <x:v>Campo options / catálogo dinámico rector</x:v>
      </x:c>
      <x:c r="Z105" s="56" t="str">
        <x:v>slot_ref server-issued; no mapear por label ni posición.</x:v>
      </x:c>
      <x:c r="AA105" s="56" t="str">
        <x:v>EXPLICIT_FIELD_TYPE</x:v>
      </x:c>
      <x:c r="AB105" s="56" t="str">
        <x:v>Pantalla específica Bloque 7</x:v>
      </x:c>
      <x:c r="AC105" s="66" t="str"/>
      <x:c r="AD105" s="66" t="str">
        <x:v>No evaluado</x:v>
      </x:c>
      <x:c r="AE105" s="66" t="str">
        <x:v>No evaluado</x:v>
      </x:c>
      <x:c r="AF105" s="66" t="str">
        <x:v>No evaluado</x:v>
      </x:c>
      <x:c r="AG105" s="66" t="str">
        <x:v>No ejecutado</x:v>
      </x:c>
      <x:c r="AH105" s="68" t="str">
        <x:f>IF(AND(AD105="No evaluado",AE105="No evaluado",AF105="No evaluado",AG105="No ejecutado"),"No evaluado",IF(OR(AD105="Bloqueado",AE105="Bloqueado",AF105="Bloqueado",AG105="Bloqueado"),"Bloqueado",IF(OR(AE105="No conforme",AF105="No conforme",AG105="Falló"),"No conforme",IF(AND(OR(AD105="Implementado",AD105="No aplica"),OR(AE105="Conforme",AE105="No aplica"),OR(AF105="Conforme",AF105="No aplica"),OR(AG105="Pasó",AG105="No aplica")),"Conforme","Parcial"))))</x:f>
        <x:v>No evaluado</x:v>
      </x:c>
      <x:c r="AI105" s="56" t="str">
        <x:v>No conforme</x:v>
      </x:c>
      <x:c r="AJ105" s="66" t="str"/>
      <x:c r="AK105" s="66" t="str"/>
      <x:c r="AL105" s="56" t="str">
        <x:v>VALIDATED_044A3M / 170 identity tuples</x:v>
      </x:c>
      <x:c r="AM105" s="56" t="str">
        <x:v>TR-005; TR-006; TR-008; TR-016; TR-019; TR-028; TR-029</x:v>
      </x:c>
      <x:c r="AN105" s="66" t="str"/>
    </x:row>
    <x:row r="106" ht="58" customHeight="1">
      <x:c r="A106" s="56" t="str">
        <x:v>B7-Q40</x:v>
      </x:c>
      <x:c r="B106" s="56" t="str">
        <x:v>7</x:v>
      </x:c>
      <x:c r="C106" s="56" t="str">
        <x:v>base_40</x:v>
      </x:c>
      <x:c r="D106" s="56" t="n">
        <x:v>40</x:v>
      </x:c>
      <x:c r="E106" s="56" t="n">
        <x:v>4</x:v>
      </x:c>
      <x:c r="F106" s="56" t="str">
        <x:v>B7_7_3a</x:v>
      </x:c>
      <x:c r="G106" s="56" t="str">
        <x:v>7.3a</x:v>
      </x:c>
      <x:c r="H106" s="56" t="str">
        <x:v>Parece que aquí, además del trabajo operativo, una parte importante es perseguir respuestas, traducir entre áreas, absorber fricción o sostener relaciones para que el flujo no se rompa. ¿Eso describe bien esta escena?</x:v>
      </x:c>
      <x:c r="I106" s="56" t="str">
        <x:v>Queremos verificar si una parte relevante de esta escena consiste en sostener la relación entre personas o áreas para que el trabajo siga avanzando. No hace falta usar términos técnicos: basta con decir si eso sí describe la escena, si ocurre solo a veces o si no es lo principal.</x:v>
      </x:c>
      <x:c r="J106" s="56" t="str">
        <x:v>hybrid_choice_text</x:v>
      </x:c>
      <x:c r="K106" s="56" t="str">
        <x:v>hybrid_choice_text</x:v>
      </x:c>
      <x:c r="L106" s="56" t="str">
        <x:v>Sí, eso describe bien esta escena / Pasa, pero no es lo principal / Solo ocurre en ciertos casos / No, eso no describe lo principal / Otro matiz</x:v>
      </x:c>
      <x:c r="M106" s="56" t="str">
        <x:v>Obligatoria solo si se dispara</x:v>
      </x:c>
      <x:c r="N106" s="56" t="str">
        <x:v>Visible solo cuando la dimensión interpersonal aparece plausible pero todavía no suficientemente estable</x:v>
      </x:c>
      <x:c r="O106" s="56" t="str">
        <x:v>Puede refinar preclassification_ahe_level_dominant, reforzar o debilitar preclassification_scene_type compensation/coordination, y modificar confidence_level. No sustituye evidencia original.</x:v>
      </x:c>
      <x:c r="P106" s="56" t="str">
        <x:v>visible_capture</x:v>
      </x:c>
      <x:c r="Q106" s="56" t="str">
        <x:v>CLARIFICATION_SEPARATE</x:v>
      </x:c>
      <x:c r="R106" s="56" t="str">
        <x:v>preclassification_interpersonal_confirmation | user_clarification</x:v>
      </x:c>
      <x:c r="S106" s="56" t="str">
        <x:v>clarification</x:v>
      </x:c>
      <x:c r="T106" s="56" t="str">
        <x:v>Bloque_7_Documento_Madre_Capa1_v2_1_EVE_rev4_alineado.docx</x:v>
      </x:c>
      <x:c r="U106" s="56" t="str">
        <x:v>2a81e6eaa3d7ca9c11245d1010633fb233087e22a7d05bfd678350728820b399</x:v>
      </x:c>
      <x:c r="V106" s="56" t="str">
        <x:v>Selección + texto complementario</x:v>
      </x:c>
      <x:c r="W106" s="56" t="str">
        <x:v>Persistir choice y free_text por separado; activar texto según regla.</x:v>
      </x:c>
      <x:c r="X106" s="56" t="str">
        <x:v>choice:string|array + free_text:string|null</x:v>
      </x:c>
      <x:c r="Y106" s="56" t="str">
        <x:v>Campo options rector / catálogo dinámico</x:v>
      </x:c>
      <x:c r="Z106" s="56" t="str">
        <x:v>slot_ref para la unidad híbrida; servidor preserva partes separadas.</x:v>
      </x:c>
      <x:c r="AA106" s="56" t="str">
        <x:v>EXPLICIT_COMPOSITE</x:v>
      </x:c>
      <x:c r="AB106" s="56" t="str">
        <x:v>Pantalla específica Bloque 7</x:v>
      </x:c>
      <x:c r="AC106" s="66" t="str"/>
      <x:c r="AD106" s="66" t="str">
        <x:v>No evaluado</x:v>
      </x:c>
      <x:c r="AE106" s="66" t="str">
        <x:v>No evaluado</x:v>
      </x:c>
      <x:c r="AF106" s="66" t="str">
        <x:v>No evaluado</x:v>
      </x:c>
      <x:c r="AG106" s="66" t="str">
        <x:v>No ejecutado</x:v>
      </x:c>
      <x:c r="AH106" s="68" t="str">
        <x:f>IF(AND(AD106="No evaluado",AE106="No evaluado",AF106="No evaluado",AG106="No ejecutado"),"No evaluado",IF(OR(AD106="Bloqueado",AE106="Bloqueado",AF106="Bloqueado",AG106="Bloqueado"),"Bloqueado",IF(OR(AE106="No conforme",AF106="No conforme",AG106="Falló"),"No conforme",IF(AND(OR(AD106="Implementado",AD106="No aplica"),OR(AE106="Conforme",AE106="No aplica"),OR(AF106="Conforme",AF106="No aplica"),OR(AG106="Pasó",AG106="No aplica")),"Conforme","Parcial"))))</x:f>
        <x:v>No evaluado</x:v>
      </x:c>
      <x:c r="AI106" s="56" t="str">
        <x:v>No conforme</x:v>
      </x:c>
      <x:c r="AJ106" s="66" t="str"/>
      <x:c r="AK106" s="66" t="str"/>
      <x:c r="AL106" s="56" t="str">
        <x:v>VALIDATED_044A3M / 170 identity tuples</x:v>
      </x:c>
      <x:c r="AM106" s="56" t="str">
        <x:v>TR-005; TR-006; TR-008; TR-016; TR-019; TR-028; TR-029</x:v>
      </x:c>
      <x:c r="AN106" s="66" t="str"/>
    </x:row>
    <x:row r="107" ht="58" customHeight="1">
      <x:c r="A107" s="56" t="str">
        <x:v>C01</x:v>
      </x:c>
      <x:c r="B107" s="56" t="str">
        <x:v>0</x:v>
      </x:c>
      <x:c r="C107" s="56" t="str">
        <x:v>causal_20</x:v>
      </x:c>
      <x:c r="D107" s="56" t="n">
        <x:v>1</x:v>
      </x:c>
      <x:c r="E107" s="56" t="n">
        <x:v>1</x:v>
      </x:c>
      <x:c r="F107" s="56" t="str">
        <x:v>B0_0_3a</x:v>
      </x:c>
      <x:c r="G107" s="56" t="str">
        <x:v>0.3a</x:v>
      </x:c>
      <x:c r="H107" s="56" t="str">
        <x:v>Si cambia la frecuencia, ¿qué la hace más probable?</x:v>
      </x:c>
      <x:c r="I107" s="56" t="str">
        <x:v>Ejemplos: cierre de mes, volumen alto, errores, urgencias, solicitudes externas, auditorías o cambios de turno.</x:v>
      </x:c>
      <x:c r="J107" s="56" t="str">
        <x:v>hybrid_choice_text</x:v>
      </x:c>
      <x:c r="K107" s="56" t="str">
        <x:v>híbrida</x:v>
      </x:c>
      <x:c r="L107" s="56" t="str">
        <x:v>Depende del volumen / Depende de fechas de cierre / Depende de urgencias / Depende de errores o retrabajos / Depende de solicitudes externas / Otro</x:v>
      </x:c>
      <x:c r="M107" s="56" t="str">
        <x:v>Obligatoria si 0.3 indica variable</x:v>
      </x:c>
      <x:c r="N107" s="56" t="str">
        <x:v>Solo si aplica</x:v>
      </x:c>
      <x:c r="O107" s="56" t="str">
        <x:v>No abre bloque nuevo; densifica patrón.</x:v>
      </x:c>
      <x:c r="P107" s="56" t="str">
        <x:v>visible_capture</x:v>
      </x:c>
      <x:c r="Q107" s="56" t="str">
        <x:v>DIRECT_CAPTURE_ONLY</x:v>
      </x:c>
      <x:c r="R107" s="56" t="str">
        <x:v>activity_frequency_pattern_hint</x:v>
      </x:c>
      <x:c r="S107" s="56" t="str">
        <x:v>captured_user_evidence</x:v>
      </x:c>
      <x:c r="T107" s="56" t="str">
        <x:v>Bloque_0_Documento_Madre_Capa1_v2_1_EVE_rev4_redisenado_robusto.docx</x:v>
      </x:c>
      <x:c r="U107" s="56" t="str">
        <x:v>09705631f85c35bb58b1cb491e132eb289ac47beadccbf568dafbbc025f939db</x:v>
      </x:c>
      <x:c r="V107" s="56" t="str">
        <x:v>Selección + texto complementario</x:v>
      </x:c>
      <x:c r="W107" s="56" t="str">
        <x:v>Persistir choice y free_text por separado; activar texto según regla.</x:v>
      </x:c>
      <x:c r="X107" s="56" t="str">
        <x:v>choice:string|array + free_text:string|null</x:v>
      </x:c>
      <x:c r="Y107" s="56" t="str">
        <x:v>Campo options rector / catálogo dinámico</x:v>
      </x:c>
      <x:c r="Z107" s="56" t="str">
        <x:v>slot_ref para la unidad híbrida; servidor preserva partes separadas.</x:v>
      </x:c>
      <x:c r="AA107" s="56" t="str">
        <x:v>EXPLICIT_COMPOSITE</x:v>
      </x:c>
      <x:c r="AB107" s="56" t="str">
        <x:v>Pantalla específica Bloque 0</x:v>
      </x:c>
      <x:c r="AC107" s="66" t="str"/>
      <x:c r="AD107" s="66" t="str">
        <x:v>No evaluado</x:v>
      </x:c>
      <x:c r="AE107" s="66" t="str">
        <x:v>No evaluado</x:v>
      </x:c>
      <x:c r="AF107" s="66" t="str">
        <x:v>No evaluado</x:v>
      </x:c>
      <x:c r="AG107" s="66" t="str">
        <x:v>No ejecutado</x:v>
      </x:c>
      <x:c r="AH107" s="68" t="str">
        <x:f>IF(AND(AD107="No evaluado",AE107="No evaluado",AF107="No evaluado",AG107="No ejecutado"),"No evaluado",IF(OR(AD107="Bloqueado",AE107="Bloqueado",AF107="Bloqueado",AG107="Bloqueado"),"Bloqueado",IF(OR(AE107="No conforme",AF107="No conforme",AG107="Falló"),"No conforme",IF(AND(OR(AD107="Implementado",AD107="No aplica"),OR(AE107="Conforme",AE107="No aplica"),OR(AF107="Conforme",AF107="No aplica"),OR(AG107="Pasó",AG107="No aplica")),"Conforme","Parcial"))))</x:f>
        <x:v>No evaluado</x:v>
      </x:c>
      <x:c r="AI107" s="56" t="str">
        <x:v>No conforme</x:v>
      </x:c>
      <x:c r="AJ107" s="66" t="str"/>
      <x:c r="AK107" s="66" t="str"/>
      <x:c r="AL107" s="56" t="str">
        <x:v>VALIDATED_044A3M / 170 identity tuples</x:v>
      </x:c>
      <x:c r="AM107" s="56" t="str">
        <x:v>TR-005; TR-006; TR-008; TR-016; TR-019; TR-028; TR-029</x:v>
      </x:c>
      <x:c r="AN107" s="66" t="str"/>
    </x:row>
    <x:row r="108" ht="58" customHeight="1">
      <x:c r="A108" s="56" t="str">
        <x:v>C01</x:v>
      </x:c>
      <x:c r="B108" s="56" t="str">
        <x:v>0</x:v>
      </x:c>
      <x:c r="C108" s="56" t="str">
        <x:v>causal_20</x:v>
      </x:c>
      <x:c r="D108" s="56" t="n">
        <x:v>1</x:v>
      </x:c>
      <x:c r="E108" s="56" t="n">
        <x:v>2</x:v>
      </x:c>
      <x:c r="F108" s="56" t="str">
        <x:v>B0_0_8</x:v>
      </x:c>
      <x:c r="G108" s="56" t="str">
        <x:v>0.8</x:v>
      </x:c>
      <x:c r="H108" s="56" t="str">
        <x:v>¿La haces casi siempre igual o cambia según el caso?</x:v>
      </x:c>
      <x:c r="I108" s="56" t="str">
        <x:v>Piensa en cómo ocurre realmente, no en cómo debería ocurrir en el procedimiento ideal.</x:v>
      </x:c>
      <x:c r="J108" s="56" t="str">
        <x:v>single_choice</x:v>
      </x:c>
      <x:c r="K108" s="56" t="str">
        <x:v>cerrada</x:v>
      </x:c>
      <x:c r="L108" s="56" t="str">
        <x:v>Casi siempre igual / Tiene variaciones menores / Tiene variaciones relevantes / Cambia mucho según el caso / No estoy seguro</x:v>
      </x:c>
      <x:c r="M108" s="56" t="str">
        <x:v>Obligatoria</x:v>
      </x:c>
      <x:c r="N108" s="56" t="str">
        <x:v>Siempre</x:v>
      </x:c>
      <x:c r="O108" s="56" t="str">
        <x:v>Si variación relevante o alta, activar 0.8a.</x:v>
      </x:c>
      <x:c r="P108" s="56" t="str">
        <x:v>visible_capture</x:v>
      </x:c>
      <x:c r="Q108" s="56" t="str">
        <x:v>DIRECT_CAPTURE_ONLY</x:v>
      </x:c>
      <x:c r="R108" s="56" t="str">
        <x:v>activity_variation_mode | scene_variation_mode</x:v>
      </x:c>
      <x:c r="S108" s="56" t="str">
        <x:v>captured_user_evidence</x:v>
      </x:c>
      <x:c r="T108" s="56" t="str">
        <x:v>Bloque_0_Documento_Madre_Capa1_v2_1_EVE_rev4_redisenado_robusto.docx</x:v>
      </x:c>
      <x:c r="U108" s="56" t="str">
        <x:v>09705631f85c35bb58b1cb491e132eb289ac47beadccbf568dafbbc025f939db</x:v>
      </x:c>
      <x:c r="V108" s="56" t="str">
        <x:v>Selección única</x:v>
      </x:c>
      <x:c r="W108" s="56" t="str">
        <x:v>Mostrar opciones autorizadas; permitir una sola selección; opción literal preservada.</x:v>
      </x:c>
      <x:c r="X108" s="56" t="str">
        <x:v>scalar:string</x:v>
      </x:c>
      <x:c r="Y108" s="56" t="str">
        <x:v>Campo options / catálogo dinámico rector</x:v>
      </x:c>
      <x:c r="Z108" s="56" t="str">
        <x:v>slot_ref server-issued; no mapear por label ni posición.</x:v>
      </x:c>
      <x:c r="AA108" s="56" t="str">
        <x:v>EXPLICIT_FIELD_TYPE</x:v>
      </x:c>
      <x:c r="AB108" s="56" t="str">
        <x:v>Pantalla específica Bloque 0</x:v>
      </x:c>
      <x:c r="AC108" s="66" t="str"/>
      <x:c r="AD108" s="66" t="str">
        <x:v>No evaluado</x:v>
      </x:c>
      <x:c r="AE108" s="66" t="str">
        <x:v>No evaluado</x:v>
      </x:c>
      <x:c r="AF108" s="66" t="str">
        <x:v>No evaluado</x:v>
      </x:c>
      <x:c r="AG108" s="66" t="str">
        <x:v>No ejecutado</x:v>
      </x:c>
      <x:c r="AH108" s="68" t="str">
        <x:f>IF(AND(AD108="No evaluado",AE108="No evaluado",AF108="No evaluado",AG108="No ejecutado"),"No evaluado",IF(OR(AD108="Bloqueado",AE108="Bloqueado",AF108="Bloqueado",AG108="Bloqueado"),"Bloqueado",IF(OR(AE108="No conforme",AF108="No conforme",AG108="Falló"),"No conforme",IF(AND(OR(AD108="Implementado",AD108="No aplica"),OR(AE108="Conforme",AE108="No aplica"),OR(AF108="Conforme",AF108="No aplica"),OR(AG108="Pasó",AG108="No aplica")),"Conforme","Parcial"))))</x:f>
        <x:v>No evaluado</x:v>
      </x:c>
      <x:c r="AI108" s="56" t="str">
        <x:v>No conforme</x:v>
      </x:c>
      <x:c r="AJ108" s="66" t="str"/>
      <x:c r="AK108" s="66" t="str"/>
      <x:c r="AL108" s="56" t="str">
        <x:v>VALIDATED_044A3M / 170 identity tuples</x:v>
      </x:c>
      <x:c r="AM108" s="56" t="str">
        <x:v>TR-005; TR-006; TR-008; TR-016; TR-019; TR-028; TR-029</x:v>
      </x:c>
      <x:c r="AN108" s="66" t="str"/>
    </x:row>
    <x:row r="109" ht="58" customHeight="1">
      <x:c r="A109" s="56" t="str">
        <x:v>C01</x:v>
      </x:c>
      <x:c r="B109" s="56" t="str">
        <x:v>0</x:v>
      </x:c>
      <x:c r="C109" s="56" t="str">
        <x:v>causal_20</x:v>
      </x:c>
      <x:c r="D109" s="56" t="n">
        <x:v>1</x:v>
      </x:c>
      <x:c r="E109" s="56" t="n">
        <x:v>3</x:v>
      </x:c>
      <x:c r="F109" s="56" t="str">
        <x:v>B0_0_8a</x:v>
      </x:c>
      <x:c r="G109" s="56" t="str">
        <x:v>0.8a</x:v>
      </x:c>
      <x:c r="H109" s="56" t="str">
        <x:v>¿Cuál es el cambio o caso especial más común?</x:v>
      </x:c>
      <x:c r="I109" s="56" t="str">
        <x:v>Describe solo el caso más típico. Ejemplo: “cambia cuando falta soporte”, “cambia si el pedido es urgente”, “cambia si el sistema no actualiza”.</x:v>
      </x:c>
      <x:c r="J109" s="56" t="str">
        <x:v>free_text</x:v>
      </x:c>
      <x:c r="K109" s="56" t="str">
        <x:v>libre</x:v>
      </x:c>
      <x:c r="L109" s="56" t="str">
        <x:v>N/A</x:v>
      </x:c>
      <x:c r="M109" s="56" t="str">
        <x:v>Obligatoria si 0.8 indica variación relevante o alta</x:v>
      </x:c>
      <x:c r="N109" s="56" t="str">
        <x:v>Solo si aplica</x:v>
      </x:c>
      <x:c r="O109" s="56" t="str">
        <x:v>No abre nuevas preguntas; densifica variabilidad.</x:v>
      </x:c>
      <x:c r="P109" s="56" t="str">
        <x:v>visible_capture</x:v>
      </x:c>
      <x:c r="Q109" s="56" t="str">
        <x:v>DIRECT_CAPTURE_ONLY</x:v>
      </x:c>
      <x:c r="R109" s="56" t="str">
        <x:v>activity_exception_signature | scene_exception_signature</x:v>
      </x:c>
      <x:c r="S109" s="56" t="str">
        <x:v>captured_user_evidence</x:v>
      </x:c>
      <x:c r="T109" s="56" t="str">
        <x:v>Bloque_0_Documento_Madre_Capa1_v2_1_EVE_rev4_redisenado_robusto.docx</x:v>
      </x:c>
      <x:c r="U109" s="56" t="str">
        <x:v>09705631f85c35bb58b1cb491e132eb289ac47beadccbf568dafbbc025f939db</x:v>
      </x:c>
      <x:c r="V109" s="56" t="str">
        <x:v>Texto libre</x:v>
      </x:c>
      <x:c r="W109" s="56" t="str">
        <x:v>Capturar texto literal sin clasificación semántica cliente.</x:v>
      </x:c>
      <x:c r="X109" s="56" t="str">
        <x:v>scalar:string</x:v>
      </x:c>
      <x:c r="Y109" s="56" t="str">
        <x:v>No aplica</x:v>
      </x:c>
      <x:c r="Z109" s="56" t="str">
        <x:v>slot_ref server-issued; valor humano únicamente.</x:v>
      </x:c>
      <x:c r="AA109" s="56" t="str">
        <x:v>EXPLICIT_FIELD_TYPE</x:v>
      </x:c>
      <x:c r="AB109" s="56" t="str">
        <x:v>Pantalla específica Bloque 0</x:v>
      </x:c>
      <x:c r="AC109" s="66" t="str"/>
      <x:c r="AD109" s="66" t="str">
        <x:v>No evaluado</x:v>
      </x:c>
      <x:c r="AE109" s="66" t="str">
        <x:v>No evaluado</x:v>
      </x:c>
      <x:c r="AF109" s="66" t="str">
        <x:v>No evaluado</x:v>
      </x:c>
      <x:c r="AG109" s="66" t="str">
        <x:v>No ejecutado</x:v>
      </x:c>
      <x:c r="AH109" s="68" t="str">
        <x:f>IF(AND(AD109="No evaluado",AE109="No evaluado",AF109="No evaluado",AG109="No ejecutado"),"No evaluado",IF(OR(AD109="Bloqueado",AE109="Bloqueado",AF109="Bloqueado",AG109="Bloqueado"),"Bloqueado",IF(OR(AE109="No conforme",AF109="No conforme",AG109="Falló"),"No conforme",IF(AND(OR(AD109="Implementado",AD109="No aplica"),OR(AE109="Conforme",AE109="No aplica"),OR(AF109="Conforme",AF109="No aplica"),OR(AG109="Pasó",AG109="No aplica")),"Conforme","Parcial"))))</x:f>
        <x:v>No evaluado</x:v>
      </x:c>
      <x:c r="AI109" s="56" t="str">
        <x:v>Compatible</x:v>
      </x:c>
      <x:c r="AJ109" s="66" t="str"/>
      <x:c r="AK109" s="66" t="str"/>
      <x:c r="AL109" s="56" t="str">
        <x:v>VALIDATED_044A3M / 170 identity tuples</x:v>
      </x:c>
      <x:c r="AM109" s="56" t="str">
        <x:v>TR-005; TR-006; TR-008; TR-016; TR-019; TR-028; TR-029</x:v>
      </x:c>
      <x:c r="AN109" s="66" t="str"/>
    </x:row>
    <x:row r="110" ht="58" customHeight="1">
      <x:c r="A110" s="56" t="str">
        <x:v>C02</x:v>
      </x:c>
      <x:c r="B110" s="56" t="str">
        <x:v>0.5</x:v>
      </x:c>
      <x:c r="C110" s="56" t="str">
        <x:v>causal_20</x:v>
      </x:c>
      <x:c r="D110" s="56" t="n">
        <x:v>2</x:v>
      </x:c>
      <x:c r="E110" s="56" t="n">
        <x:v>1</x:v>
      </x:c>
      <x:c r="F110" s="56" t="str">
        <x:v>B0_5_0_5_1b</x:v>
      </x:c>
      <x:c r="G110" s="56" t="str">
        <x:v>0.5.1b</x:v>
      </x:c>
      <x:c r="H110" s="56" t="str">
        <x:v>Si son distintos, ¿quién recibe primero el beneficio y quién absorbe primero el daño cuando falla?</x:v>
      </x:c>
      <x:c r="I110" s="56" t="str">
        <x:v>Describe brevemente cómo se reparte esa diferencia. No hace falta escribir mucho. Basta con dejar claro qué actor recibe primero el valor y qué actor siente primero el daño. Ejemplo: 'Finanzas recibe primero el beneficio porque puede cerrar el pago; el proveedor absorbe primero el daño cuando el pago no se libera'.</x:v>
      </x:c>
      <x:c r="J110" s="56" t="str">
        <x:v>free_text</x:v>
      </x:c>
      <x:c r="K110" s="56" t="str">
        <x:v>free_text</x:v>
      </x:c>
      <x:c r="L110" s="56" t="str">
        <x:v>N/A</x:v>
      </x:c>
      <x:c r="M110" s="56" t="str">
        <x:v>Condicional</x:v>
      </x:c>
      <x:c r="N110" s="56" t="str">
        <x:v>Solo si 0.5.1_rel = Son actores distintos</x:v>
      </x:c>
      <x:c r="O110" s="56" t="str">
        <x:v>Si la respuesta sigue confundiendo actor inmediato con actor final, sugerir 0.5.A en postvalidación.</x:v>
      </x:c>
      <x:c r="P110" s="56" t="str">
        <x:v>visible_capture</x:v>
      </x:c>
      <x:c r="Q110" s="56" t="str">
        <x:v>CLARIFICATION_SEPARATE</x:v>
      </x:c>
      <x:c r="R110" s="56" t="str">
        <x:v>beneficio_vs_dano_distribucion_0_5_1b</x:v>
      </x:c>
      <x:c r="S110" s="56" t="str">
        <x:v>capturado / aclarado (clarification)</x:v>
      </x:c>
      <x:c r="T110" s="56" t="str">
        <x:v>Bloque_0_5_Documento_Madre_Capa1_v2_1_EVE.docx</x:v>
      </x:c>
      <x:c r="U110" s="56" t="str">
        <x:v>d8d4ee2bbf35d603e5237cd90b811ff196c9f2f48e4a51ea652f1a2161862199</x:v>
      </x:c>
      <x:c r="V110" s="56" t="str">
        <x:v>Texto libre</x:v>
      </x:c>
      <x:c r="W110" s="56" t="str">
        <x:v>Capturar texto literal sin clasificación semántica cliente.</x:v>
      </x:c>
      <x:c r="X110" s="56" t="str">
        <x:v>scalar:string</x:v>
      </x:c>
      <x:c r="Y110" s="56" t="str">
        <x:v>No aplica</x:v>
      </x:c>
      <x:c r="Z110" s="56" t="str">
        <x:v>slot_ref server-issued; valor humano únicamente.</x:v>
      </x:c>
      <x:c r="AA110" s="56" t="str">
        <x:v>EXPLICIT_FIELD_TYPE</x:v>
      </x:c>
      <x:c r="AB110" s="56" t="str">
        <x:v>Pantalla específica Bloque 0.5</x:v>
      </x:c>
      <x:c r="AC110" s="66" t="str"/>
      <x:c r="AD110" s="66" t="str">
        <x:v>No evaluado</x:v>
      </x:c>
      <x:c r="AE110" s="66" t="str">
        <x:v>No evaluado</x:v>
      </x:c>
      <x:c r="AF110" s="66" t="str">
        <x:v>No evaluado</x:v>
      </x:c>
      <x:c r="AG110" s="66" t="str">
        <x:v>No ejecutado</x:v>
      </x:c>
      <x:c r="AH110" s="68" t="str">
        <x:f>IF(AND(AD110="No evaluado",AE110="No evaluado",AF110="No evaluado",AG110="No ejecutado"),"No evaluado",IF(OR(AD110="Bloqueado",AE110="Bloqueado",AF110="Bloqueado",AG110="Bloqueado"),"Bloqueado",IF(OR(AE110="No conforme",AF110="No conforme",AG110="Falló"),"No conforme",IF(AND(OR(AD110="Implementado",AD110="No aplica"),OR(AE110="Conforme",AE110="No aplica"),OR(AF110="Conforme",AF110="No aplica"),OR(AG110="Pasó",AG110="No aplica")),"Conforme","Parcial"))))</x:f>
        <x:v>No evaluado</x:v>
      </x:c>
      <x:c r="AI110" s="56" t="str">
        <x:v>Compatible</x:v>
      </x:c>
      <x:c r="AJ110" s="66" t="str"/>
      <x:c r="AK110" s="66" t="str"/>
      <x:c r="AL110" s="56" t="str">
        <x:v>VALIDATED_044A3M / 170 identity tuples</x:v>
      </x:c>
      <x:c r="AM110" s="56" t="str">
        <x:v>TR-005; TR-006; TR-008; TR-016; TR-019; TR-028; TR-029</x:v>
      </x:c>
      <x:c r="AN110" s="66" t="str"/>
    </x:row>
    <x:row r="111" ht="58" customHeight="1">
      <x:c r="A111" s="56" t="str">
        <x:v>C02</x:v>
      </x:c>
      <x:c r="B111" s="56" t="str">
        <x:v>0.5</x:v>
      </x:c>
      <x:c r="C111" s="56" t="str">
        <x:v>causal_20</x:v>
      </x:c>
      <x:c r="D111" s="56" t="n">
        <x:v>2</x:v>
      </x:c>
      <x:c r="E111" s="56" t="n">
        <x:v>2</x:v>
      </x:c>
      <x:c r="F111" s="56" t="str">
        <x:v>B0_5_0_5_A</x:v>
      </x:c>
      <x:c r="G111" s="56" t="str">
        <x:v>0.5.A</x:v>
      </x:c>
      <x:c r="H111" s="56" t="str">
        <x:v>Para no confundirlo: más allá de a quién le entregas directamente, ¿quién dirías que obtiene el beneficio real al final y quién absorbe el problema real si esto falla?</x:v>
      </x:c>
      <x:c r="I111" s="56" t="str">
        <x:v>Úsala cuando la respuesta anterior se haya ido hacia el receptor inmediato o cuando todavía no quede clara la diferencia entre quien recibe tu trabajo y quien finalmente gana o pierde por él. Ejemplo: le entregas a tesorería, pero el beneficio final puede ser para el proveedor y el daño final también puede caer en él o en el cliente.</x:v>
      </x:c>
      <x:c r="J111" s="56" t="str">
        <x:v>clarification</x:v>
      </x:c>
      <x:c r="K111" s="56" t="str">
        <x:v>clarification</x:v>
      </x:c>
      <x:c r="L111" s="56" t="str">
        <x:v>N/A</x:v>
      </x:c>
      <x:c r="M111" s="56" t="str">
        <x:v>Nunca en flujo base</x:v>
      </x:c>
      <x:c r="N111" s="56" t="str">
        <x:v>Solo por flag</x:v>
      </x:c>
      <x:c r="O111" s="56" t="str">
        <x:v>No dispara nuevas preguntas; alimenta clarificación y consistencia.</x:v>
      </x:c>
      <x:c r="P111" s="56" t="str">
        <x:v>conditional_clarification</x:v>
      </x:c>
      <x:c r="Q111" s="56" t="str">
        <x:v>CLARIFICATION_SEPARATE</x:v>
      </x:c>
      <x:c r="R111" s="56" t="str">
        <x:v>scene_functional_client | clarifications_bundle_0_5_A</x:v>
      </x:c>
      <x:c r="S111" s="56" t="str">
        <x:v>aclarado (clarification)</x:v>
      </x:c>
      <x:c r="T111" s="56" t="str">
        <x:v>Bloque_0_5_Documento_Madre_Capa1_v2_1_EVE.docx</x:v>
      </x:c>
      <x:c r="U111" s="56" t="str">
        <x:v>d8d4ee2bbf35d603e5237cd90b811ff196c9f2f48e4a51ea652f1a2161862199</x:v>
      </x:c>
      <x:c r="V111" s="56" t="str">
        <x:v>Aclaración condicional</x:v>
      </x:c>
      <x:c r="W111" s="56" t="str">
        <x:v>Mostrar solo cuando visibility/branching lo autoriza; capturar aclaración separada.</x:v>
      </x:c>
      <x:c r="X111" s="56" t="str">
        <x:v>scalar:string|null</x:v>
      </x:c>
      <x:c r="Y111" s="56" t="str">
        <x:v>Opciones rectoras si existen; de lo contrario texto</x:v>
      </x:c>
      <x:c r="Z111" s="56" t="str">
        <x:v>slot_ref condicional server-issued; no fusionar con respuesta base.</x:v>
      </x:c>
      <x:c r="AA111" s="56" t="str">
        <x:v>EXPLICIT_CONDITIONAL</x:v>
      </x:c>
      <x:c r="AB111" s="56" t="str">
        <x:v>Pantalla específica Bloque 0.5</x:v>
      </x:c>
      <x:c r="AC111" s="66" t="str"/>
      <x:c r="AD111" s="66" t="str">
        <x:v>No evaluado</x:v>
      </x:c>
      <x:c r="AE111" s="66" t="str">
        <x:v>No evaluado</x:v>
      </x:c>
      <x:c r="AF111" s="66" t="str">
        <x:v>No evaluado</x:v>
      </x:c>
      <x:c r="AG111" s="66" t="str">
        <x:v>No ejecutado</x:v>
      </x:c>
      <x:c r="AH111" s="68" t="str">
        <x:f>IF(AND(AD111="No evaluado",AE111="No evaluado",AF111="No evaluado",AG111="No ejecutado"),"No evaluado",IF(OR(AD111="Bloqueado",AE111="Bloqueado",AF111="Bloqueado",AG111="Bloqueado"),"Bloqueado",IF(OR(AE111="No conforme",AF111="No conforme",AG111="Falló"),"No conforme",IF(AND(OR(AD111="Implementado",AD111="No aplica"),OR(AE111="Conforme",AE111="No aplica"),OR(AF111="Conforme",AF111="No aplica"),OR(AG111="Pasó",AG111="No aplica")),"Conforme","Parcial"))))</x:f>
        <x:v>No evaluado</x:v>
      </x:c>
      <x:c r="AI111" s="56" t="str">
        <x:v>Parcial</x:v>
      </x:c>
      <x:c r="AJ111" s="66" t="str"/>
      <x:c r="AK111" s="66" t="str"/>
      <x:c r="AL111" s="56" t="str">
        <x:v>VALIDATED_044A3M / 170 identity tuples</x:v>
      </x:c>
      <x:c r="AM111" s="56" t="str">
        <x:v>TR-005; TR-006; TR-008; TR-016; TR-019; TR-028; TR-029</x:v>
      </x:c>
      <x:c r="AN111" s="66" t="str"/>
    </x:row>
    <x:row r="112" ht="58" customHeight="1">
      <x:c r="A112" s="56" t="str">
        <x:v>C02</x:v>
      </x:c>
      <x:c r="B112" s="56" t="str">
        <x:v>0.5</x:v>
      </x:c>
      <x:c r="C112" s="56" t="str">
        <x:v>causal_20</x:v>
      </x:c>
      <x:c r="D112" s="56" t="n">
        <x:v>2</x:v>
      </x:c>
      <x:c r="E112" s="56" t="n">
        <x:v>3</x:v>
      </x:c>
      <x:c r="F112" s="56" t="str">
        <x:v>B0_5_0_5_C</x:v>
      </x:c>
      <x:c r="G112" s="56" t="str">
        <x:v>0.5.C</x:v>
      </x:c>
      <x:c r="H112" s="56" t="str">
        <x:v>Lo que escribiste parece describir tu tarea, pero no el hito que se habilita. Cuando esto sale bien, ¿qué cosa importante ya puede avanzar o desbloquearse para otros?</x:v>
      </x:c>
      <x:c r="I112" s="56" t="str">
        <x:v>Se usa cuando la respuesta se queda en algo como 'entrego el reporte' o 'termino la revisión'. Lo que buscamos es el siguiente avance importante que eso habilita. Ejemplos: 'se aprueba el pago', 'se libera la orden', 'producción puede arrancar', 'el cliente recibe el servicio', 'se puede cerrar el mes'.</x:v>
      </x:c>
      <x:c r="J112" s="56" t="str">
        <x:v>clarification</x:v>
      </x:c>
      <x:c r="K112" s="56" t="str">
        <x:v>clarification</x:v>
      </x:c>
      <x:c r="L112" s="56" t="str">
        <x:v>N/A</x:v>
      </x:c>
      <x:c r="M112" s="56" t="str">
        <x:v>Nunca en flujo base</x:v>
      </x:c>
      <x:c r="N112" s="56" t="str">
        <x:v>Solo por flag</x:v>
      </x:c>
      <x:c r="O112" s="56" t="str">
        <x:v>No abre más preguntas; mejora el nivel de abstracción correcta del hito.</x:v>
      </x:c>
      <x:c r="P112" s="56" t="str">
        <x:v>conditional_clarification</x:v>
      </x:c>
      <x:c r="Q112" s="56" t="str">
        <x:v>CLARIFICATION_SEPARATE</x:v>
      </x:c>
      <x:c r="R112" s="56" t="str">
        <x:v>scene_enabled_milestone | clarifications_bundle_0_5_C</x:v>
      </x:c>
      <x:c r="S112" s="56" t="str">
        <x:v>aclarado (clarification)</x:v>
      </x:c>
      <x:c r="T112" s="56" t="str">
        <x:v>Bloque_0_5_Documento_Madre_Capa1_v2_1_EVE.docx</x:v>
      </x:c>
      <x:c r="U112" s="56" t="str">
        <x:v>d8d4ee2bbf35d603e5237cd90b811ff196c9f2f48e4a51ea652f1a2161862199</x:v>
      </x:c>
      <x:c r="V112" s="56" t="str">
        <x:v>Aclaración condicional</x:v>
      </x:c>
      <x:c r="W112" s="56" t="str">
        <x:v>Mostrar solo cuando visibility/branching lo autoriza; capturar aclaración separada.</x:v>
      </x:c>
      <x:c r="X112" s="56" t="str">
        <x:v>scalar:string|null</x:v>
      </x:c>
      <x:c r="Y112" s="56" t="str">
        <x:v>Opciones rectoras si existen; de lo contrario texto</x:v>
      </x:c>
      <x:c r="Z112" s="56" t="str">
        <x:v>slot_ref condicional server-issued; no fusionar con respuesta base.</x:v>
      </x:c>
      <x:c r="AA112" s="56" t="str">
        <x:v>EXPLICIT_CONDITIONAL</x:v>
      </x:c>
      <x:c r="AB112" s="56" t="str">
        <x:v>Pantalla específica Bloque 0.5</x:v>
      </x:c>
      <x:c r="AC112" s="66" t="str"/>
      <x:c r="AD112" s="66" t="str">
        <x:v>No evaluado</x:v>
      </x:c>
      <x:c r="AE112" s="66" t="str">
        <x:v>No evaluado</x:v>
      </x:c>
      <x:c r="AF112" s="66" t="str">
        <x:v>No evaluado</x:v>
      </x:c>
      <x:c r="AG112" s="66" t="str">
        <x:v>No ejecutado</x:v>
      </x:c>
      <x:c r="AH112" s="68" t="str">
        <x:f>IF(AND(AD112="No evaluado",AE112="No evaluado",AF112="No evaluado",AG112="No ejecutado"),"No evaluado",IF(OR(AD112="Bloqueado",AE112="Bloqueado",AF112="Bloqueado",AG112="Bloqueado"),"Bloqueado",IF(OR(AE112="No conforme",AF112="No conforme",AG112="Falló"),"No conforme",IF(AND(OR(AD112="Implementado",AD112="No aplica"),OR(AE112="Conforme",AE112="No aplica"),OR(AF112="Conforme",AF112="No aplica"),OR(AG112="Pasó",AG112="No aplica")),"Conforme","Parcial"))))</x:f>
        <x:v>No evaluado</x:v>
      </x:c>
      <x:c r="AI112" s="56" t="str">
        <x:v>Parcial</x:v>
      </x:c>
      <x:c r="AJ112" s="66" t="str"/>
      <x:c r="AK112" s="66" t="str"/>
      <x:c r="AL112" s="56" t="str">
        <x:v>VALIDATED_044A3M / 170 identity tuples</x:v>
      </x:c>
      <x:c r="AM112" s="56" t="str">
        <x:v>TR-005; TR-006; TR-008; TR-016; TR-019; TR-028; TR-029</x:v>
      </x:c>
      <x:c r="AN112" s="66" t="str"/>
    </x:row>
    <x:row r="113" ht="58" customHeight="1">
      <x:c r="A113" s="56" t="str">
        <x:v>C03</x:v>
      </x:c>
      <x:c r="B113" s="56" t="str">
        <x:v>1</x:v>
      </x:c>
      <x:c r="C113" s="56" t="str">
        <x:v>causal_20</x:v>
      </x:c>
      <x:c r="D113" s="56" t="n">
        <x:v>3</x:v>
      </x:c>
      <x:c r="E113" s="56" t="n">
        <x:v>1</x:v>
      </x:c>
      <x:c r="F113" s="56" t="str">
        <x:v>B1_1_8</x:v>
      </x:c>
      <x:c r="G113" s="56" t="str">
        <x:v>1.8</x:v>
      </x:c>
      <x:c r="H113" s="56" t="str">
        <x:v>Si respondiste “Sí” en la pregunta anterior, ¿qué ocurre en esos momentos? ¿Cómo te das cuenta de que algo no funcionó?</x:v>
      </x:c>
      <x:c r="I113" s="56" t="str">
        <x:v>Describe brevemente qué pasa cuando la actividad debería iniciar y no inicia, y cuál es la primera señal de que algo falló. Ejemplos: “el email nunca llega”, “el sistema no genera ticket”, “me doy cuenta porque otro equipo reclama”, “la fecha vence y nadie movió nada”.</x:v>
      </x:c>
      <x:c r="J113" s="56" t="str">
        <x:v>free_text</x:v>
      </x:c>
      <x:c r="K113" s="56" t="str">
        <x:v>free_text</x:v>
      </x:c>
      <x:c r="L113" s="56" t="str">
        <x:v>Texto corto guiado, máximo 200 caracteres.</x:v>
      </x:c>
      <x:c r="M113" s="56" t="str">
        <x:v>Condicional obligatoria si 1.7 indica excepción.</x:v>
      </x:c>
      <x:c r="N113" s="56" t="str">
        <x:v>Solo visible si 1.7 = Sí, a veces / Sí, regularmente / Sí, frecuentemente.</x:v>
      </x:c>
      <x:c r="O113" s="56" t="str">
        <x:v>Si la respuesta es demasiado genérica, puede disparar aclaración 1.B.</x:v>
      </x:c>
      <x:c r="P113" s="56" t="str">
        <x:v>visible_capture</x:v>
      </x:c>
      <x:c r="Q113" s="56" t="str">
        <x:v>DIRECT_CAPTURE_ONLY</x:v>
      </x:c>
      <x:c r="R113" s="56" t="str">
        <x:v>trigger_exception_description</x:v>
      </x:c>
      <x:c r="S113" s="56" t="str">
        <x:v>captured_user_evidence</x:v>
      </x:c>
      <x:c r="T113" s="56" t="str">
        <x:v>Bloque_1_Documento_Madre_Capa1_v2_1_EVE.docx</x:v>
      </x:c>
      <x:c r="U113" s="56" t="str">
        <x:v>d5d92a1d38a1f1030d64a9762e59a225baed0d4293cf25a43f47a37b6b2d8319</x:v>
      </x:c>
      <x:c r="V113" s="56" t="str">
        <x:v>Texto libre</x:v>
      </x:c>
      <x:c r="W113" s="56" t="str">
        <x:v>Capturar texto literal sin clasificación semántica cliente.</x:v>
      </x:c>
      <x:c r="X113" s="56" t="str">
        <x:v>scalar:string</x:v>
      </x:c>
      <x:c r="Y113" s="56" t="str">
        <x:v>No aplica</x:v>
      </x:c>
      <x:c r="Z113" s="56" t="str">
        <x:v>slot_ref server-issued; valor humano únicamente.</x:v>
      </x:c>
      <x:c r="AA113" s="56" t="str">
        <x:v>EXPLICIT_FIELD_TYPE</x:v>
      </x:c>
      <x:c r="AB113" s="56" t="str">
        <x:v>Pantalla específica Bloque 1</x:v>
      </x:c>
      <x:c r="AC113" s="66" t="str"/>
      <x:c r="AD113" s="66" t="str">
        <x:v>No evaluado</x:v>
      </x:c>
      <x:c r="AE113" s="66" t="str">
        <x:v>No evaluado</x:v>
      </x:c>
      <x:c r="AF113" s="66" t="str">
        <x:v>No evaluado</x:v>
      </x:c>
      <x:c r="AG113" s="66" t="str">
        <x:v>No ejecutado</x:v>
      </x:c>
      <x:c r="AH113" s="68" t="str">
        <x:f>IF(AND(AD113="No evaluado",AE113="No evaluado",AF113="No evaluado",AG113="No ejecutado"),"No evaluado",IF(OR(AD113="Bloqueado",AE113="Bloqueado",AF113="Bloqueado",AG113="Bloqueado"),"Bloqueado",IF(OR(AE113="No conforme",AF113="No conforme",AG113="Falló"),"No conforme",IF(AND(OR(AD113="Implementado",AD113="No aplica"),OR(AE113="Conforme",AE113="No aplica"),OR(AF113="Conforme",AF113="No aplica"),OR(AG113="Pasó",AG113="No aplica")),"Conforme","Parcial"))))</x:f>
        <x:v>No evaluado</x:v>
      </x:c>
      <x:c r="AI113" s="56" t="str">
        <x:v>Compatible</x:v>
      </x:c>
      <x:c r="AJ113" s="66" t="str"/>
      <x:c r="AK113" s="66" t="str"/>
      <x:c r="AL113" s="56" t="str">
        <x:v>VALIDATED_044A3M / 170 identity tuples</x:v>
      </x:c>
      <x:c r="AM113" s="56" t="str">
        <x:v>TR-005; TR-006; TR-008; TR-016; TR-019; TR-028; TR-029</x:v>
      </x:c>
      <x:c r="AN113" s="66" t="str"/>
    </x:row>
    <x:row r="114" ht="58" customHeight="1">
      <x:c r="A114" s="56" t="str">
        <x:v>C03</x:v>
      </x:c>
      <x:c r="B114" s="56" t="str">
        <x:v>1</x:v>
      </x:c>
      <x:c r="C114" s="56" t="str">
        <x:v>causal_20</x:v>
      </x:c>
      <x:c r="D114" s="56" t="n">
        <x:v>3</x:v>
      </x:c>
      <x:c r="E114" s="56" t="n">
        <x:v>2</x:v>
      </x:c>
      <x:c r="F114" s="56" t="str">
        <x:v>B1_1_A</x:v>
      </x:c>
      <x:c r="G114" s="56" t="str">
        <x:v>1.A</x:v>
      </x:c>
      <x:c r="H114" s="56" t="str">
        <x:v>Cuando no está claro si debe empezar, ¿qué señal usas tú para decidir si comienzas o esperas?</x:v>
      </x:c>
      <x:c r="I114" s="56" t="str">
        <x:v>Esta aclaración aparece solo si dijiste que el inicio es ambiguo. Nos ayuda a entender qué haces tú para resolver esa falta de claridad. Ejemplos: esperas confirmación, revisas sistema, preguntas a alguien, o comienzas por experiencia propia.</x:v>
      </x:c>
      <x:c r="J114" s="56" t="str">
        <x:v>free_text</x:v>
      </x:c>
      <x:c r="K114" s="56" t="str">
        <x:v>clarification</x:v>
      </x:c>
      <x:c r="L114" s="56" t="str">
        <x:v>Texto abierto breve.</x:v>
      </x:c>
      <x:c r="M114" s="56" t="str">
        <x:v>No obligatoria por defecto; obligatoria si el motor necesita cerrar ambigüedad crítica.</x:v>
      </x:c>
      <x:c r="N114" s="56" t="str">
        <x:v>Solo si 1.3 = Ambiguo o Muy ambiguo y trigger_preconditions no compensa la ambigüedad.</x:v>
      </x:c>
      <x:c r="O114" s="56" t="str">
        <x:v>Puede generar consistency_flag si la señal usada por el actor contradice el disparador declarado.</x:v>
      </x:c>
      <x:c r="P114" s="56" t="str">
        <x:v>conditional_clarification</x:v>
      </x:c>
      <x:c r="Q114" s="56" t="str">
        <x:v>CLARIFICATION_SEPARATE</x:v>
      </x:c>
      <x:c r="R114" s="56" t="str">
        <x:v>trigger_ambiguity_resolution_note</x:v>
      </x:c>
      <x:c r="S114" s="56" t="str">
        <x:v>clarification</x:v>
      </x:c>
      <x:c r="T114" s="56" t="str">
        <x:v>Bloque_1_Documento_Madre_Capa1_v2_1_EVE.docx</x:v>
      </x:c>
      <x:c r="U114" s="56" t="str">
        <x:v>d5d92a1d38a1f1030d64a9762e59a225baed0d4293cf25a43f47a37b6b2d8319</x:v>
      </x:c>
      <x:c r="V114" s="56" t="str">
        <x:v>Texto libre</x:v>
      </x:c>
      <x:c r="W114" s="56" t="str">
        <x:v>Capturar texto literal sin clasificación semántica cliente.</x:v>
      </x:c>
      <x:c r="X114" s="56" t="str">
        <x:v>scalar:string</x:v>
      </x:c>
      <x:c r="Y114" s="56" t="str">
        <x:v>No aplica</x:v>
      </x:c>
      <x:c r="Z114" s="56" t="str">
        <x:v>slot_ref server-issued; valor humano únicamente.</x:v>
      </x:c>
      <x:c r="AA114" s="56" t="str">
        <x:v>EXPLICIT_FIELD_TYPE</x:v>
      </x:c>
      <x:c r="AB114" s="56" t="str">
        <x:v>Pantalla específica Bloque 1</x:v>
      </x:c>
      <x:c r="AC114" s="66" t="str"/>
      <x:c r="AD114" s="66" t="str">
        <x:v>No evaluado</x:v>
      </x:c>
      <x:c r="AE114" s="66" t="str">
        <x:v>No evaluado</x:v>
      </x:c>
      <x:c r="AF114" s="66" t="str">
        <x:v>No evaluado</x:v>
      </x:c>
      <x:c r="AG114" s="66" t="str">
        <x:v>No ejecutado</x:v>
      </x:c>
      <x:c r="AH114" s="68" t="str">
        <x:f>IF(AND(AD114="No evaluado",AE114="No evaluado",AF114="No evaluado",AG114="No ejecutado"),"No evaluado",IF(OR(AD114="Bloqueado",AE114="Bloqueado",AF114="Bloqueado",AG114="Bloqueado"),"Bloqueado",IF(OR(AE114="No conforme",AF114="No conforme",AG114="Falló"),"No conforme",IF(AND(OR(AD114="Implementado",AD114="No aplica"),OR(AE114="Conforme",AE114="No aplica"),OR(AF114="Conforme",AF114="No aplica"),OR(AG114="Pasó",AG114="No aplica")),"Conforme","Parcial"))))</x:f>
        <x:v>No evaluado</x:v>
      </x:c>
      <x:c r="AI114" s="56" t="str">
        <x:v>Compatible</x:v>
      </x:c>
      <x:c r="AJ114" s="66" t="str"/>
      <x:c r="AK114" s="66" t="str"/>
      <x:c r="AL114" s="56" t="str">
        <x:v>VALIDATED_044A3M / 170 identity tuples</x:v>
      </x:c>
      <x:c r="AM114" s="56" t="str">
        <x:v>TR-005; TR-006; TR-008; TR-016; TR-019; TR-028; TR-029</x:v>
      </x:c>
      <x:c r="AN114" s="66" t="str"/>
    </x:row>
    <x:row r="115" ht="58" customHeight="1">
      <x:c r="A115" s="56" t="str">
        <x:v>C03</x:v>
      </x:c>
      <x:c r="B115" s="56" t="str">
        <x:v>1</x:v>
      </x:c>
      <x:c r="C115" s="56" t="str">
        <x:v>causal_20</x:v>
      </x:c>
      <x:c r="D115" s="56" t="n">
        <x:v>3</x:v>
      </x:c>
      <x:c r="E115" s="56" t="n">
        <x:v>3</x:v>
      </x:c>
      <x:c r="F115" s="56" t="str">
        <x:v>B1_1_B</x:v>
      </x:c>
      <x:c r="G115" s="56" t="str">
        <x:v>1.B</x:v>
      </x:c>
      <x:c r="H115" s="56" t="str">
        <x:v>Cuando debería empezar y no empieza, ¿qué es lo primero que notas?</x:v>
      </x:c>
      <x:c r="I115" s="56" t="str">
        <x:v>Esta aclaración busca el primer síntoma visible de que el inicio falló. Pedimos primera evidencia concreta. Ejemplos: no llegó notificación, el ticket no aparece, nadie confirma, el cliente insiste o la fecha ya venció.</x:v>
      </x:c>
      <x:c r="J115" s="56" t="str">
        <x:v>free_text</x:v>
      </x:c>
      <x:c r="K115" s="56" t="str">
        <x:v>clarification</x:v>
      </x:c>
      <x:c r="L115" s="56" t="str">
        <x:v>Texto abierto breve.</x:v>
      </x:c>
      <x:c r="M115" s="56" t="str">
        <x:v>Condicional según calidad de 1.8.</x:v>
      </x:c>
      <x:c r="N115" s="56" t="str">
        <x:v>Solo si 1.7 indica excepción y 1.8 es genérica, vacía o tautológica.</x:v>
      </x:c>
      <x:c r="O115" s="56" t="str">
        <x:v>Puede reforzar trigger_exception_description y trigger_silence_risk.</x:v>
      </x:c>
      <x:c r="P115" s="56" t="str">
        <x:v>conditional_clarification</x:v>
      </x:c>
      <x:c r="Q115" s="56" t="str">
        <x:v>CLARIFICATION_SEPARATE</x:v>
      </x:c>
      <x:c r="R115" s="56" t="str">
        <x:v>trigger_exception_first_symptom</x:v>
      </x:c>
      <x:c r="S115" s="56" t="str">
        <x:v>clarification</x:v>
      </x:c>
      <x:c r="T115" s="56" t="str">
        <x:v>Bloque_1_Documento_Madre_Capa1_v2_1_EVE.docx</x:v>
      </x:c>
      <x:c r="U115" s="56" t="str">
        <x:v>d5d92a1d38a1f1030d64a9762e59a225baed0d4293cf25a43f47a37b6b2d8319</x:v>
      </x:c>
      <x:c r="V115" s="56" t="str">
        <x:v>Texto libre</x:v>
      </x:c>
      <x:c r="W115" s="56" t="str">
        <x:v>Capturar texto literal sin clasificación semántica cliente.</x:v>
      </x:c>
      <x:c r="X115" s="56" t="str">
        <x:v>scalar:string</x:v>
      </x:c>
      <x:c r="Y115" s="56" t="str">
        <x:v>No aplica</x:v>
      </x:c>
      <x:c r="Z115" s="56" t="str">
        <x:v>slot_ref server-issued; valor humano únicamente.</x:v>
      </x:c>
      <x:c r="AA115" s="56" t="str">
        <x:v>EXPLICIT_FIELD_TYPE</x:v>
      </x:c>
      <x:c r="AB115" s="56" t="str">
        <x:v>Pantalla específica Bloque 1</x:v>
      </x:c>
      <x:c r="AC115" s="66" t="str"/>
      <x:c r="AD115" s="66" t="str">
        <x:v>No evaluado</x:v>
      </x:c>
      <x:c r="AE115" s="66" t="str">
        <x:v>No evaluado</x:v>
      </x:c>
      <x:c r="AF115" s="66" t="str">
        <x:v>No evaluado</x:v>
      </x:c>
      <x:c r="AG115" s="66" t="str">
        <x:v>No ejecutado</x:v>
      </x:c>
      <x:c r="AH115" s="68" t="str">
        <x:f>IF(AND(AD115="No evaluado",AE115="No evaluado",AF115="No evaluado",AG115="No ejecutado"),"No evaluado",IF(OR(AD115="Bloqueado",AE115="Bloqueado",AF115="Bloqueado",AG115="Bloqueado"),"Bloqueado",IF(OR(AE115="No conforme",AF115="No conforme",AG115="Falló"),"No conforme",IF(AND(OR(AD115="Implementado",AD115="No aplica"),OR(AE115="Conforme",AE115="No aplica"),OR(AF115="Conforme",AF115="No aplica"),OR(AG115="Pasó",AG115="No aplica")),"Conforme","Parcial"))))</x:f>
        <x:v>No evaluado</x:v>
      </x:c>
      <x:c r="AI115" s="56" t="str">
        <x:v>Compatible</x:v>
      </x:c>
      <x:c r="AJ115" s="66" t="str"/>
      <x:c r="AK115" s="66" t="str"/>
      <x:c r="AL115" s="56" t="str">
        <x:v>VALIDATED_044A3M / 170 identity tuples</x:v>
      </x:c>
      <x:c r="AM115" s="56" t="str">
        <x:v>TR-005; TR-006; TR-008; TR-016; TR-019; TR-028; TR-029</x:v>
      </x:c>
      <x:c r="AN115" s="66" t="str"/>
    </x:row>
    <x:row r="116" ht="58" customHeight="1">
      <x:c r="A116" s="56" t="str">
        <x:v>C03</x:v>
      </x:c>
      <x:c r="B116" s="56" t="str">
        <x:v>1</x:v>
      </x:c>
      <x:c r="C116" s="56" t="str">
        <x:v>causal_20</x:v>
      </x:c>
      <x:c r="D116" s="56" t="n">
        <x:v>3</x:v>
      </x:c>
      <x:c r="E116" s="56" t="n">
        <x:v>4</x:v>
      </x:c>
      <x:c r="F116" s="56" t="str">
        <x:v>B1_1_C</x:v>
      </x:c>
      <x:c r="G116" s="56" t="str">
        <x:v>1.C</x:v>
      </x:c>
      <x:c r="H116" s="56" t="str">
        <x:v>Si la señal viene por varias fuentes o canales, ¿cuál manda realmente cuando se contradicen?</x:v>
      </x:c>
      <x:c r="I116" s="56" t="str">
        <x:v>A veces la misma actividad se activa por varias fuentes o llega por varios medios. Esta aclaración identifica cuál manda cuando no coinciden. Ejemplo: el sistema dice una cosa, pero tu jefe te pide otra; o llega correo y también llamada, pero una de las dos define la acción real.</x:v>
      </x:c>
      <x:c r="J116" s="56" t="str">
        <x:v>hybrid_choice_text</x:v>
      </x:c>
      <x:c r="K116" s="56" t="str">
        <x:v>clarification</x:v>
      </x:c>
      <x:c r="L116" s="56" t="str">
        <x:v>Opciones derivadas de las respuestas seleccionadas en 1.1 y 1.5 para identificar fuente dominante y canal dominante, más nota libre guiada de jerarquía.</x:v>
      </x:c>
      <x:c r="M116" s="56" t="str">
        <x:v>Condicional según multiplicidad declarada en 1.1 o 1.5.</x:v>
      </x:c>
      <x:c r="N116" s="56" t="str">
        <x:v>Solo si 1.1 = combinación o 1.5 registra más de un canal relevante.</x:v>
      </x:c>
      <x:c r="O116" s="56" t="str">
        <x:v>Puede derivar trigger_source_hierarchy_note y consistency_flag si la jerarquía contradice la fuente principal declarada.</x:v>
      </x:c>
      <x:c r="P116" s="56" t="str">
        <x:v>conditional_clarification</x:v>
      </x:c>
      <x:c r="Q116" s="56" t="str">
        <x:v>CLARIFICATION_SEPARATE</x:v>
      </x:c>
      <x:c r="R116" s="56" t="str">
        <x:v>trigger_source_hierarchy_note | trigger_dominant_source | trigger_dominant_channel</x:v>
      </x:c>
      <x:c r="S116" s="56" t="str">
        <x:v>clarification</x:v>
      </x:c>
      <x:c r="T116" s="56" t="str">
        <x:v>Bloque_1_Documento_Madre_Capa1_v2_1_EVE.docx</x:v>
      </x:c>
      <x:c r="U116" s="56" t="str">
        <x:v>d5d92a1d38a1f1030d64a9762e59a225baed0d4293cf25a43f47a37b6b2d8319</x:v>
      </x:c>
      <x:c r="V116" s="56" t="str">
        <x:v>Selección + texto complementario</x:v>
      </x:c>
      <x:c r="W116" s="56" t="str">
        <x:v>Persistir choice y free_text por separado; activar texto según regla.</x:v>
      </x:c>
      <x:c r="X116" s="56" t="str">
        <x:v>choice:string|array + free_text:string|null</x:v>
      </x:c>
      <x:c r="Y116" s="56" t="str">
        <x:v>Campo options rector / catálogo dinámico</x:v>
      </x:c>
      <x:c r="Z116" s="56" t="str">
        <x:v>slot_ref para la unidad híbrida; servidor preserva partes separadas.</x:v>
      </x:c>
      <x:c r="AA116" s="56" t="str">
        <x:v>EXPLICIT_COMPOSITE</x:v>
      </x:c>
      <x:c r="AB116" s="56" t="str">
        <x:v>Pantalla específica Bloque 1</x:v>
      </x:c>
      <x:c r="AC116" s="66" t="str"/>
      <x:c r="AD116" s="66" t="str">
        <x:v>No evaluado</x:v>
      </x:c>
      <x:c r="AE116" s="66" t="str">
        <x:v>No evaluado</x:v>
      </x:c>
      <x:c r="AF116" s="66" t="str">
        <x:v>No evaluado</x:v>
      </x:c>
      <x:c r="AG116" s="66" t="str">
        <x:v>No ejecutado</x:v>
      </x:c>
      <x:c r="AH116" s="68" t="str">
        <x:f>IF(AND(AD116="No evaluado",AE116="No evaluado",AF116="No evaluado",AG116="No ejecutado"),"No evaluado",IF(OR(AD116="Bloqueado",AE116="Bloqueado",AF116="Bloqueado",AG116="Bloqueado"),"Bloqueado",IF(OR(AE116="No conforme",AF116="No conforme",AG116="Falló"),"No conforme",IF(AND(OR(AD116="Implementado",AD116="No aplica"),OR(AE116="Conforme",AE116="No aplica"),OR(AF116="Conforme",AF116="No aplica"),OR(AG116="Pasó",AG116="No aplica")),"Conforme","Parcial"))))</x:f>
        <x:v>No evaluado</x:v>
      </x:c>
      <x:c r="AI116" s="56" t="str">
        <x:v>No conforme</x:v>
      </x:c>
      <x:c r="AJ116" s="66" t="str"/>
      <x:c r="AK116" s="66" t="str"/>
      <x:c r="AL116" s="56" t="str">
        <x:v>VALIDATED_044A3M / 170 identity tuples</x:v>
      </x:c>
      <x:c r="AM116" s="56" t="str">
        <x:v>TR-005; TR-006; TR-008; TR-016; TR-019; TR-028; TR-029</x:v>
      </x:c>
      <x:c r="AN116" s="66" t="str"/>
    </x:row>
    <x:row r="117" ht="58" customHeight="1">
      <x:c r="A117" s="56" t="str">
        <x:v>C04</x:v>
      </x:c>
      <x:c r="B117" s="56" t="str">
        <x:v>2</x:v>
      </x:c>
      <x:c r="C117" s="56" t="str">
        <x:v>causal_20</x:v>
      </x:c>
      <x:c r="D117" s="56" t="n">
        <x:v>4</x:v>
      </x:c>
      <x:c r="E117" s="56" t="n">
        <x:v>1</x:v>
      </x:c>
      <x:c r="F117" s="56" t="str">
        <x:v>B2_2_1_AB_Relacion</x:v>
      </x:c>
      <x:c r="G117" s="56" t="str">
        <x:v>2.1_AB_Relacion</x:v>
      </x:c>
      <x:c r="H117" s="56" t="str">
        <x:v>¿Cuál de estos dos es el limitante principal?</x:v>
      </x:c>
      <x:c r="I117" s="56" t="str">
        <x:v>Qué te limita más en la práctica: el volumen del objeto o la cantidad/gestión del sujeto. Ejemplo ¿Te limita la cantidad de pedidos que llegan o la cantidad de personal que tienes? ¿Te limita el número de facturas a emitir o el número de vendedores disponibles? ¿Te limita la cantidad de paquetes o la cantidad de repartidores?</x:v>
      </x:c>
      <x:c r="J117" s="56" t="str">
        <x:v>single_choice</x:v>
      </x:c>
      <x:c r="K117" s="56" t="str">
        <x:v>single_choice</x:v>
      </x:c>
      <x:c r="L117" s="56" t="str">
        <x:v>1) El OBJETO limita; 2) El SUJETO limita; 3) Ambos limitan igual</x:v>
      </x:c>
      <x:c r="M117" s="56" t="str">
        <x:v>Obligatoria si se activa la combinación correspondiente.</x:v>
      </x:c>
      <x:c r="N117" s="56" t="str">
        <x:v>Visible si 2.1 = Objeto + Sujeto.</x:v>
      </x:c>
      <x:c r="O117" s="56" t="str">
        <x:v>Su salida fija dimensión dominante o prepara aclaración 2.A si el usuario responde de forma ambigua o si la evidencia posterior contradice la dominancia declarada.</x:v>
      </x:c>
      <x:c r="P117" s="56" t="str">
        <x:v>visible_capture</x:v>
      </x:c>
      <x:c r="Q117" s="56" t="str">
        <x:v>DIRECT_CAPTURE_ONLY</x:v>
      </x:c>
      <x:c r="R117" s="56" t="str">
        <x:v>dimension_dominante_AB</x:v>
      </x:c>
      <x:c r="S117" s="56" t="str">
        <x:v>captured_user_evidence</x:v>
      </x:c>
      <x:c r="T117" s="56" t="str">
        <x:v>Bloque_2_Documento_Madre_Capa1_v2_1_EVE.docx</x:v>
      </x:c>
      <x:c r="U117" s="56" t="str">
        <x:v>0e134ee7e73dbb4b5b54a833712e2d15b5f03bcaf84219a50b21ab0e7ccd38cc</x:v>
      </x:c>
      <x:c r="V117" s="56" t="str">
        <x:v>Selección única</x:v>
      </x:c>
      <x:c r="W117" s="56" t="str">
        <x:v>Mostrar opciones autorizadas; permitir una sola selección; opción literal preservada.</x:v>
      </x:c>
      <x:c r="X117" s="56" t="str">
        <x:v>scalar:string</x:v>
      </x:c>
      <x:c r="Y117" s="56" t="str">
        <x:v>Campo options / catálogo dinámico rector</x:v>
      </x:c>
      <x:c r="Z117" s="56" t="str">
        <x:v>slot_ref server-issued; no mapear por label ni posición.</x:v>
      </x:c>
      <x:c r="AA117" s="56" t="str">
        <x:v>EXPLICIT_FIELD_TYPE</x:v>
      </x:c>
      <x:c r="AB117" s="56" t="str">
        <x:v>Pantalla específica Bloque 2</x:v>
      </x:c>
      <x:c r="AC117" s="66" t="str"/>
      <x:c r="AD117" s="66" t="str">
        <x:v>No evaluado</x:v>
      </x:c>
      <x:c r="AE117" s="66" t="str">
        <x:v>No evaluado</x:v>
      </x:c>
      <x:c r="AF117" s="66" t="str">
        <x:v>No evaluado</x:v>
      </x:c>
      <x:c r="AG117" s="66" t="str">
        <x:v>No ejecutado</x:v>
      </x:c>
      <x:c r="AH117" s="68" t="str">
        <x:f>IF(AND(AD117="No evaluado",AE117="No evaluado",AF117="No evaluado",AG117="No ejecutado"),"No evaluado",IF(OR(AD117="Bloqueado",AE117="Bloqueado",AF117="Bloqueado",AG117="Bloqueado"),"Bloqueado",IF(OR(AE117="No conforme",AF117="No conforme",AG117="Falló"),"No conforme",IF(AND(OR(AD117="Implementado",AD117="No aplica"),OR(AE117="Conforme",AE117="No aplica"),OR(AF117="Conforme",AF117="No aplica"),OR(AG117="Pasó",AG117="No aplica")),"Conforme","Parcial"))))</x:f>
        <x:v>No evaluado</x:v>
      </x:c>
      <x:c r="AI117" s="56" t="str">
        <x:v>No conforme</x:v>
      </x:c>
      <x:c r="AJ117" s="66" t="str"/>
      <x:c r="AK117" s="66" t="str"/>
      <x:c r="AL117" s="56" t="str">
        <x:v>VALIDATED_044A3M / 170 identity tuples</x:v>
      </x:c>
      <x:c r="AM117" s="56" t="str">
        <x:v>TR-005; TR-006; TR-008; TR-016; TR-019; TR-028; TR-029</x:v>
      </x:c>
      <x:c r="AN117" s="66" t="str"/>
    </x:row>
    <x:row r="118" ht="58" customHeight="1">
      <x:c r="A118" s="56" t="str">
        <x:v>C04</x:v>
      </x:c>
      <x:c r="B118" s="56" t="str">
        <x:v>2</x:v>
      </x:c>
      <x:c r="C118" s="56" t="str">
        <x:v>causal_20</x:v>
      </x:c>
      <x:c r="D118" s="56" t="n">
        <x:v>4</x:v>
      </x:c>
      <x:c r="E118" s="56" t="n">
        <x:v>2</x:v>
      </x:c>
      <x:c r="F118" s="56" t="str">
        <x:v>B2_2_1_AC_Relacion</x:v>
      </x:c>
      <x:c r="G118" s="56" t="str">
        <x:v>2.1_AC_Relacion</x:v>
      </x:c>
      <x:c r="H118" s="56" t="str">
        <x:v>¿La acción es el cuello de botella o el objeto?</x:v>
      </x:c>
      <x:c r="I118" s="56" t="str">
        <x:v>Ayuda a distinguir si el problema central es que hay muchos objetos o que la acción misma es compleja.</x:v>
      </x:c>
      <x:c r="J118" s="56" t="str">
        <x:v>single_choice</x:v>
      </x:c>
      <x:c r="K118" s="56" t="str">
        <x:v>single_choice</x:v>
      </x:c>
      <x:c r="L118" s="56" t="str">
        <x:v>1) El OBJETO limita; 2) La ACCIÓN limita; 3) Ambos limitan igual</x:v>
      </x:c>
      <x:c r="M118" s="56" t="str">
        <x:v>Obligatoria si se activa la combinación correspondiente.</x:v>
      </x:c>
      <x:c r="N118" s="56" t="str">
        <x:v>Visible si 2.1 = Objeto + Acción.</x:v>
      </x:c>
      <x:c r="O118" s="56" t="str">
        <x:v>Su salida fija dimensión dominante o prepara aclaración 2.A si el usuario responde de forma ambigua o si la evidencia posterior contradice la dominancia declarada.</x:v>
      </x:c>
      <x:c r="P118" s="56" t="str">
        <x:v>visible_capture</x:v>
      </x:c>
      <x:c r="Q118" s="56" t="str">
        <x:v>DIRECT_CAPTURE_ONLY</x:v>
      </x:c>
      <x:c r="R118" s="56" t="str">
        <x:v>dimension_dominante_AC</x:v>
      </x:c>
      <x:c r="S118" s="56" t="str">
        <x:v>captured_user_evidence</x:v>
      </x:c>
      <x:c r="T118" s="56" t="str">
        <x:v>Bloque_2_Documento_Madre_Capa1_v2_1_EVE.docx</x:v>
      </x:c>
      <x:c r="U118" s="56" t="str">
        <x:v>0e134ee7e73dbb4b5b54a833712e2d15b5f03bcaf84219a50b21ab0e7ccd38cc</x:v>
      </x:c>
      <x:c r="V118" s="56" t="str">
        <x:v>Selección única</x:v>
      </x:c>
      <x:c r="W118" s="56" t="str">
        <x:v>Mostrar opciones autorizadas; permitir una sola selección; opción literal preservada.</x:v>
      </x:c>
      <x:c r="X118" s="56" t="str">
        <x:v>scalar:string</x:v>
      </x:c>
      <x:c r="Y118" s="56" t="str">
        <x:v>Campo options / catálogo dinámico rector</x:v>
      </x:c>
      <x:c r="Z118" s="56" t="str">
        <x:v>slot_ref server-issued; no mapear por label ni posición.</x:v>
      </x:c>
      <x:c r="AA118" s="56" t="str">
        <x:v>EXPLICIT_FIELD_TYPE</x:v>
      </x:c>
      <x:c r="AB118" s="56" t="str">
        <x:v>Pantalla específica Bloque 2</x:v>
      </x:c>
      <x:c r="AC118" s="66" t="str"/>
      <x:c r="AD118" s="66" t="str">
        <x:v>No evaluado</x:v>
      </x:c>
      <x:c r="AE118" s="66" t="str">
        <x:v>No evaluado</x:v>
      </x:c>
      <x:c r="AF118" s="66" t="str">
        <x:v>No evaluado</x:v>
      </x:c>
      <x:c r="AG118" s="66" t="str">
        <x:v>No ejecutado</x:v>
      </x:c>
      <x:c r="AH118" s="68" t="str">
        <x:f>IF(AND(AD118="No evaluado",AE118="No evaluado",AF118="No evaluado",AG118="No ejecutado"),"No evaluado",IF(OR(AD118="Bloqueado",AE118="Bloqueado",AF118="Bloqueado",AG118="Bloqueado"),"Bloqueado",IF(OR(AE118="No conforme",AF118="No conforme",AG118="Falló"),"No conforme",IF(AND(OR(AD118="Implementado",AD118="No aplica"),OR(AE118="Conforme",AE118="No aplica"),OR(AF118="Conforme",AF118="No aplica"),OR(AG118="Pasó",AG118="No aplica")),"Conforme","Parcial"))))</x:f>
        <x:v>No evaluado</x:v>
      </x:c>
      <x:c r="AI118" s="56" t="str">
        <x:v>No conforme</x:v>
      </x:c>
      <x:c r="AJ118" s="66" t="str"/>
      <x:c r="AK118" s="66" t="str"/>
      <x:c r="AL118" s="56" t="str">
        <x:v>VALIDATED_044A3M / 170 identity tuples</x:v>
      </x:c>
      <x:c r="AM118" s="56" t="str">
        <x:v>TR-005; TR-006; TR-008; TR-016; TR-019; TR-028; TR-029</x:v>
      </x:c>
      <x:c r="AN118" s="66" t="str"/>
    </x:row>
    <x:row r="119" ht="58" customHeight="1">
      <x:c r="A119" s="56" t="str">
        <x:v>C04</x:v>
      </x:c>
      <x:c r="B119" s="56" t="str">
        <x:v>2</x:v>
      </x:c>
      <x:c r="C119" s="56" t="str">
        <x:v>causal_20</x:v>
      </x:c>
      <x:c r="D119" s="56" t="n">
        <x:v>4</x:v>
      </x:c>
      <x:c r="E119" s="56" t="n">
        <x:v>3</x:v>
      </x:c>
      <x:c r="F119" s="56" t="str">
        <x:v>B2_2_1_BC_Relacion</x:v>
      </x:c>
      <x:c r="G119" s="56" t="str">
        <x:v>2.1_BC_Relacion</x:v>
      </x:c>
      <x:c r="H119" s="56" t="str">
        <x:v>¿Qué limita más tu capacidad?</x:v>
      </x:c>
      <x:c r="I119" s="56" t="str">
        <x:v>Ayuda a distinguir si limita más la cantidad/diversidad de sujetos o la complejidad de la acción.</x:v>
      </x:c>
      <x:c r="J119" s="56" t="str">
        <x:v>single_choice</x:v>
      </x:c>
      <x:c r="K119" s="56" t="str">
        <x:v>single_choice</x:v>
      </x:c>
      <x:c r="L119" s="56" t="str">
        <x:v>1) El SUJETO limita; 2) La ACCIÓN limita; 3) Ambos limitan igual</x:v>
      </x:c>
      <x:c r="M119" s="56" t="str">
        <x:v>Obligatoria si se activa la combinación correspondiente.</x:v>
      </x:c>
      <x:c r="N119" s="56" t="str">
        <x:v>Visible si 2.1 = Sujeto + Acción.</x:v>
      </x:c>
      <x:c r="O119" s="56" t="str">
        <x:v>Su salida fija dimensión dominante o prepara aclaración 2.A si el usuario responde de forma ambigua o si la evidencia posterior contradice la dominancia declarada.</x:v>
      </x:c>
      <x:c r="P119" s="56" t="str">
        <x:v>visible_capture</x:v>
      </x:c>
      <x:c r="Q119" s="56" t="str">
        <x:v>DIRECT_CAPTURE_ONLY</x:v>
      </x:c>
      <x:c r="R119" s="56" t="str">
        <x:v>dimension_dominante_BC</x:v>
      </x:c>
      <x:c r="S119" s="56" t="str">
        <x:v>captured_user_evidence</x:v>
      </x:c>
      <x:c r="T119" s="56" t="str">
        <x:v>Bloque_2_Documento_Madre_Capa1_v2_1_EVE.docx</x:v>
      </x:c>
      <x:c r="U119" s="56" t="str">
        <x:v>0e134ee7e73dbb4b5b54a833712e2d15b5f03bcaf84219a50b21ab0e7ccd38cc</x:v>
      </x:c>
      <x:c r="V119" s="56" t="str">
        <x:v>Selección única</x:v>
      </x:c>
      <x:c r="W119" s="56" t="str">
        <x:v>Mostrar opciones autorizadas; permitir una sola selección; opción literal preservada.</x:v>
      </x:c>
      <x:c r="X119" s="56" t="str">
        <x:v>scalar:string</x:v>
      </x:c>
      <x:c r="Y119" s="56" t="str">
        <x:v>Campo options / catálogo dinámico rector</x:v>
      </x:c>
      <x:c r="Z119" s="56" t="str">
        <x:v>slot_ref server-issued; no mapear por label ni posición.</x:v>
      </x:c>
      <x:c r="AA119" s="56" t="str">
        <x:v>EXPLICIT_FIELD_TYPE</x:v>
      </x:c>
      <x:c r="AB119" s="56" t="str">
        <x:v>Pantalla específica Bloque 2</x:v>
      </x:c>
      <x:c r="AC119" s="66" t="str"/>
      <x:c r="AD119" s="66" t="str">
        <x:v>No evaluado</x:v>
      </x:c>
      <x:c r="AE119" s="66" t="str">
        <x:v>No evaluado</x:v>
      </x:c>
      <x:c r="AF119" s="66" t="str">
        <x:v>No evaluado</x:v>
      </x:c>
      <x:c r="AG119" s="66" t="str">
        <x:v>No ejecutado</x:v>
      </x:c>
      <x:c r="AH119" s="68" t="str">
        <x:f>IF(AND(AD119="No evaluado",AE119="No evaluado",AF119="No evaluado",AG119="No ejecutado"),"No evaluado",IF(OR(AD119="Bloqueado",AE119="Bloqueado",AF119="Bloqueado",AG119="Bloqueado"),"Bloqueado",IF(OR(AE119="No conforme",AF119="No conforme",AG119="Falló"),"No conforme",IF(AND(OR(AD119="Implementado",AD119="No aplica"),OR(AE119="Conforme",AE119="No aplica"),OR(AF119="Conforme",AF119="No aplica"),OR(AG119="Pasó",AG119="No aplica")),"Conforme","Parcial"))))</x:f>
        <x:v>No evaluado</x:v>
      </x:c>
      <x:c r="AI119" s="56" t="str">
        <x:v>No conforme</x:v>
      </x:c>
      <x:c r="AJ119" s="66" t="str"/>
      <x:c r="AK119" s="66" t="str"/>
      <x:c r="AL119" s="56" t="str">
        <x:v>VALIDATED_044A3M / 170 identity tuples</x:v>
      </x:c>
      <x:c r="AM119" s="56" t="str">
        <x:v>TR-005; TR-006; TR-008; TR-016; TR-019; TR-028; TR-029</x:v>
      </x:c>
      <x:c r="AN119" s="66" t="str"/>
    </x:row>
    <x:row r="120" ht="58" customHeight="1">
      <x:c r="A120" s="56" t="str">
        <x:v>C04</x:v>
      </x:c>
      <x:c r="B120" s="56" t="str">
        <x:v>2</x:v>
      </x:c>
      <x:c r="C120" s="56" t="str">
        <x:v>causal_20</x:v>
      </x:c>
      <x:c r="D120" s="56" t="n">
        <x:v>4</x:v>
      </x:c>
      <x:c r="E120" s="56" t="n">
        <x:v>4</x:v>
      </x:c>
      <x:c r="F120" s="56" t="str">
        <x:v>B2_2_1_ABC_Relacion</x:v>
      </x:c>
      <x:c r="G120" s="56" t="str">
        <x:v>2.1_ABC_Relacion</x:v>
      </x:c>
      <x:c r="H120" s="56" t="str">
        <x:v>En esta actividad, ¿cuál de estos tres es el obstáculo principal?</x:v>
      </x:c>
      <x:c r="I120" s="56" t="str">
        <x:v>Tienes tres cosas: lo que haces (acción), lo que procesas (objeto) y quién lo hace (sujeto). ¿Cuál te detiene más? Ejemplo: Acción: Preparar platos, Objeto: 50 pedidos diarios, Sujeto: 3 cocineros</x:v>
      </x:c>
      <x:c r="J120" s="56" t="str">
        <x:v>single_choice</x:v>
      </x:c>
      <x:c r="K120" s="56" t="str">
        <x:v>single_choice</x:v>
      </x:c>
      <x:c r="L120" s="56" t="str">
        <x:v>1) El OBJETO; 2) El SUJETO; 3) La ACCIÓN; 4) Los tres limitan igual</x:v>
      </x:c>
      <x:c r="M120" s="56" t="str">
        <x:v>Obligatoria si se activa la combinación correspondiente.</x:v>
      </x:c>
      <x:c r="N120" s="56" t="str">
        <x:v>Visible si 2.1 = Objeto + Sujeto + Acción.</x:v>
      </x:c>
      <x:c r="O120" s="56" t="str">
        <x:v>Su salida fija dimensión dominante o prepara aclaración 2.A si el usuario responde de forma ambigua o si la evidencia posterior contradice la dominancia declarada.</x:v>
      </x:c>
      <x:c r="P120" s="56" t="str">
        <x:v>visible_capture</x:v>
      </x:c>
      <x:c r="Q120" s="56" t="str">
        <x:v>DIRECT_CAPTURE_ONLY</x:v>
      </x:c>
      <x:c r="R120" s="56" t="str">
        <x:v>dimension_dominante_ABC</x:v>
      </x:c>
      <x:c r="S120" s="56" t="str">
        <x:v>captured_user_evidence</x:v>
      </x:c>
      <x:c r="T120" s="56" t="str">
        <x:v>Bloque_2_Documento_Madre_Capa1_v2_1_EVE.docx</x:v>
      </x:c>
      <x:c r="U120" s="56" t="str">
        <x:v>0e134ee7e73dbb4b5b54a833712e2d15b5f03bcaf84219a50b21ab0e7ccd38cc</x:v>
      </x:c>
      <x:c r="V120" s="56" t="str">
        <x:v>Selección única</x:v>
      </x:c>
      <x:c r="W120" s="56" t="str">
        <x:v>Mostrar opciones autorizadas; permitir una sola selección; opción literal preservada.</x:v>
      </x:c>
      <x:c r="X120" s="56" t="str">
        <x:v>scalar:string</x:v>
      </x:c>
      <x:c r="Y120" s="56" t="str">
        <x:v>Campo options / catálogo dinámico rector</x:v>
      </x:c>
      <x:c r="Z120" s="56" t="str">
        <x:v>slot_ref server-issued; no mapear por label ni posición.</x:v>
      </x:c>
      <x:c r="AA120" s="56" t="str">
        <x:v>EXPLICIT_FIELD_TYPE</x:v>
      </x:c>
      <x:c r="AB120" s="56" t="str">
        <x:v>Pantalla específica Bloque 2</x:v>
      </x:c>
      <x:c r="AC120" s="66" t="str"/>
      <x:c r="AD120" s="66" t="str">
        <x:v>No evaluado</x:v>
      </x:c>
      <x:c r="AE120" s="66" t="str">
        <x:v>No evaluado</x:v>
      </x:c>
      <x:c r="AF120" s="66" t="str">
        <x:v>No evaluado</x:v>
      </x:c>
      <x:c r="AG120" s="66" t="str">
        <x:v>No ejecutado</x:v>
      </x:c>
      <x:c r="AH120" s="68" t="str">
        <x:f>IF(AND(AD120="No evaluado",AE120="No evaluado",AF120="No evaluado",AG120="No ejecutado"),"No evaluado",IF(OR(AD120="Bloqueado",AE120="Bloqueado",AF120="Bloqueado",AG120="Bloqueado"),"Bloqueado",IF(OR(AE120="No conforme",AF120="No conforme",AG120="Falló"),"No conforme",IF(AND(OR(AD120="Implementado",AD120="No aplica"),OR(AE120="Conforme",AE120="No aplica"),OR(AF120="Conforme",AF120="No aplica"),OR(AG120="Pasó",AG120="No aplica")),"Conforme","Parcial"))))</x:f>
        <x:v>No evaluado</x:v>
      </x:c>
      <x:c r="AI120" s="56" t="str">
        <x:v>No conforme</x:v>
      </x:c>
      <x:c r="AJ120" s="66" t="str"/>
      <x:c r="AK120" s="66" t="str"/>
      <x:c r="AL120" s="56" t="str">
        <x:v>VALIDATED_044A3M / 170 identity tuples</x:v>
      </x:c>
      <x:c r="AM120" s="56" t="str">
        <x:v>TR-005; TR-006; TR-008; TR-016; TR-019; TR-028; TR-029</x:v>
      </x:c>
      <x:c r="AN120" s="66" t="str"/>
    </x:row>
    <x:row r="121" ht="58" customHeight="1">
      <x:c r="A121" s="56" t="str">
        <x:v>C04</x:v>
      </x:c>
      <x:c r="B121" s="56" t="str">
        <x:v>2</x:v>
      </x:c>
      <x:c r="C121" s="56" t="str">
        <x:v>causal_20</x:v>
      </x:c>
      <x:c r="D121" s="56" t="n">
        <x:v>4</x:v>
      </x:c>
      <x:c r="E121" s="56" t="n">
        <x:v>5</x:v>
      </x:c>
      <x:c r="F121" s="56" t="str">
        <x:v>B2_2_1_ABC_Prioridad</x:v>
      </x:c>
      <x:c r="G121" s="56" t="str">
        <x:v>2.1_ABC_Prioridad</x:v>
      </x:c>
      <x:c r="H121" s="56" t="str">
        <x:v>Si tuvieras que ordenarlos por importancia, ¿cuál va primero?</x:v>
      </x:c>
      <x:c r="I121" s="56" t="str">
        <x:v>Ordena objeto, sujeto y acción según su peso real en esta escena. Sirve para saber qué domina más.</x:v>
      </x:c>
      <x:c r="J121" s="56" t="str">
        <x:v>ranking</x:v>
      </x:c>
      <x:c r="K121" s="56" t="str">
        <x:v>ranking</x:v>
      </x:c>
      <x:c r="L121" s="56" t="str">
        <x:v>Objeto; Sujeto; Acción</x:v>
      </x:c>
      <x:c r="M121" s="56" t="str">
        <x:v>Obligatoria si 2.1 = Objeto + Sujeto + Acción.</x:v>
      </x:c>
      <x:c r="N121" s="56" t="str">
        <x:v>Visible solo en combinación triple, después de 2.1_ABC_Relacion.</x:v>
      </x:c>
      <x:c r="O121" s="56" t="str">
        <x:v>Su salida afina dimension_dominante y deja ranking_dimensiones para downstream, especialmente Bloque 5.</x:v>
      </x:c>
      <x:c r="P121" s="56" t="str">
        <x:v>visible_capture</x:v>
      </x:c>
      <x:c r="Q121" s="56" t="str">
        <x:v>DIRECT_CAPTURE_ONLY</x:v>
      </x:c>
      <x:c r="R121" s="56" t="str">
        <x:v>ranking_dimensiones</x:v>
      </x:c>
      <x:c r="S121" s="56" t="str">
        <x:v>captured_user_evidence</x:v>
      </x:c>
      <x:c r="T121" s="56" t="str">
        <x:v>Bloque_2_Documento_Madre_Capa1_v2_1_EVE.docx</x:v>
      </x:c>
      <x:c r="U121" s="56" t="str">
        <x:v>0e134ee7e73dbb4b5b54a833712e2d15b5f03bcaf84219a50b21ab0e7ccd38cc</x:v>
      </x:c>
      <x:c r="V121" s="56" t="str">
        <x:v>Ordenamiento / ranking</x:v>
      </x:c>
      <x:c r="W121" s="56" t="str">
        <x:v>Permitir ordenar todos los elementos autorizados; preservar secuencia.</x:v>
      </x:c>
      <x:c r="X121" s="56" t="str">
        <x:v>array&lt;string&gt; ordered</x:v>
      </x:c>
      <x:c r="Y121" s="56" t="str">
        <x:v>Lista literal rectora</x:v>
      </x:c>
      <x:c r="Z121" s="56" t="str">
        <x:v>slot_ref server-issued; no inferir orden por posición inicial.</x:v>
      </x:c>
      <x:c r="AA121" s="56" t="str">
        <x:v>EXPLICIT_FIELD_TYPE</x:v>
      </x:c>
      <x:c r="AB121" s="56" t="str">
        <x:v>Pantalla específica Bloque 2</x:v>
      </x:c>
      <x:c r="AC121" s="66" t="str"/>
      <x:c r="AD121" s="66" t="str">
        <x:v>No evaluado</x:v>
      </x:c>
      <x:c r="AE121" s="66" t="str">
        <x:v>No evaluado</x:v>
      </x:c>
      <x:c r="AF121" s="66" t="str">
        <x:v>No evaluado</x:v>
      </x:c>
      <x:c r="AG121" s="66" t="str">
        <x:v>No ejecutado</x:v>
      </x:c>
      <x:c r="AH121" s="68" t="str">
        <x:f>IF(AND(AD121="No evaluado",AE121="No evaluado",AF121="No evaluado",AG121="No ejecutado"),"No evaluado",IF(OR(AD121="Bloqueado",AE121="Bloqueado",AF121="Bloqueado",AG121="Bloqueado"),"Bloqueado",IF(OR(AE121="No conforme",AF121="No conforme",AG121="Falló"),"No conforme",IF(AND(OR(AD121="Implementado",AD121="No aplica"),OR(AE121="Conforme",AE121="No aplica"),OR(AF121="Conforme",AF121="No aplica"),OR(AG121="Pasó",AG121="No aplica")),"Conforme","Parcial"))))</x:f>
        <x:v>No evaluado</x:v>
      </x:c>
      <x:c r="AI121" s="56" t="str">
        <x:v>No conforme</x:v>
      </x:c>
      <x:c r="AJ121" s="66" t="str"/>
      <x:c r="AK121" s="66" t="str"/>
      <x:c r="AL121" s="56" t="str">
        <x:v>VALIDATED_044A3M / 170 identity tuples</x:v>
      </x:c>
      <x:c r="AM121" s="56" t="str">
        <x:v>TR-005; TR-006; TR-008; TR-016; TR-019; TR-028; TR-029</x:v>
      </x:c>
      <x:c r="AN121" s="66" t="str"/>
    </x:row>
    <x:row r="122" ht="58" customHeight="1">
      <x:c r="A122" s="56" t="str">
        <x:v>C04</x:v>
      </x:c>
      <x:c r="B122" s="56" t="str">
        <x:v>2</x:v>
      </x:c>
      <x:c r="C122" s="56" t="str">
        <x:v>causal_20</x:v>
      </x:c>
      <x:c r="D122" s="56" t="n">
        <x:v>4</x:v>
      </x:c>
      <x:c r="E122" s="56" t="n">
        <x:v>6</x:v>
      </x:c>
      <x:c r="F122" s="56" t="str">
        <x:v>B2_2_A</x:v>
      </x:c>
      <x:c r="G122" s="56" t="str">
        <x:v>2.A</x:v>
      </x:c>
      <x:c r="H122" s="56" t="str">
        <x:v>Veo que marcaste varias dimensiones o atributos, pero todavía no queda claro qué es lo que realmente limita más esta transformación. ¿Dirías que el problema principal está en el objeto, en el sujeto, en la acción o en una combinación concreta?</x:v>
      </x:c>
      <x:c r="I122" s="56" t="str">
        <x:v>Ejemplo: Tengo pocos cocineros Y llegan muchos pedidos, pero el verdadero problema es que no hay coordinación entre ellos.</x:v>
      </x:c>
      <x:c r="J122" s="56" t="str">
        <x:v>free_text</x:v>
      </x:c>
      <x:c r="K122" s="56" t="str">
        <x:v>clarification</x:v>
      </x:c>
      <x:c r="L122" s="56" t="str">
        <x:v>N/A</x:v>
      </x:c>
      <x:c r="M122" s="56" t="str">
        <x:v>Solo si la aclaración es disparada por flag.</x:v>
      </x:c>
      <x:c r="N122" s="56" t="str">
        <x:v>No aparece en flujo base; solo por flags.</x:v>
      </x:c>
      <x:c r="O122" s="56" t="str">
        <x:v>No reemplaza la respuesta original. Se vincula a ella y se guarda como aclaración separada.</x:v>
      </x:c>
      <x:c r="P122" s="56" t="str">
        <x:v>conditional_clarification</x:v>
      </x:c>
      <x:c r="Q122" s="56" t="str">
        <x:v>CLARIFICATION_SEPARATE</x:v>
      </x:c>
      <x:c r="R122" s="56" t="str">
        <x:v>dimension_dominante_clarificada</x:v>
      </x:c>
      <x:c r="S122" s="56" t="str">
        <x:v>clarification</x:v>
      </x:c>
      <x:c r="T122" s="56" t="str">
        <x:v>Bloque_2_Documento_Madre_Capa1_v2_1_EVE.docx</x:v>
      </x:c>
      <x:c r="U122" s="56" t="str">
        <x:v>0e134ee7e73dbb4b5b54a833712e2d15b5f03bcaf84219a50b21ab0e7ccd38cc</x:v>
      </x:c>
      <x:c r="V122" s="56" t="str">
        <x:v>Texto libre</x:v>
      </x:c>
      <x:c r="W122" s="56" t="str">
        <x:v>Capturar texto literal sin clasificación semántica cliente.</x:v>
      </x:c>
      <x:c r="X122" s="56" t="str">
        <x:v>scalar:string</x:v>
      </x:c>
      <x:c r="Y122" s="56" t="str">
        <x:v>No aplica</x:v>
      </x:c>
      <x:c r="Z122" s="56" t="str">
        <x:v>slot_ref server-issued; valor humano únicamente.</x:v>
      </x:c>
      <x:c r="AA122" s="56" t="str">
        <x:v>EXPLICIT_FIELD_TYPE</x:v>
      </x:c>
      <x:c r="AB122" s="56" t="str">
        <x:v>Pantalla específica Bloque 2</x:v>
      </x:c>
      <x:c r="AC122" s="66" t="str"/>
      <x:c r="AD122" s="66" t="str">
        <x:v>No evaluado</x:v>
      </x:c>
      <x:c r="AE122" s="66" t="str">
        <x:v>No evaluado</x:v>
      </x:c>
      <x:c r="AF122" s="66" t="str">
        <x:v>No evaluado</x:v>
      </x:c>
      <x:c r="AG122" s="66" t="str">
        <x:v>No ejecutado</x:v>
      </x:c>
      <x:c r="AH122" s="68" t="str">
        <x:f>IF(AND(AD122="No evaluado",AE122="No evaluado",AF122="No evaluado",AG122="No ejecutado"),"No evaluado",IF(OR(AD122="Bloqueado",AE122="Bloqueado",AF122="Bloqueado",AG122="Bloqueado"),"Bloqueado",IF(OR(AE122="No conforme",AF122="No conforme",AG122="Falló"),"No conforme",IF(AND(OR(AD122="Implementado",AD122="No aplica"),OR(AE122="Conforme",AE122="No aplica"),OR(AF122="Conforme",AF122="No aplica"),OR(AG122="Pasó",AG122="No aplica")),"Conforme","Parcial"))))</x:f>
        <x:v>No evaluado</x:v>
      </x:c>
      <x:c r="AI122" s="56" t="str">
        <x:v>Compatible</x:v>
      </x:c>
      <x:c r="AJ122" s="66" t="str"/>
      <x:c r="AK122" s="66" t="str"/>
      <x:c r="AL122" s="56" t="str">
        <x:v>VALIDATED_044A3M / 170 identity tuples</x:v>
      </x:c>
      <x:c r="AM122" s="56" t="str">
        <x:v>TR-005; TR-006; TR-008; TR-016; TR-019; TR-028; TR-029</x:v>
      </x:c>
      <x:c r="AN122" s="66" t="str"/>
    </x:row>
    <x:row r="123" ht="58" customHeight="1">
      <x:c r="A123" s="56" t="str">
        <x:v>C05</x:v>
      </x:c>
      <x:c r="B123" s="56" t="str">
        <x:v>2</x:v>
      </x:c>
      <x:c r="C123" s="56" t="str">
        <x:v>causal_20</x:v>
      </x:c>
      <x:c r="D123" s="56" t="n">
        <x:v>5</x:v>
      </x:c>
      <x:c r="E123" s="56" t="n">
        <x:v>1</x:v>
      </x:c>
      <x:c r="F123" s="56" t="str">
        <x:v>B2_2_10</x:v>
      </x:c>
      <x:c r="G123" s="56" t="str">
        <x:v>2.10</x:v>
      </x:c>
      <x:c r="H123" s="56" t="str">
        <x:v>Si respondiste 'Sí' en la pregunta anterior, ¿cómo falla la transformación? ¿Qué ocurre exactamente?</x:v>
      </x:c>
      <x:c r="I123" s="56" t="str">
        <x:v>Describe el síntoma concreto del fallo. Ejemplos: el sistema no registra el cambio, queda en estado incorrecto, vuelve atrás, alguien corrige después, sale incompleto. Evita respuestas vagas como 'falla' o 'sale mal'.</x:v>
      </x:c>
      <x:c r="J123" s="56" t="str">
        <x:v>free_text</x:v>
      </x:c>
      <x:c r="K123" s="56" t="str">
        <x:v>free_text</x:v>
      </x:c>
      <x:c r="L123" s="56" t="str">
        <x:v>N/A</x:v>
      </x:c>
      <x:c r="M123" s="56" t="str">
        <x:v>Obligatoria si se activa.</x:v>
      </x:c>
      <x:c r="N123" s="56" t="str">
        <x:v>Visible solo si transformation_exception_exists = true.</x:v>
      </x:c>
      <x:c r="O123" s="56" t="str">
        <x:v>Si la respuesta es genérica, tautológica o no identifica el tipo de fallo, puede disparar aclaración 2.B.</x:v>
      </x:c>
      <x:c r="P123" s="56" t="str">
        <x:v>visible_capture</x:v>
      </x:c>
      <x:c r="Q123" s="56" t="str">
        <x:v>DIRECT_CAPTURE_ONLY</x:v>
      </x:c>
      <x:c r="R123" s="56" t="str">
        <x:v>transformation_exception_description</x:v>
      </x:c>
      <x:c r="S123" s="56" t="str">
        <x:v>captured_user_evidence</x:v>
      </x:c>
      <x:c r="T123" s="56" t="str">
        <x:v>Bloque_2_Documento_Madre_Capa1_v2_1_EVE.docx</x:v>
      </x:c>
      <x:c r="U123" s="56" t="str">
        <x:v>0e134ee7e73dbb4b5b54a833712e2d15b5f03bcaf84219a50b21ab0e7ccd38cc</x:v>
      </x:c>
      <x:c r="V123" s="56" t="str">
        <x:v>Texto libre</x:v>
      </x:c>
      <x:c r="W123" s="56" t="str">
        <x:v>Capturar texto literal sin clasificación semántica cliente.</x:v>
      </x:c>
      <x:c r="X123" s="56" t="str">
        <x:v>scalar:string</x:v>
      </x:c>
      <x:c r="Y123" s="56" t="str">
        <x:v>No aplica</x:v>
      </x:c>
      <x:c r="Z123" s="56" t="str">
        <x:v>slot_ref server-issued; valor humano únicamente.</x:v>
      </x:c>
      <x:c r="AA123" s="56" t="str">
        <x:v>EXPLICIT_FIELD_TYPE</x:v>
      </x:c>
      <x:c r="AB123" s="56" t="str">
        <x:v>Pantalla específica Bloque 2</x:v>
      </x:c>
      <x:c r="AC123" s="66" t="str"/>
      <x:c r="AD123" s="66" t="str">
        <x:v>No evaluado</x:v>
      </x:c>
      <x:c r="AE123" s="66" t="str">
        <x:v>No evaluado</x:v>
      </x:c>
      <x:c r="AF123" s="66" t="str">
        <x:v>No evaluado</x:v>
      </x:c>
      <x:c r="AG123" s="66" t="str">
        <x:v>No ejecutado</x:v>
      </x:c>
      <x:c r="AH123" s="68" t="str">
        <x:f>IF(AND(AD123="No evaluado",AE123="No evaluado",AF123="No evaluado",AG123="No ejecutado"),"No evaluado",IF(OR(AD123="Bloqueado",AE123="Bloqueado",AF123="Bloqueado",AG123="Bloqueado"),"Bloqueado",IF(OR(AE123="No conforme",AF123="No conforme",AG123="Falló"),"No conforme",IF(AND(OR(AD123="Implementado",AD123="No aplica"),OR(AE123="Conforme",AE123="No aplica"),OR(AF123="Conforme",AF123="No aplica"),OR(AG123="Pasó",AG123="No aplica")),"Conforme","Parcial"))))</x:f>
        <x:v>No evaluado</x:v>
      </x:c>
      <x:c r="AI123" s="56" t="str">
        <x:v>Compatible</x:v>
      </x:c>
      <x:c r="AJ123" s="66" t="str"/>
      <x:c r="AK123" s="66" t="str"/>
      <x:c r="AL123" s="56" t="str">
        <x:v>VALIDATED_044A3M / 170 identity tuples</x:v>
      </x:c>
      <x:c r="AM123" s="56" t="str">
        <x:v>TR-005; TR-006; TR-008; TR-016; TR-019; TR-028; TR-029</x:v>
      </x:c>
      <x:c r="AN123" s="66" t="str"/>
    </x:row>
    <x:row r="124" ht="58" customHeight="1">
      <x:c r="A124" s="56" t="str">
        <x:v>C05</x:v>
      </x:c>
      <x:c r="B124" s="56" t="str">
        <x:v>2</x:v>
      </x:c>
      <x:c r="C124" s="56" t="str">
        <x:v>causal_20</x:v>
      </x:c>
      <x:c r="D124" s="56" t="n">
        <x:v>5</x:v>
      </x:c>
      <x:c r="E124" s="56" t="n">
        <x:v>2</x:v>
      </x:c>
      <x:c r="F124" s="56" t="str">
        <x:v>B2_2_B</x:v>
      </x:c>
      <x:c r="G124" s="56" t="str">
        <x:v>2.B</x:v>
      </x:c>
      <x:c r="H124" s="56" t="str">
        <x:v>Mencionaste que la transformación falla, pero todavía no queda claro cómo falla exactamente. ¿Qué es lo primero que ves que sale mal o no cambia cómo debería?</x:v>
      </x:c>
      <x:c r="I124" s="56" t="str">
        <x:v>Guíate por el síntoma observable. Lo que ves que no funciona. Ejemplo: El pedido llega sin la información del cliente, el documento queda en estado 'pendiente' cuando debería estar 'aprobado, el proceso se detiene y nadie sabe por qué.</x:v>
      </x:c>
      <x:c r="J124" s="56" t="str">
        <x:v>free_text</x:v>
      </x:c>
      <x:c r="K124" s="56" t="str">
        <x:v>clarification</x:v>
      </x:c>
      <x:c r="L124" s="56" t="str">
        <x:v>N/A</x:v>
      </x:c>
      <x:c r="M124" s="56" t="str">
        <x:v>Solo si la aclaración es disparada por flag.</x:v>
      </x:c>
      <x:c r="N124" s="56" t="str">
        <x:v>No aparece en flujo base; solo por flags.</x:v>
      </x:c>
      <x:c r="O124" s="56" t="str">
        <x:v>No reemplaza la respuesta original. Se vincula a ella y se guarda como aclaración separada.</x:v>
      </x:c>
      <x:c r="P124" s="56" t="str">
        <x:v>conditional_clarification</x:v>
      </x:c>
      <x:c r="Q124" s="56" t="str">
        <x:v>CLARIFICATION_SEPARATE</x:v>
      </x:c>
      <x:c r="R124" s="56" t="str">
        <x:v>transformation_exception_description_clarified</x:v>
      </x:c>
      <x:c r="S124" s="56" t="str">
        <x:v>clarification</x:v>
      </x:c>
      <x:c r="T124" s="56" t="str">
        <x:v>Bloque_2_Documento_Madre_Capa1_v2_1_EVE.docx</x:v>
      </x:c>
      <x:c r="U124" s="56" t="str">
        <x:v>0e134ee7e73dbb4b5b54a833712e2d15b5f03bcaf84219a50b21ab0e7ccd38cc</x:v>
      </x:c>
      <x:c r="V124" s="56" t="str">
        <x:v>Texto libre</x:v>
      </x:c>
      <x:c r="W124" s="56" t="str">
        <x:v>Capturar texto literal sin clasificación semántica cliente.</x:v>
      </x:c>
      <x:c r="X124" s="56" t="str">
        <x:v>scalar:string</x:v>
      </x:c>
      <x:c r="Y124" s="56" t="str">
        <x:v>No aplica</x:v>
      </x:c>
      <x:c r="Z124" s="56" t="str">
        <x:v>slot_ref server-issued; valor humano únicamente.</x:v>
      </x:c>
      <x:c r="AA124" s="56" t="str">
        <x:v>EXPLICIT_FIELD_TYPE</x:v>
      </x:c>
      <x:c r="AB124" s="56" t="str">
        <x:v>Pantalla específica Bloque 2</x:v>
      </x:c>
      <x:c r="AC124" s="66" t="str"/>
      <x:c r="AD124" s="66" t="str">
        <x:v>No evaluado</x:v>
      </x:c>
      <x:c r="AE124" s="66" t="str">
        <x:v>No evaluado</x:v>
      </x:c>
      <x:c r="AF124" s="66" t="str">
        <x:v>No evaluado</x:v>
      </x:c>
      <x:c r="AG124" s="66" t="str">
        <x:v>No ejecutado</x:v>
      </x:c>
      <x:c r="AH124" s="68" t="str">
        <x:f>IF(AND(AD124="No evaluado",AE124="No evaluado",AF124="No evaluado",AG124="No ejecutado"),"No evaluado",IF(OR(AD124="Bloqueado",AE124="Bloqueado",AF124="Bloqueado",AG124="Bloqueado"),"Bloqueado",IF(OR(AE124="No conforme",AF124="No conforme",AG124="Falló"),"No conforme",IF(AND(OR(AD124="Implementado",AD124="No aplica"),OR(AE124="Conforme",AE124="No aplica"),OR(AF124="Conforme",AF124="No aplica"),OR(AG124="Pasó",AG124="No aplica")),"Conforme","Parcial"))))</x:f>
        <x:v>No evaluado</x:v>
      </x:c>
      <x:c r="AI124" s="56" t="str">
        <x:v>Compatible</x:v>
      </x:c>
      <x:c r="AJ124" s="66" t="str"/>
      <x:c r="AK124" s="66" t="str"/>
      <x:c r="AL124" s="56" t="str">
        <x:v>VALIDATED_044A3M / 170 identity tuples</x:v>
      </x:c>
      <x:c r="AM124" s="56" t="str">
        <x:v>TR-005; TR-006; TR-008; TR-016; TR-019; TR-028; TR-029</x:v>
      </x:c>
      <x:c r="AN124" s="66" t="str"/>
    </x:row>
    <x:row r="125" ht="58" customHeight="1">
      <x:c r="A125" s="56" t="str">
        <x:v>C06</x:v>
      </x:c>
      <x:c r="B125" s="56" t="str">
        <x:v>2</x:v>
      </x:c>
      <x:c r="C125" s="56" t="str">
        <x:v>causal_20</x:v>
      </x:c>
      <x:c r="D125" s="56" t="n">
        <x:v>6</x:v>
      </x:c>
      <x:c r="E125" s="56" t="n">
        <x:v>1</x:v>
      </x:c>
      <x:c r="F125" s="56" t="str">
        <x:v>B2_2_12</x:v>
      </x:c>
      <x:c r="G125" s="56" t="str">
        <x:v>2.12</x:v>
      </x:c>
      <x:c r="H125" s="56" t="str">
        <x:v>Si respondiste 'Sí', ¿cuáles son esos cambios no oficiales y quién los hace?</x:v>
      </x:c>
      <x:c r="I125" s="56" t="str">
        <x:v>Describe el cambio no oficial y, si puedes, quién lo hace o desde dónde ocurre. Ejemplos: ventas cambia el precio; otra área actualiza el estado; alguien corrige datos por fuera del sistema. Evita respuestas donde solo diga 'pasa' sin actor ni cambio identificable.</x:v>
      </x:c>
      <x:c r="J125" s="56" t="str">
        <x:v>free_text</x:v>
      </x:c>
      <x:c r="K125" s="56" t="str">
        <x:v>free_text</x:v>
      </x:c>
      <x:c r="L125" s="56" t="str">
        <x:v>N/A</x:v>
      </x:c>
      <x:c r="M125" s="56" t="str">
        <x:v>Obligatoria si se activa.</x:v>
      </x:c>
      <x:c r="N125" s="56" t="str">
        <x:v>Visible solo si 2.11 = Sí, a veces / frecuentemente.</x:v>
      </x:c>
      <x:c r="O125" s="56" t="str">
        <x:v>Si no identifica ni el tipo de cambio ni quién lo hace, puede disparar aclaración 2.C.</x:v>
      </x:c>
      <x:c r="P125" s="56" t="str">
        <x:v>visible_capture</x:v>
      </x:c>
      <x:c r="Q125" s="56" t="str">
        <x:v>DIRECT_CAPTURE_ONLY</x:v>
      </x:c>
      <x:c r="R125" s="56" t="str">
        <x:v>transformation_hidden_changes_description</x:v>
      </x:c>
      <x:c r="S125" s="56" t="str">
        <x:v>captured_user_evidence</x:v>
      </x:c>
      <x:c r="T125" s="56" t="str">
        <x:v>Bloque_2_Documento_Madre_Capa1_v2_1_EVE.docx</x:v>
      </x:c>
      <x:c r="U125" s="56" t="str">
        <x:v>0e134ee7e73dbb4b5b54a833712e2d15b5f03bcaf84219a50b21ab0e7ccd38cc</x:v>
      </x:c>
      <x:c r="V125" s="56" t="str">
        <x:v>Texto libre</x:v>
      </x:c>
      <x:c r="W125" s="56" t="str">
        <x:v>Capturar texto literal sin clasificación semántica cliente.</x:v>
      </x:c>
      <x:c r="X125" s="56" t="str">
        <x:v>scalar:string</x:v>
      </x:c>
      <x:c r="Y125" s="56" t="str">
        <x:v>No aplica</x:v>
      </x:c>
      <x:c r="Z125" s="56" t="str">
        <x:v>slot_ref server-issued; valor humano únicamente.</x:v>
      </x:c>
      <x:c r="AA125" s="56" t="str">
        <x:v>EXPLICIT_FIELD_TYPE</x:v>
      </x:c>
      <x:c r="AB125" s="56" t="str">
        <x:v>Pantalla específica Bloque 2</x:v>
      </x:c>
      <x:c r="AC125" s="66" t="str"/>
      <x:c r="AD125" s="66" t="str">
        <x:v>No evaluado</x:v>
      </x:c>
      <x:c r="AE125" s="66" t="str">
        <x:v>No evaluado</x:v>
      </x:c>
      <x:c r="AF125" s="66" t="str">
        <x:v>No evaluado</x:v>
      </x:c>
      <x:c r="AG125" s="66" t="str">
        <x:v>No ejecutado</x:v>
      </x:c>
      <x:c r="AH125" s="68" t="str">
        <x:f>IF(AND(AD125="No evaluado",AE125="No evaluado",AF125="No evaluado",AG125="No ejecutado"),"No evaluado",IF(OR(AD125="Bloqueado",AE125="Bloqueado",AF125="Bloqueado",AG125="Bloqueado"),"Bloqueado",IF(OR(AE125="No conforme",AF125="No conforme",AG125="Falló"),"No conforme",IF(AND(OR(AD125="Implementado",AD125="No aplica"),OR(AE125="Conforme",AE125="No aplica"),OR(AF125="Conforme",AF125="No aplica"),OR(AG125="Pasó",AG125="No aplica")),"Conforme","Parcial"))))</x:f>
        <x:v>No evaluado</x:v>
      </x:c>
      <x:c r="AI125" s="56" t="str">
        <x:v>Compatible</x:v>
      </x:c>
      <x:c r="AJ125" s="66" t="str"/>
      <x:c r="AK125" s="66" t="str"/>
      <x:c r="AL125" s="56" t="str">
        <x:v>VALIDATED_044A3M / 170 identity tuples</x:v>
      </x:c>
      <x:c r="AM125" s="56" t="str">
        <x:v>TR-005; TR-006; TR-008; TR-016; TR-019; TR-028; TR-029</x:v>
      </x:c>
      <x:c r="AN125" s="66" t="str"/>
    </x:row>
    <x:row r="126" ht="58" customHeight="1">
      <x:c r="A126" s="56" t="str">
        <x:v>C06</x:v>
      </x:c>
      <x:c r="B126" s="56" t="str">
        <x:v>2</x:v>
      </x:c>
      <x:c r="C126" s="56" t="str">
        <x:v>causal_20</x:v>
      </x:c>
      <x:c r="D126" s="56" t="n">
        <x:v>6</x:v>
      </x:c>
      <x:c r="E126" s="56" t="n">
        <x:v>2</x:v>
      </x:c>
      <x:c r="F126" s="56" t="str">
        <x:v>B2_2_C</x:v>
      </x:c>
      <x:c r="G126" s="56" t="str">
        <x:v>2.C</x:v>
      </x:c>
      <x:c r="H126" s="56" t="str">
        <x:v>Mencionaste cambios no oficiales, pero todavía no queda claro cuál es el cambio concreto o quién lo hace. ¿Qué cambia fuera del procedimiento normal y desde dónde ocurre?</x:v>
      </x:c>
      <x:c r="I126" s="56" t="str">
        <x:v>Ejemplo: El coordinador de entregas anota cambios en Excel en lugar de registrarlos en el sistema porque el sistema no refleja cambios de última hora.</x:v>
      </x:c>
      <x:c r="J126" s="56" t="str">
        <x:v>free_text</x:v>
      </x:c>
      <x:c r="K126" s="56" t="str">
        <x:v>clarification</x:v>
      </x:c>
      <x:c r="L126" s="56" t="str">
        <x:v>N/A</x:v>
      </x:c>
      <x:c r="M126" s="56" t="str">
        <x:v>Solo si la aclaración es disparada por flag.</x:v>
      </x:c>
      <x:c r="N126" s="56" t="str">
        <x:v>No aparece en flujo base; solo por flags.</x:v>
      </x:c>
      <x:c r="O126" s="56" t="str">
        <x:v>No reemplaza la respuesta original. Se vincula a ella y se guarda como aclaración separada.</x:v>
      </x:c>
      <x:c r="P126" s="56" t="str">
        <x:v>conditional_clarification</x:v>
      </x:c>
      <x:c r="Q126" s="56" t="str">
        <x:v>CLARIFICATION_SEPARATE</x:v>
      </x:c>
      <x:c r="R126" s="56" t="str">
        <x:v>transformation_hidden_changes_description_clarified</x:v>
      </x:c>
      <x:c r="S126" s="56" t="str">
        <x:v>clarification</x:v>
      </x:c>
      <x:c r="T126" s="56" t="str">
        <x:v>Bloque_2_Documento_Madre_Capa1_v2_1_EVE.docx</x:v>
      </x:c>
      <x:c r="U126" s="56" t="str">
        <x:v>0e134ee7e73dbb4b5b54a833712e2d15b5f03bcaf84219a50b21ab0e7ccd38cc</x:v>
      </x:c>
      <x:c r="V126" s="56" t="str">
        <x:v>Texto libre</x:v>
      </x:c>
      <x:c r="W126" s="56" t="str">
        <x:v>Capturar texto literal sin clasificación semántica cliente.</x:v>
      </x:c>
      <x:c r="X126" s="56" t="str">
        <x:v>scalar:string</x:v>
      </x:c>
      <x:c r="Y126" s="56" t="str">
        <x:v>No aplica</x:v>
      </x:c>
      <x:c r="Z126" s="56" t="str">
        <x:v>slot_ref server-issued; valor humano únicamente.</x:v>
      </x:c>
      <x:c r="AA126" s="56" t="str">
        <x:v>EXPLICIT_FIELD_TYPE</x:v>
      </x:c>
      <x:c r="AB126" s="56" t="str">
        <x:v>Pantalla específica Bloque 2</x:v>
      </x:c>
      <x:c r="AC126" s="66" t="str"/>
      <x:c r="AD126" s="66" t="str">
        <x:v>No evaluado</x:v>
      </x:c>
      <x:c r="AE126" s="66" t="str">
        <x:v>No evaluado</x:v>
      </x:c>
      <x:c r="AF126" s="66" t="str">
        <x:v>No evaluado</x:v>
      </x:c>
      <x:c r="AG126" s="66" t="str">
        <x:v>No ejecutado</x:v>
      </x:c>
      <x:c r="AH126" s="68" t="str">
        <x:f>IF(AND(AD126="No evaluado",AE126="No evaluado",AF126="No evaluado",AG126="No ejecutado"),"No evaluado",IF(OR(AD126="Bloqueado",AE126="Bloqueado",AF126="Bloqueado",AG126="Bloqueado"),"Bloqueado",IF(OR(AE126="No conforme",AF126="No conforme",AG126="Falló"),"No conforme",IF(AND(OR(AD126="Implementado",AD126="No aplica"),OR(AE126="Conforme",AE126="No aplica"),OR(AF126="Conforme",AF126="No aplica"),OR(AG126="Pasó",AG126="No aplica")),"Conforme","Parcial"))))</x:f>
        <x:v>No evaluado</x:v>
      </x:c>
      <x:c r="AI126" s="56" t="str">
        <x:v>Compatible</x:v>
      </x:c>
      <x:c r="AJ126" s="66" t="str"/>
      <x:c r="AK126" s="66" t="str"/>
      <x:c r="AL126" s="56" t="str">
        <x:v>VALIDATED_044A3M / 170 identity tuples</x:v>
      </x:c>
      <x:c r="AM126" s="56" t="str">
        <x:v>TR-005; TR-006; TR-008; TR-016; TR-019; TR-028; TR-029</x:v>
      </x:c>
      <x:c r="AN126" s="66" t="str"/>
    </x:row>
    <x:row r="127" ht="58" customHeight="1">
      <x:c r="A127" s="56" t="str">
        <x:v>C07</x:v>
      </x:c>
      <x:c r="B127" s="56" t="str">
        <x:v>2</x:v>
      </x:c>
      <x:c r="C127" s="56" t="str">
        <x:v>causal_20</x:v>
      </x:c>
      <x:c r="D127" s="56" t="n">
        <x:v>7</x:v>
      </x:c>
      <x:c r="E127" s="56" t="n">
        <x:v>1</x:v>
      </x:c>
      <x:c r="F127" s="56" t="str">
        <x:v>B2_2_8</x:v>
      </x:c>
      <x:c r="G127" s="56" t="str">
        <x:v>2.8</x:v>
      </x:c>
      <x:c r="H127" s="56" t="str">
        <x:v>Si respondiste 'Pocas veces' o 'Muchas veces', ¿cuántos ciclos típicamente ocurren?</x:v>
      </x:c>
      <x:c r="I127" s="56" t="str">
        <x:v>Elige el rango que mejor represente la cantidad típica de ciclos. No buscamos precisión matemática absoluta, sino una escala comparable entre escenas.</x:v>
      </x:c>
      <x:c r="J127" s="56" t="str">
        <x:v>single_choice</x:v>
      </x:c>
      <x:c r="K127" s="56" t="str">
        <x:v>single_choice</x:v>
      </x:c>
      <x:c r="L127" s="56" t="str">
        <x:v>2-3 ciclos; 4-5 ciclos; 6-10 ciclos; Más de 10 ciclos; Variable</x:v>
      </x:c>
      <x:c r="M127" s="56" t="str">
        <x:v>Obligatoria si se activa.</x:v>
      </x:c>
      <x:c r="N127" s="56" t="str">
        <x:v>Visible solo si 2.7 indica iteración discreta repetida.</x:v>
      </x:c>
      <x:c r="O127" s="56" t="str">
        <x:v>No abre más preguntas, pero alimenta complejidad del loop y consistencia con excepciones.</x:v>
      </x:c>
      <x:c r="P127" s="56" t="str">
        <x:v>visible_capture</x:v>
      </x:c>
      <x:c r="Q127" s="56" t="str">
        <x:v>DIRECT_CAPTURE_ONLY</x:v>
      </x:c>
      <x:c r="R127" s="56" t="str">
        <x:v>transformation_iteration_count</x:v>
      </x:c>
      <x:c r="S127" s="56" t="str">
        <x:v>captured_user_evidence</x:v>
      </x:c>
      <x:c r="T127" s="56" t="str">
        <x:v>Bloque_2_Documento_Madre_Capa1_v2_1_EVE.docx</x:v>
      </x:c>
      <x:c r="U127" s="56" t="str">
        <x:v>0e134ee7e73dbb4b5b54a833712e2d15b5f03bcaf84219a50b21ab0e7ccd38cc</x:v>
      </x:c>
      <x:c r="V127" s="56" t="str">
        <x:v>Selección única</x:v>
      </x:c>
      <x:c r="W127" s="56" t="str">
        <x:v>Mostrar opciones autorizadas; permitir una sola selección; opción literal preservada.</x:v>
      </x:c>
      <x:c r="X127" s="56" t="str">
        <x:v>scalar:string</x:v>
      </x:c>
      <x:c r="Y127" s="56" t="str">
        <x:v>Campo options / catálogo dinámico rector</x:v>
      </x:c>
      <x:c r="Z127" s="56" t="str">
        <x:v>slot_ref server-issued; no mapear por label ni posición.</x:v>
      </x:c>
      <x:c r="AA127" s="56" t="str">
        <x:v>EXPLICIT_FIELD_TYPE</x:v>
      </x:c>
      <x:c r="AB127" s="56" t="str">
        <x:v>Pantalla específica Bloque 2</x:v>
      </x:c>
      <x:c r="AC127" s="66" t="str"/>
      <x:c r="AD127" s="66" t="str">
        <x:v>No evaluado</x:v>
      </x:c>
      <x:c r="AE127" s="66" t="str">
        <x:v>No evaluado</x:v>
      </x:c>
      <x:c r="AF127" s="66" t="str">
        <x:v>No evaluado</x:v>
      </x:c>
      <x:c r="AG127" s="66" t="str">
        <x:v>No ejecutado</x:v>
      </x:c>
      <x:c r="AH127" s="68" t="str">
        <x:f>IF(AND(AD127="No evaluado",AE127="No evaluado",AF127="No evaluado",AG127="No ejecutado"),"No evaluado",IF(OR(AD127="Bloqueado",AE127="Bloqueado",AF127="Bloqueado",AG127="Bloqueado"),"Bloqueado",IF(OR(AE127="No conforme",AF127="No conforme",AG127="Falló"),"No conforme",IF(AND(OR(AD127="Implementado",AD127="No aplica"),OR(AE127="Conforme",AE127="No aplica"),OR(AF127="Conforme",AF127="No aplica"),OR(AG127="Pasó",AG127="No aplica")),"Conforme","Parcial"))))</x:f>
        <x:v>No evaluado</x:v>
      </x:c>
      <x:c r="AI127" s="56" t="str">
        <x:v>No conforme</x:v>
      </x:c>
      <x:c r="AJ127" s="66" t="str"/>
      <x:c r="AK127" s="66" t="str"/>
      <x:c r="AL127" s="56" t="str">
        <x:v>VALIDATED_044A3M / 170 identity tuples</x:v>
      </x:c>
      <x:c r="AM127" s="56" t="str">
        <x:v>TR-005; TR-006; TR-008; TR-016; TR-019; TR-028; TR-029</x:v>
      </x:c>
      <x:c r="AN127" s="66" t="str"/>
    </x:row>
    <x:row r="128" ht="58" customHeight="1">
      <x:c r="A128" s="56" t="str">
        <x:v>C08</x:v>
      </x:c>
      <x:c r="B128" s="56" t="str">
        <x:v>3</x:v>
      </x:c>
      <x:c r="C128" s="56" t="str">
        <x:v>causal_20</x:v>
      </x:c>
      <x:c r="D128" s="56" t="n">
        <x:v>8</x:v>
      </x:c>
      <x:c r="E128" s="56" t="n">
        <x:v>1</x:v>
      </x:c>
      <x:c r="F128" s="56" t="str">
        <x:v>B3_3_11</x:v>
      </x:c>
      <x:c r="G128" s="56" t="str">
        <x:v>3.11</x:v>
      </x:c>
      <x:c r="H128" s="56" t="str">
        <x:v>Si respondiste "Sí" en la pregunta anterior, ¿cuál es el problema típico?</x:v>
      </x:c>
      <x:c r="I128" s="56" t="str">
        <x:v>Elige el problema más típico. Si no aparece, usa Otro y descríbelo.</x:v>
      </x:c>
      <x:c r="J128" s="56" t="str">
        <x:v>single_choice</x:v>
      </x:c>
      <x:c r="K128" s="56" t="str">
        <x:v>single_choice</x:v>
      </x:c>
      <x:c r="L128" s="56" t="str">
        <x:v>No llega a tiempo; Llega incompleto; Llega con errores; Llega en formato incorrecto; No llega a todos los receptores que deberían; Llega pero el receptor no sabe qué hacer con ello; Otro</x:v>
      </x:c>
      <x:c r="M128" s="56" t="str">
        <x:v>Obligatoria si 3.10 indica falla.</x:v>
      </x:c>
      <x:c r="N128" s="56" t="str">
        <x:v>Solo visible si 3.10 indica falla.</x:v>
      </x:c>
      <x:c r="O128" s="56" t="str">
        <x:v>Si se elige Otro sin explicación o si el problema típico es inconsistente con 3.12, puede contribuir a 3.C.</x:v>
      </x:c>
      <x:c r="P128" s="56" t="str">
        <x:v>visible_capture</x:v>
      </x:c>
      <x:c r="Q128" s="56" t="str">
        <x:v>DIRECT_CAPTURE_ONLY</x:v>
      </x:c>
      <x:c r="R128" s="56" t="str">
        <x:v>delivery_exception_type</x:v>
      </x:c>
      <x:c r="S128" s="56" t="str">
        <x:v>captured_user_evidence</x:v>
      </x:c>
      <x:c r="T128" s="56" t="str">
        <x:v>Bloque_3_Documento_Madre_Capa1_v2_1_EVE_rev3_alineado.docx</x:v>
      </x:c>
      <x:c r="U128" s="56" t="str">
        <x:v>1a89cff41291ec47ff29852a4f074dd1b4095fdc3772a8b98f568dc7de921b8e</x:v>
      </x:c>
      <x:c r="V128" s="56" t="str">
        <x:v>Selección única</x:v>
      </x:c>
      <x:c r="W128" s="56" t="str">
        <x:v>Mostrar opciones autorizadas; permitir una sola selección; opción literal preservada.</x:v>
      </x:c>
      <x:c r="X128" s="56" t="str">
        <x:v>scalar:string</x:v>
      </x:c>
      <x:c r="Y128" s="56" t="str">
        <x:v>Campo options / catálogo dinámico rector</x:v>
      </x:c>
      <x:c r="Z128" s="56" t="str">
        <x:v>slot_ref server-issued; no mapear por label ni posición.</x:v>
      </x:c>
      <x:c r="AA128" s="56" t="str">
        <x:v>EXPLICIT_FIELD_TYPE</x:v>
      </x:c>
      <x:c r="AB128" s="56" t="str">
        <x:v>Pantalla específica Bloque 3</x:v>
      </x:c>
      <x:c r="AC128" s="66" t="str"/>
      <x:c r="AD128" s="66" t="str">
        <x:v>No evaluado</x:v>
      </x:c>
      <x:c r="AE128" s="66" t="str">
        <x:v>No evaluado</x:v>
      </x:c>
      <x:c r="AF128" s="66" t="str">
        <x:v>No evaluado</x:v>
      </x:c>
      <x:c r="AG128" s="66" t="str">
        <x:v>No ejecutado</x:v>
      </x:c>
      <x:c r="AH128" s="68" t="str">
        <x:f>IF(AND(AD128="No evaluado",AE128="No evaluado",AF128="No evaluado",AG128="No ejecutado"),"No evaluado",IF(OR(AD128="Bloqueado",AE128="Bloqueado",AF128="Bloqueado",AG128="Bloqueado"),"Bloqueado",IF(OR(AE128="No conforme",AF128="No conforme",AG128="Falló"),"No conforme",IF(AND(OR(AD128="Implementado",AD128="No aplica"),OR(AE128="Conforme",AE128="No aplica"),OR(AF128="Conforme",AF128="No aplica"),OR(AG128="Pasó",AG128="No aplica")),"Conforme","Parcial"))))</x:f>
        <x:v>No evaluado</x:v>
      </x:c>
      <x:c r="AI128" s="56" t="str">
        <x:v>No conforme</x:v>
      </x:c>
      <x:c r="AJ128" s="66" t="str"/>
      <x:c r="AK128" s="66" t="str"/>
      <x:c r="AL128" s="56" t="str">
        <x:v>VALIDATED_044A3M / 170 identity tuples</x:v>
      </x:c>
      <x:c r="AM128" s="56" t="str">
        <x:v>TR-005; TR-006; TR-008; TR-016; TR-019; TR-028; TR-029</x:v>
      </x:c>
      <x:c r="AN128" s="66" t="str"/>
    </x:row>
    <x:row r="129" ht="58" customHeight="1">
      <x:c r="A129" s="56" t="str">
        <x:v>C08</x:v>
      </x:c>
      <x:c r="B129" s="56" t="str">
        <x:v>3</x:v>
      </x:c>
      <x:c r="C129" s="56" t="str">
        <x:v>causal_20</x:v>
      </x:c>
      <x:c r="D129" s="56" t="n">
        <x:v>8</x:v>
      </x:c>
      <x:c r="E129" s="56" t="n">
        <x:v>2</x:v>
      </x:c>
      <x:c r="F129" s="56" t="str">
        <x:v>B3_3_12</x:v>
      </x:c>
      <x:c r="G129" s="56" t="str">
        <x:v>3.12</x:v>
      </x:c>
      <x:c r="H129" s="56" t="str">
        <x:v>Cuando esto ocurre, ¿cuál es el impacto en el receptor? ¿Qué tiene que hacer para compensar?</x:v>
      </x:c>
      <x:c r="I129" s="56" t="str">
        <x:v>Describe qué se rompe y qué hace el receptor para seguir adelante: esperar, retrabajar, corregir, llamar, escalar, improvisar u otra compensación.</x:v>
      </x:c>
      <x:c r="J129" s="56" t="str">
        <x:v>free_text</x:v>
      </x:c>
      <x:c r="K129" s="56" t="str">
        <x:v>free_text</x:v>
      </x:c>
      <x:c r="L129" s="56" t="str">
        <x:v>N/A</x:v>
      </x:c>
      <x:c r="M129" s="56" t="str">
        <x:v>Obligatoria si 3.10 indica falla.</x:v>
      </x:c>
      <x:c r="N129" s="56" t="str">
        <x:v>Solo visible si 3.10 indica falla.</x:v>
      </x:c>
      <x:c r="O129" s="56" t="str">
        <x:v>Si queda vaga o no se identifica compensación/impacto, puede activar 3.C.</x:v>
      </x:c>
      <x:c r="P129" s="56" t="str">
        <x:v>visible_capture</x:v>
      </x:c>
      <x:c r="Q129" s="56" t="str">
        <x:v>DIRECT_CAPTURE_ONLY</x:v>
      </x:c>
      <x:c r="R129" s="56" t="str">
        <x:v>delivery_exception_impact</x:v>
      </x:c>
      <x:c r="S129" s="56" t="str">
        <x:v>captured_user_evidence</x:v>
      </x:c>
      <x:c r="T129" s="56" t="str">
        <x:v>Bloque_3_Documento_Madre_Capa1_v2_1_EVE_rev3_alineado.docx</x:v>
      </x:c>
      <x:c r="U129" s="56" t="str">
        <x:v>1a89cff41291ec47ff29852a4f074dd1b4095fdc3772a8b98f568dc7de921b8e</x:v>
      </x:c>
      <x:c r="V129" s="56" t="str">
        <x:v>Texto libre</x:v>
      </x:c>
      <x:c r="W129" s="56" t="str">
        <x:v>Capturar texto literal sin clasificación semántica cliente.</x:v>
      </x:c>
      <x:c r="X129" s="56" t="str">
        <x:v>scalar:string</x:v>
      </x:c>
      <x:c r="Y129" s="56" t="str">
        <x:v>No aplica</x:v>
      </x:c>
      <x:c r="Z129" s="56" t="str">
        <x:v>slot_ref server-issued; valor humano únicamente.</x:v>
      </x:c>
      <x:c r="AA129" s="56" t="str">
        <x:v>EXPLICIT_FIELD_TYPE</x:v>
      </x:c>
      <x:c r="AB129" s="56" t="str">
        <x:v>Pantalla específica Bloque 3</x:v>
      </x:c>
      <x:c r="AC129" s="66" t="str"/>
      <x:c r="AD129" s="66" t="str">
        <x:v>No evaluado</x:v>
      </x:c>
      <x:c r="AE129" s="66" t="str">
        <x:v>No evaluado</x:v>
      </x:c>
      <x:c r="AF129" s="66" t="str">
        <x:v>No evaluado</x:v>
      </x:c>
      <x:c r="AG129" s="66" t="str">
        <x:v>No ejecutado</x:v>
      </x:c>
      <x:c r="AH129" s="68" t="str">
        <x:f>IF(AND(AD129="No evaluado",AE129="No evaluado",AF129="No evaluado",AG129="No ejecutado"),"No evaluado",IF(OR(AD129="Bloqueado",AE129="Bloqueado",AF129="Bloqueado",AG129="Bloqueado"),"Bloqueado",IF(OR(AE129="No conforme",AF129="No conforme",AG129="Falló"),"No conforme",IF(AND(OR(AD129="Implementado",AD129="No aplica"),OR(AE129="Conforme",AE129="No aplica"),OR(AF129="Conforme",AF129="No aplica"),OR(AG129="Pasó",AG129="No aplica")),"Conforme","Parcial"))))</x:f>
        <x:v>No evaluado</x:v>
      </x:c>
      <x:c r="AI129" s="56" t="str">
        <x:v>Compatible</x:v>
      </x:c>
      <x:c r="AJ129" s="66" t="str"/>
      <x:c r="AK129" s="66" t="str"/>
      <x:c r="AL129" s="56" t="str">
        <x:v>VALIDATED_044A3M / 170 identity tuples</x:v>
      </x:c>
      <x:c r="AM129" s="56" t="str">
        <x:v>TR-005; TR-006; TR-008; TR-016; TR-019; TR-028; TR-029</x:v>
      </x:c>
      <x:c r="AN129" s="66" t="str"/>
    </x:row>
    <x:row r="130" ht="58" customHeight="1">
      <x:c r="A130" s="56" t="str">
        <x:v>C08</x:v>
      </x:c>
      <x:c r="B130" s="56" t="str">
        <x:v>3</x:v>
      </x:c>
      <x:c r="C130" s="56" t="str">
        <x:v>causal_20</x:v>
      </x:c>
      <x:c r="D130" s="56" t="n">
        <x:v>8</x:v>
      </x:c>
      <x:c r="E130" s="56" t="n">
        <x:v>3</x:v>
      </x:c>
      <x:c r="F130" s="56" t="str">
        <x:v>B3_3_C</x:v>
      </x:c>
      <x:c r="G130" s="56" t="str">
        <x:v>3.C</x:v>
      </x:c>
      <x:c r="H130" s="56" t="str">
        <x:v>Ya sabemos que la entrega falla a veces, pero todavía no se entiende bien qué se rompe ni quién compensa. ¿Qué hace exactamente el receptor cuando eso ocurre?</x:v>
      </x:c>
      <x:c r="I130" s="56" t="str">
        <x:v>Qué trabajo extra hace el receptor para que el flujo siga. Ejemplo: Si la factura llega sin número de referencia, el que recibe tiene que llamar para aclarar antes de poder pagar.</x:v>
      </x:c>
      <x:c r="J130" s="56" t="str">
        <x:v>clarification</x:v>
      </x:c>
      <x:c r="K130" s="56" t="str">
        <x:v>clarification</x:v>
      </x:c>
      <x:c r="L130" s="56" t="str">
        <x:v>N/A</x:v>
      </x:c>
      <x:c r="M130" s="56" t="str">
        <x:v>Solo si las excepciones quedaron insuficientemente descritas.</x:v>
      </x:c>
      <x:c r="N130" s="56" t="str">
        <x:v>Solo por flag.</x:v>
      </x:c>
      <x:c r="O130" s="56" t="str">
        <x:v>Puede complementar delivery_exception_impact y receiver_compensation_hint.</x:v>
      </x:c>
      <x:c r="P130" s="56" t="str">
        <x:v>conditional_clarification</x:v>
      </x:c>
      <x:c r="Q130" s="56" t="str">
        <x:v>CLARIFICATION_SEPARATE</x:v>
      </x:c>
      <x:c r="R130" s="56" t="str">
        <x:v>delivery_exception_clarification</x:v>
      </x:c>
      <x:c r="S130" s="56" t="str">
        <x:v>clarification</x:v>
      </x:c>
      <x:c r="T130" s="56" t="str">
        <x:v>Bloque_3_Documento_Madre_Capa1_v2_1_EVE_rev3_alineado.docx</x:v>
      </x:c>
      <x:c r="U130" s="56" t="str">
        <x:v>1a89cff41291ec47ff29852a4f074dd1b4095fdc3772a8b98f568dc7de921b8e</x:v>
      </x:c>
      <x:c r="V130" s="56" t="str">
        <x:v>Aclaración condicional</x:v>
      </x:c>
      <x:c r="W130" s="56" t="str">
        <x:v>Mostrar solo cuando visibility/branching lo autoriza; capturar aclaración separada.</x:v>
      </x:c>
      <x:c r="X130" s="56" t="str">
        <x:v>scalar:string|null</x:v>
      </x:c>
      <x:c r="Y130" s="56" t="str">
        <x:v>Opciones rectoras si existen; de lo contrario texto</x:v>
      </x:c>
      <x:c r="Z130" s="56" t="str">
        <x:v>slot_ref condicional server-issued; no fusionar con respuesta base.</x:v>
      </x:c>
      <x:c r="AA130" s="56" t="str">
        <x:v>EXPLICIT_CONDITIONAL</x:v>
      </x:c>
      <x:c r="AB130" s="56" t="str">
        <x:v>Pantalla específica Bloque 3</x:v>
      </x:c>
      <x:c r="AC130" s="66" t="str"/>
      <x:c r="AD130" s="66" t="str">
        <x:v>No evaluado</x:v>
      </x:c>
      <x:c r="AE130" s="66" t="str">
        <x:v>No evaluado</x:v>
      </x:c>
      <x:c r="AF130" s="66" t="str">
        <x:v>No evaluado</x:v>
      </x:c>
      <x:c r="AG130" s="66" t="str">
        <x:v>No ejecutado</x:v>
      </x:c>
      <x:c r="AH130" s="68" t="str">
        <x:f>IF(AND(AD130="No evaluado",AE130="No evaluado",AF130="No evaluado",AG130="No ejecutado"),"No evaluado",IF(OR(AD130="Bloqueado",AE130="Bloqueado",AF130="Bloqueado",AG130="Bloqueado"),"Bloqueado",IF(OR(AE130="No conforme",AF130="No conforme",AG130="Falló"),"No conforme",IF(AND(OR(AD130="Implementado",AD130="No aplica"),OR(AE130="Conforme",AE130="No aplica"),OR(AF130="Conforme",AF130="No aplica"),OR(AG130="Pasó",AG130="No aplica")),"Conforme","Parcial"))))</x:f>
        <x:v>No evaluado</x:v>
      </x:c>
      <x:c r="AI130" s="56" t="str">
        <x:v>Parcial</x:v>
      </x:c>
      <x:c r="AJ130" s="66" t="str"/>
      <x:c r="AK130" s="66" t="str"/>
      <x:c r="AL130" s="56" t="str">
        <x:v>VALIDATED_044A3M / 170 identity tuples</x:v>
      </x:c>
      <x:c r="AM130" s="56" t="str">
        <x:v>TR-005; TR-006; TR-008; TR-016; TR-019; TR-028; TR-029</x:v>
      </x:c>
      <x:c r="AN130" s="66" t="str"/>
    </x:row>
    <x:row r="131" ht="58" customHeight="1">
      <x:c r="A131" s="56" t="str">
        <x:v>C09</x:v>
      </x:c>
      <x:c r="B131" s="56" t="str">
        <x:v>3</x:v>
      </x:c>
      <x:c r="C131" s="56" t="str">
        <x:v>causal_20</x:v>
      </x:c>
      <x:c r="D131" s="56" t="n">
        <x:v>9</x:v>
      </x:c>
      <x:c r="E131" s="56" t="n">
        <x:v>1</x:v>
      </x:c>
      <x:c r="F131" s="56" t="str">
        <x:v>B3_3_13a</x:v>
      </x:c>
      <x:c r="G131" s="56" t="str">
        <x:v>3.13a</x:v>
      </x:c>
      <x:c r="H131" s="56" t="str">
        <x:v>Cuando lo que entregas llega incompleto, duplicado, tarde, con error o no coincide con lo esperado, ¿cómo te enteras o qué hace el receptor para avisarlo?</x:v>
      </x:c>
      <x:c r="I131" s="56" t="str">
        <x:v>No preguntamos si el receptor queda satisfecho. Queremos saber si da una señal operativa: avisa, rechaza, devuelve, corrige, pide cambio, bloquea el siguiente paso, recontacta, actualiza algo o escala el problema.</x:v>
      </x:c>
      <x:c r="J131" s="56" t="str">
        <x:v>free_text</x:v>
      </x:c>
      <x:c r="K131" s="56" t="str">
        <x:v>free_text</x:v>
      </x:c>
      <x:c r="L131" s="56" t="str">
        <x:v>N/A</x:v>
      </x:c>
      <x:c r="M131" s="56" t="str">
        <x:v>Obligatoria si 3.10 indica falla de entrega, entrega incompleta, duplicada, tardía, incorrecta, no conforme o que requiere corrección. También debe abrirse si 3.13 muestra rechazo/devolución/corrección que no tiene ruta de feedback operativo.</x:v>
      </x:c>
      <x:c r="N131" s="56" t="str">
        <x:v>Visible si 3.10 indica que la entrega falla, llega incompleta, llega tarde, llega duplicada, no cumple criterios, genera corrección o requiere compensación del receptor. También visible si 3.13 contiene una señal de rechazo/devolución/corrección que no puede quedar absorbida por receiver_satisfaction.</x:v>
      </x:c>
      <x:c r="O131" s="56" t="str">
        <x:v>Si la respuesta muestra aviso, rechazo, devolución, corrección, recontacto, actualización, bloqueo, pedido de cambio o escalamiento, derivar receiver_feedback_exists = true. Si indica que nadie avisa, no se detecta o no hay señal visible, derivar receiver_feedback_exists = false. Si la respuesta es ambigua, genérica o solo habla de satisfacción/insatisfacción, activar aclaración 3.D y marcar receiver_feedback_gap_flag.</x:v>
      </x:c>
      <x:c r="P131" s="56" t="str">
        <x:v>visible_capture</x:v>
      </x:c>
      <x:c r="Q131" s="56" t="str">
        <x:v>DIRECT_CAPTURE_WITH_EXPLICIT_DERIVATION</x:v>
      </x:c>
      <x:c r="R131" s="56" t="str">
        <x:v>receiver_feedback | receiver_feedback_exists</x:v>
      </x:c>
      <x:c r="S131" s="56" t="str">
        <x:v>captured_user_evidence para receiver_feedback; canonical_derivation para receiver_feedback_exists</x:v>
      </x:c>
      <x:c r="T131" s="56" t="str">
        <x:v>Bloque_3_Documento_Madre_Capa1_v2_1_EVE_rev3_alineado.docx</x:v>
      </x:c>
      <x:c r="U131" s="56" t="str">
        <x:v>1a89cff41291ec47ff29852a4f074dd1b4095fdc3772a8b98f568dc7de921b8e</x:v>
      </x:c>
      <x:c r="V131" s="56" t="str">
        <x:v>Texto libre</x:v>
      </x:c>
      <x:c r="W131" s="56" t="str">
        <x:v>Capturar texto literal sin clasificación semántica cliente.</x:v>
      </x:c>
      <x:c r="X131" s="56" t="str">
        <x:v>scalar:string</x:v>
      </x:c>
      <x:c r="Y131" s="56" t="str">
        <x:v>No aplica</x:v>
      </x:c>
      <x:c r="Z131" s="56" t="str">
        <x:v>slot_ref server-issued; valor humano únicamente.</x:v>
      </x:c>
      <x:c r="AA131" s="56" t="str">
        <x:v>EXPLICIT_FIELD_TYPE</x:v>
      </x:c>
      <x:c r="AB131" s="56" t="str">
        <x:v>Pantalla específica Bloque 3</x:v>
      </x:c>
      <x:c r="AC131" s="66" t="str"/>
      <x:c r="AD131" s="66" t="str">
        <x:v>No evaluado</x:v>
      </x:c>
      <x:c r="AE131" s="66" t="str">
        <x:v>No evaluado</x:v>
      </x:c>
      <x:c r="AF131" s="66" t="str">
        <x:v>No evaluado</x:v>
      </x:c>
      <x:c r="AG131" s="66" t="str">
        <x:v>No ejecutado</x:v>
      </x:c>
      <x:c r="AH131" s="68" t="str">
        <x:f>IF(AND(AD131="No evaluado",AE131="No evaluado",AF131="No evaluado",AG131="No ejecutado"),"No evaluado",IF(OR(AD131="Bloqueado",AE131="Bloqueado",AF131="Bloqueado",AG131="Bloqueado"),"Bloqueado",IF(OR(AE131="No conforme",AF131="No conforme",AG131="Falló"),"No conforme",IF(AND(OR(AD131="Implementado",AD131="No aplica"),OR(AE131="Conforme",AE131="No aplica"),OR(AF131="Conforme",AF131="No aplica"),OR(AG131="Pasó",AG131="No aplica")),"Conforme","Parcial"))))</x:f>
        <x:v>No evaluado</x:v>
      </x:c>
      <x:c r="AI131" s="56" t="str">
        <x:v>Compatible</x:v>
      </x:c>
      <x:c r="AJ131" s="66" t="str"/>
      <x:c r="AK131" s="66" t="str"/>
      <x:c r="AL131" s="56" t="str">
        <x:v>VALIDATED_044A3M / 170 identity tuples</x:v>
      </x:c>
      <x:c r="AM131" s="56" t="str">
        <x:v>TR-005; TR-006; TR-008; TR-016; TR-019; TR-028; TR-029</x:v>
      </x:c>
      <x:c r="AN131" s="66" t="str"/>
    </x:row>
    <x:row r="132" ht="58" customHeight="1">
      <x:c r="A132" s="56" t="str">
        <x:v>C09</x:v>
      </x:c>
      <x:c r="B132" s="56" t="str">
        <x:v>3</x:v>
      </x:c>
      <x:c r="C132" s="56" t="str">
        <x:v>causal_20</x:v>
      </x:c>
      <x:c r="D132" s="56" t="n">
        <x:v>9</x:v>
      </x:c>
      <x:c r="E132" s="56" t="n">
        <x:v>2</x:v>
      </x:c>
      <x:c r="F132" s="56" t="str">
        <x:v>B3_3_D</x:v>
      </x:c>
      <x:c r="G132" s="56" t="str">
        <x:v>3.D</x:v>
      </x:c>
      <x:c r="H132" s="56" t="str">
        <x:v>¿El receptor solo queda insatisfecho o además avisa, rechaza, devuelve, corrige, pide cambio o detiene el siguiente paso? ¿Cómo se ve eso en la operación?</x:v>
      </x:c>
      <x:c r="I132" s="56" t="str">
        <x:v>Esta aclaración separa evaluación del receptor de feedback operativo. Queremos saber si existe una señal visible que active corrección, devolución, recontacto, espera, rework o escalamiento.</x:v>
      </x:c>
      <x:c r="J132" s="56" t="str">
        <x:v>free_text</x:v>
      </x:c>
      <x:c r="K132" s="56" t="str">
        <x:v>free_text</x:v>
      </x:c>
      <x:c r="L132" s="56" t="str">
        <x:v>N/A</x:v>
      </x:c>
      <x:c r="M132" s="56" t="str">
        <x:v>Obligatoria si se activa por ambigüedad en 3.13a.</x:v>
      </x:c>
      <x:c r="N132" s="56" t="str">
        <x:v>Visible si 3.10 indica falla de entrega y 3.13a está vacía, genérica o responde solo satisfacción/insatisfacción sin indicar si el receptor avisa, devuelve, corrige, bloquea, recontacta o pide cambio.</x:v>
      </x:c>
      <x:c r="O132" s="56" t="str">
        <x:v>Si aclara una señal operativa visible, actualizar receiver_feedback y derivar receiver_feedback_exists = true. Si aclara que no hay señal visible, derivar receiver_feedback_exists = false. Si persiste ambigüedad, mantener receiver_feedback_gap_flag.</x:v>
      </x:c>
      <x:c r="P132" s="56" t="str">
        <x:v>visible_capture</x:v>
      </x:c>
      <x:c r="Q132" s="56" t="str">
        <x:v>CLARIFICATION_WITH_EXPLICIT_DERIVATION</x:v>
      </x:c>
      <x:c r="R132" s="56" t="str">
        <x:v>receiver_feedback | receiver_feedback_exists | receiver_feedback_gap_flag</x:v>
      </x:c>
      <x:c r="S132" s="56" t="str">
        <x:v>clarification</x:v>
      </x:c>
      <x:c r="T132" s="56" t="str">
        <x:v>Bloque_3_Documento_Madre_Capa1_v2_1_EVE_rev3_alineado.docx</x:v>
      </x:c>
      <x:c r="U132" s="56" t="str">
        <x:v>1a89cff41291ec47ff29852a4f074dd1b4095fdc3772a8b98f568dc7de921b8e</x:v>
      </x:c>
      <x:c r="V132" s="56" t="str">
        <x:v>Texto libre</x:v>
      </x:c>
      <x:c r="W132" s="56" t="str">
        <x:v>Capturar texto literal sin clasificación semántica cliente.</x:v>
      </x:c>
      <x:c r="X132" s="56" t="str">
        <x:v>scalar:string</x:v>
      </x:c>
      <x:c r="Y132" s="56" t="str">
        <x:v>No aplica</x:v>
      </x:c>
      <x:c r="Z132" s="56" t="str">
        <x:v>slot_ref server-issued; valor humano únicamente.</x:v>
      </x:c>
      <x:c r="AA132" s="56" t="str">
        <x:v>EXPLICIT_FIELD_TYPE</x:v>
      </x:c>
      <x:c r="AB132" s="56" t="str">
        <x:v>Pantalla específica Bloque 3</x:v>
      </x:c>
      <x:c r="AC132" s="66" t="str"/>
      <x:c r="AD132" s="66" t="str">
        <x:v>No evaluado</x:v>
      </x:c>
      <x:c r="AE132" s="66" t="str">
        <x:v>No evaluado</x:v>
      </x:c>
      <x:c r="AF132" s="66" t="str">
        <x:v>No evaluado</x:v>
      </x:c>
      <x:c r="AG132" s="66" t="str">
        <x:v>No ejecutado</x:v>
      </x:c>
      <x:c r="AH132" s="68" t="str">
        <x:f>IF(AND(AD132="No evaluado",AE132="No evaluado",AF132="No evaluado",AG132="No ejecutado"),"No evaluado",IF(OR(AD132="Bloqueado",AE132="Bloqueado",AF132="Bloqueado",AG132="Bloqueado"),"Bloqueado",IF(OR(AE132="No conforme",AF132="No conforme",AG132="Falló"),"No conforme",IF(AND(OR(AD132="Implementado",AD132="No aplica"),OR(AE132="Conforme",AE132="No aplica"),OR(AF132="Conforme",AF132="No aplica"),OR(AG132="Pasó",AG132="No aplica")),"Conforme","Parcial"))))</x:f>
        <x:v>No evaluado</x:v>
      </x:c>
      <x:c r="AI132" s="56" t="str">
        <x:v>Compatible</x:v>
      </x:c>
      <x:c r="AJ132" s="66" t="str"/>
      <x:c r="AK132" s="66" t="str"/>
      <x:c r="AL132" s="56" t="str">
        <x:v>VALIDATED_044A3M / 170 identity tuples</x:v>
      </x:c>
      <x:c r="AM132" s="56" t="str">
        <x:v>TR-005; TR-006; TR-008; TR-016; TR-019; TR-028; TR-029</x:v>
      </x:c>
      <x:c r="AN132" s="66" t="str"/>
    </x:row>
    <x:row r="133" ht="58" customHeight="1">
      <x:c r="A133" s="56" t="str">
        <x:v>C10</x:v>
      </x:c>
      <x:c r="B133" s="56" t="str">
        <x:v>3</x:v>
      </x:c>
      <x:c r="C133" s="56" t="str">
        <x:v>causal_20</x:v>
      </x:c>
      <x:c r="D133" s="56" t="n">
        <x:v>10</x:v>
      </x:c>
      <x:c r="E133" s="56" t="n">
        <x:v>1</x:v>
      </x:c>
      <x:c r="F133" s="56" t="str">
        <x:v>B3_3_6</x:v>
      </x:c>
      <x:c r="G133" s="56" t="str">
        <x:v>3.6</x:v>
      </x:c>
      <x:c r="H133" s="56" t="str">
        <x:v>¿Hay otros actores que también reciben o necesitan acceso a lo que entregas?</x:v>
      </x:c>
      <x:c r="I133" s="56" t="str">
        <x:v>Selecciona solo los que realmente reciben o necesitan acceso, no todos los interesados que solo lo necesitan de manera secundaria. Máximo recomendado: tres.</x:v>
      </x:c>
      <x:c r="J133" s="56" t="str">
        <x:v>multi_choice</x:v>
      </x:c>
      <x:c r="K133" s="56" t="str">
        <x:v>multi_choice</x:v>
      </x:c>
      <x:c r="L133" s="56" t="str">
        <x:v>Auditoría o compliance; Finanzas o contabilidad; Gerencia o dirección; Cliente final; Proveedor o socio; Otro equipo; No, solo el receptor principal</x:v>
      </x:c>
      <x:c r="M133" s="56" t="str">
        <x:v>Siempre obligatoria.</x:v>
      </x:c>
      <x:c r="N133" s="56" t="str">
        <x:v>Siempre visible.</x:v>
      </x:c>
      <x:c r="O133" s="56" t="str">
        <x:v>Si se marca No, solo el receptor principal, no deben seleccionarse otras opciones. Si se marca Otro equipo, pedir especificación. Regla técnica de UI: si se marca "No, solo el receptor principal", debe actuar como opción exclusiva.</x:v>
      </x:c>
      <x:c r="P133" s="56" t="str">
        <x:v>visible_capture</x:v>
      </x:c>
      <x:c r="Q133" s="56" t="str">
        <x:v>DIRECT_CAPTURE_ONLY</x:v>
      </x:c>
      <x:c r="R133" s="56" t="str">
        <x:v>secondary_receivers</x:v>
      </x:c>
      <x:c r="S133" s="56" t="str">
        <x:v>captured_user_evidence</x:v>
      </x:c>
      <x:c r="T133" s="56" t="str">
        <x:v>Bloque_3_Documento_Madre_Capa1_v2_1_EVE_rev3_alineado.docx</x:v>
      </x:c>
      <x:c r="U133" s="56" t="str">
        <x:v>1a89cff41291ec47ff29852a4f074dd1b4095fdc3772a8b98f568dc7de921b8e</x:v>
      </x:c>
      <x:c r="V133" s="56" t="str">
        <x:v>Selección múltiple</x:v>
      </x:c>
      <x:c r="W133" s="56" t="str">
        <x:v>Mostrar opciones autorizadas; preservar conjunto exacto y exclusiones rectoras.</x:v>
      </x:c>
      <x:c r="X133" s="56" t="str">
        <x:v>array&lt;string&gt;</x:v>
      </x:c>
      <x:c r="Y133" s="56" t="str">
        <x:v>Campo options rector</x:v>
      </x:c>
      <x:c r="Z133" s="56" t="str">
        <x:v>slot_ref server-issued; cada selección conserva código literal.</x:v>
      </x:c>
      <x:c r="AA133" s="56" t="str">
        <x:v>EXPLICIT_FIELD_TYPE</x:v>
      </x:c>
      <x:c r="AB133" s="56" t="str">
        <x:v>Pantalla específica Bloque 3</x:v>
      </x:c>
      <x:c r="AC133" s="66" t="str"/>
      <x:c r="AD133" s="66" t="str">
        <x:v>No evaluado</x:v>
      </x:c>
      <x:c r="AE133" s="66" t="str">
        <x:v>No evaluado</x:v>
      </x:c>
      <x:c r="AF133" s="66" t="str">
        <x:v>No evaluado</x:v>
      </x:c>
      <x:c r="AG133" s="66" t="str">
        <x:v>No ejecutado</x:v>
      </x:c>
      <x:c r="AH133" s="68" t="str">
        <x:f>IF(AND(AD133="No evaluado",AE133="No evaluado",AF133="No evaluado",AG133="No ejecutado"),"No evaluado",IF(OR(AD133="Bloqueado",AE133="Bloqueado",AF133="Bloqueado",AG133="Bloqueado"),"Bloqueado",IF(OR(AE133="No conforme",AF133="No conforme",AG133="Falló"),"No conforme",IF(AND(OR(AD133="Implementado",AD133="No aplica"),OR(AE133="Conforme",AE133="No aplica"),OR(AF133="Conforme",AF133="No aplica"),OR(AG133="Pasó",AG133="No aplica")),"Conforme","Parcial"))))</x:f>
        <x:v>No evaluado</x:v>
      </x:c>
      <x:c r="AI133" s="56" t="str">
        <x:v>No conforme</x:v>
      </x:c>
      <x:c r="AJ133" s="66" t="str"/>
      <x:c r="AK133" s="66" t="str"/>
      <x:c r="AL133" s="56" t="str">
        <x:v>VALIDATED_044A3M / 170 identity tuples</x:v>
      </x:c>
      <x:c r="AM133" s="56" t="str">
        <x:v>TR-005; TR-006; TR-008; TR-016; TR-019; TR-028; TR-029</x:v>
      </x:c>
      <x:c r="AN133" s="66" t="str"/>
    </x:row>
    <x:row r="134" ht="58" customHeight="1">
      <x:c r="A134" s="56" t="str">
        <x:v>C11</x:v>
      </x:c>
      <x:c r="B134" s="56" t="str">
        <x:v>4</x:v>
      </x:c>
      <x:c r="C134" s="56" t="str">
        <x:v>causal_20</x:v>
      </x:c>
      <x:c r="D134" s="56" t="n">
        <x:v>11</x:v>
      </x:c>
      <x:c r="E134" s="56" t="n">
        <x:v>1</x:v>
      </x:c>
      <x:c r="F134" s="56" t="str">
        <x:v>B4_4_5b</x:v>
      </x:c>
      <x:c r="G134" s="56" t="str">
        <x:v>4.5b</x:v>
      </x:c>
      <x:c r="H134" s="56" t="str">
        <x:v>Cuando esto ocurre, ¿quién típicamente lo resuelve?</x:v>
      </x:c>
      <x:c r="I134" s="56" t="str">
        <x:v>Elige quién termina destrabando el proceso en la práctica. Si hace falta, especifica en texto abierto.</x:v>
      </x:c>
      <x:c r="J134" s="56" t="str">
        <x:v>single_choice</x:v>
      </x:c>
      <x:c r="K134" s="56" t="str">
        <x:v>single_choice</x:v>
      </x:c>
      <x:c r="L134" s="56" t="str">
        <x:v>Yo mismo; Mi jefe interviene; Alguien de otro equipo se da cuenta; Nadie, simplemente se atrasa todo; Otro</x:v>
      </x:c>
      <x:c r="M134" s="56" t="str">
        <x:v>Obligatoria si 4.5 indica bloqueo.</x:v>
      </x:c>
      <x:c r="N134" s="56" t="str">
        <x:v>Solo si 4.5 ≠ No.</x:v>
      </x:c>
      <x:c r="O134" s="56" t="str">
        <x:v>Puede activar 4.C si la resolución queda vacía o contradictoria.</x:v>
      </x:c>
      <x:c r="P134" s="56" t="str">
        <x:v>visible_capture</x:v>
      </x:c>
      <x:c r="Q134" s="56" t="str">
        <x:v>DIRECT_CAPTURE_ONLY</x:v>
      </x:c>
      <x:c r="R134" s="56" t="str">
        <x:v>deadlock_resolution</x:v>
      </x:c>
      <x:c r="S134" s="56" t="str">
        <x:v>captured_user_evidence</x:v>
      </x:c>
      <x:c r="T134" s="56" t="str">
        <x:v>Bloque_4_Documento_Madre_Capa1_v2_1_EVE.docx</x:v>
      </x:c>
      <x:c r="U134" s="56" t="str">
        <x:v>b4dab985a18b32383fc8bb968cc41cab2781bbb50f9d53af834cb40d182d87c6</x:v>
      </x:c>
      <x:c r="V134" s="56" t="str">
        <x:v>Selección única</x:v>
      </x:c>
      <x:c r="W134" s="56" t="str">
        <x:v>Mostrar opciones autorizadas; permitir una sola selección; opción literal preservada.</x:v>
      </x:c>
      <x:c r="X134" s="56" t="str">
        <x:v>scalar:string</x:v>
      </x:c>
      <x:c r="Y134" s="56" t="str">
        <x:v>Campo options / catálogo dinámico rector</x:v>
      </x:c>
      <x:c r="Z134" s="56" t="str">
        <x:v>slot_ref server-issued; no mapear por label ni posición.</x:v>
      </x:c>
      <x:c r="AA134" s="56" t="str">
        <x:v>EXPLICIT_FIELD_TYPE</x:v>
      </x:c>
      <x:c r="AB134" s="56" t="str">
        <x:v>Pantalla específica Bloque 4</x:v>
      </x:c>
      <x:c r="AC134" s="66" t="str"/>
      <x:c r="AD134" s="66" t="str">
        <x:v>No evaluado</x:v>
      </x:c>
      <x:c r="AE134" s="66" t="str">
        <x:v>No evaluado</x:v>
      </x:c>
      <x:c r="AF134" s="66" t="str">
        <x:v>No evaluado</x:v>
      </x:c>
      <x:c r="AG134" s="66" t="str">
        <x:v>No ejecutado</x:v>
      </x:c>
      <x:c r="AH134" s="68" t="str">
        <x:f>IF(AND(AD134="No evaluado",AE134="No evaluado",AF134="No evaluado",AG134="No ejecutado"),"No evaluado",IF(OR(AD134="Bloqueado",AE134="Bloqueado",AF134="Bloqueado",AG134="Bloqueado"),"Bloqueado",IF(OR(AE134="No conforme",AF134="No conforme",AG134="Falló"),"No conforme",IF(AND(OR(AD134="Implementado",AD134="No aplica"),OR(AE134="Conforme",AE134="No aplica"),OR(AF134="Conforme",AF134="No aplica"),OR(AG134="Pasó",AG134="No aplica")),"Conforme","Parcial"))))</x:f>
        <x:v>No evaluado</x:v>
      </x:c>
      <x:c r="AI134" s="56" t="str">
        <x:v>No conforme</x:v>
      </x:c>
      <x:c r="AJ134" s="66" t="str"/>
      <x:c r="AK134" s="66" t="str"/>
      <x:c r="AL134" s="56" t="str">
        <x:v>VALIDATED_044A3M / 170 identity tuples</x:v>
      </x:c>
      <x:c r="AM134" s="56" t="str">
        <x:v>TR-005; TR-006; TR-008; TR-016; TR-019; TR-028; TR-029</x:v>
      </x:c>
      <x:c r="AN134" s="66" t="str"/>
    </x:row>
    <x:row r="135" ht="58" customHeight="1">
      <x:c r="A135" s="56" t="str">
        <x:v>C12</x:v>
      </x:c>
      <x:c r="B135" s="56" t="str">
        <x:v>4</x:v>
      </x:c>
      <x:c r="C135" s="56" t="str">
        <x:v>causal_20</x:v>
      </x:c>
      <x:c r="D135" s="56" t="n">
        <x:v>12</x:v>
      </x:c>
      <x:c r="E135" s="56" t="n">
        <x:v>1</x:v>
      </x:c>
      <x:c r="F135" s="56" t="str">
        <x:v>B4_4_6b</x:v>
      </x:c>
      <x:c r="G135" s="56" t="str">
        <x:v>4.6b</x:v>
      </x:c>
      <x:c r="H135" s="56" t="str">
        <x:v>¿Haces todas las repeticiones de una vez o las intercalas con otras actividades?</x:v>
      </x:c>
      <x:c r="I135" s="56" t="str">
        <x:v>La pregunta no mide cantidad, sino patrón de ejecución: lote, intercalado o variable.</x:v>
      </x:c>
      <x:c r="J135" s="56" t="str">
        <x:v>single_choice</x:v>
      </x:c>
      <x:c r="K135" s="56" t="str">
        <x:v>single_choice</x:v>
      </x:c>
      <x:c r="L135" s="56" t="str">
        <x:v>Todas de una vez (un lote); Las intercalo (una, luego otra cosa, luego otra); Depende del día o la urgencia</x:v>
      </x:c>
      <x:c r="M135" s="56" t="str">
        <x:v>Obligatoria si 4.6 indica repetición.</x:v>
      </x:c>
      <x:c r="N135" s="56" t="str">
        <x:v>Solo si 4.6 ≠ una sola vez.</x:v>
      </x:c>
      <x:c r="O135" s="56" t="str">
        <x:v>No activa nueva pregunta; densifica iteration_batching_mode.</x:v>
      </x:c>
      <x:c r="P135" s="56" t="str">
        <x:v>visible_capture</x:v>
      </x:c>
      <x:c r="Q135" s="56" t="str">
        <x:v>DIRECT_CAPTURE_ONLY</x:v>
      </x:c>
      <x:c r="R135" s="56" t="str">
        <x:v>iteration_batching_mode</x:v>
      </x:c>
      <x:c r="S135" s="56" t="str">
        <x:v>captured_user_evidence</x:v>
      </x:c>
      <x:c r="T135" s="56" t="str">
        <x:v>Bloque_4_Documento_Madre_Capa1_v2_1_EVE.docx</x:v>
      </x:c>
      <x:c r="U135" s="56" t="str">
        <x:v>b4dab985a18b32383fc8bb968cc41cab2781bbb50f9d53af834cb40d182d87c6</x:v>
      </x:c>
      <x:c r="V135" s="56" t="str">
        <x:v>Selección única</x:v>
      </x:c>
      <x:c r="W135" s="56" t="str">
        <x:v>Mostrar opciones autorizadas; permitir una sola selección; opción literal preservada.</x:v>
      </x:c>
      <x:c r="X135" s="56" t="str">
        <x:v>scalar:string</x:v>
      </x:c>
      <x:c r="Y135" s="56" t="str">
        <x:v>Campo options / catálogo dinámico rector</x:v>
      </x:c>
      <x:c r="Z135" s="56" t="str">
        <x:v>slot_ref server-issued; no mapear por label ni posición.</x:v>
      </x:c>
      <x:c r="AA135" s="56" t="str">
        <x:v>EXPLICIT_FIELD_TYPE</x:v>
      </x:c>
      <x:c r="AB135" s="56" t="str">
        <x:v>Pantalla específica Bloque 4</x:v>
      </x:c>
      <x:c r="AC135" s="66" t="str"/>
      <x:c r="AD135" s="66" t="str">
        <x:v>No evaluado</x:v>
      </x:c>
      <x:c r="AE135" s="66" t="str">
        <x:v>No evaluado</x:v>
      </x:c>
      <x:c r="AF135" s="66" t="str">
        <x:v>No evaluado</x:v>
      </x:c>
      <x:c r="AG135" s="66" t="str">
        <x:v>No ejecutado</x:v>
      </x:c>
      <x:c r="AH135" s="68" t="str">
        <x:f>IF(AND(AD135="No evaluado",AE135="No evaluado",AF135="No evaluado",AG135="No ejecutado"),"No evaluado",IF(OR(AD135="Bloqueado",AE135="Bloqueado",AF135="Bloqueado",AG135="Bloqueado"),"Bloqueado",IF(OR(AE135="No conforme",AF135="No conforme",AG135="Falló"),"No conforme",IF(AND(OR(AD135="Implementado",AD135="No aplica"),OR(AE135="Conforme",AE135="No aplica"),OR(AF135="Conforme",AF135="No aplica"),OR(AG135="Pasó",AG135="No aplica")),"Conforme","Parcial"))))</x:f>
        <x:v>No evaluado</x:v>
      </x:c>
      <x:c r="AI135" s="56" t="str">
        <x:v>No conforme</x:v>
      </x:c>
      <x:c r="AJ135" s="66" t="str"/>
      <x:c r="AK135" s="66" t="str"/>
      <x:c r="AL135" s="56" t="str">
        <x:v>VALIDATED_044A3M / 170 identity tuples</x:v>
      </x:c>
      <x:c r="AM135" s="56" t="str">
        <x:v>TR-005; TR-006; TR-008; TR-016; TR-019; TR-028; TR-029</x:v>
      </x:c>
      <x:c r="AN135" s="66" t="str"/>
    </x:row>
    <x:row r="136" ht="58" customHeight="1">
      <x:c r="A136" s="56" t="str">
        <x:v>C13</x:v>
      </x:c>
      <x:c r="B136" s="56" t="str">
        <x:v>4</x:v>
      </x:c>
      <x:c r="C136" s="56" t="str">
        <x:v>causal_20</x:v>
      </x:c>
      <x:c r="D136" s="56" t="n">
        <x:v>13</x:v>
      </x:c>
      <x:c r="E136" s="56" t="n">
        <x:v>1</x:v>
      </x:c>
      <x:c r="F136" s="56" t="str">
        <x:v>B4_4_7b</x:v>
      </x:c>
      <x:c r="G136" s="56" t="str">
        <x:v>4.7b</x:v>
      </x:c>
      <x:c r="H136" s="56" t="str">
        <x:v>¿Cuántos caminos diferentes hay típicamente?</x:v>
      </x:c>
      <x:c r="I136" s="56" t="str">
        <x:v>Elige la opción que mejor represente la diversidad típica de rutas.</x:v>
      </x:c>
      <x:c r="J136" s="56" t="str">
        <x:v>single_choice</x:v>
      </x:c>
      <x:c r="K136" s="56" t="str">
        <x:v>single_choice</x:v>
      </x:c>
      <x:c r="L136" s="56" t="str">
        <x:v>2 opciones; 3-4 opciones; Más de 4 opciones; Depende, puede haber muchas combinaciones</x:v>
      </x:c>
      <x:c r="M136" s="56" t="str">
        <x:v>Obligatoria si 4.7 indica caminos alternativos.</x:v>
      </x:c>
      <x:c r="N136" s="56" t="str">
        <x:v>Solo si 4.7 ≠ No, siempre es el mismo camino.</x:v>
      </x:c>
      <x:c r="O136" s="56" t="str">
        <x:v>Puede activar 4.C si la diversidad declarada contradice el resto del flujo.</x:v>
      </x:c>
      <x:c r="P136" s="56" t="str">
        <x:v>visible_capture</x:v>
      </x:c>
      <x:c r="Q136" s="56" t="str">
        <x:v>DIRECT_CAPTURE_ONLY</x:v>
      </x:c>
      <x:c r="R136" s="56" t="str">
        <x:v>route_alternative_count</x:v>
      </x:c>
      <x:c r="S136" s="56" t="str">
        <x:v>captured_user_evidence</x:v>
      </x:c>
      <x:c r="T136" s="56" t="str">
        <x:v>Bloque_4_Documento_Madre_Capa1_v2_1_EVE.docx</x:v>
      </x:c>
      <x:c r="U136" s="56" t="str">
        <x:v>b4dab985a18b32383fc8bb968cc41cab2781bbb50f9d53af834cb40d182d87c6</x:v>
      </x:c>
      <x:c r="V136" s="56" t="str">
        <x:v>Selección única</x:v>
      </x:c>
      <x:c r="W136" s="56" t="str">
        <x:v>Mostrar opciones autorizadas; permitir una sola selección; opción literal preservada.</x:v>
      </x:c>
      <x:c r="X136" s="56" t="str">
        <x:v>scalar:string</x:v>
      </x:c>
      <x:c r="Y136" s="56" t="str">
        <x:v>Campo options / catálogo dinámico rector</x:v>
      </x:c>
      <x:c r="Z136" s="56" t="str">
        <x:v>slot_ref server-issued; no mapear por label ni posición.</x:v>
      </x:c>
      <x:c r="AA136" s="56" t="str">
        <x:v>EXPLICIT_FIELD_TYPE</x:v>
      </x:c>
      <x:c r="AB136" s="56" t="str">
        <x:v>Pantalla específica Bloque 4</x:v>
      </x:c>
      <x:c r="AC136" s="66" t="str"/>
      <x:c r="AD136" s="66" t="str">
        <x:v>No evaluado</x:v>
      </x:c>
      <x:c r="AE136" s="66" t="str">
        <x:v>No evaluado</x:v>
      </x:c>
      <x:c r="AF136" s="66" t="str">
        <x:v>No evaluado</x:v>
      </x:c>
      <x:c r="AG136" s="66" t="str">
        <x:v>No ejecutado</x:v>
      </x:c>
      <x:c r="AH136" s="68" t="str">
        <x:f>IF(AND(AD136="No evaluado",AE136="No evaluado",AF136="No evaluado",AG136="No ejecutado"),"No evaluado",IF(OR(AD136="Bloqueado",AE136="Bloqueado",AF136="Bloqueado",AG136="Bloqueado"),"Bloqueado",IF(OR(AE136="No conforme",AF136="No conforme",AG136="Falló"),"No conforme",IF(AND(OR(AD136="Implementado",AD136="No aplica"),OR(AE136="Conforme",AE136="No aplica"),OR(AF136="Conforme",AF136="No aplica"),OR(AG136="Pasó",AG136="No aplica")),"Conforme","Parcial"))))</x:f>
        <x:v>No evaluado</x:v>
      </x:c>
      <x:c r="AI136" s="56" t="str">
        <x:v>No conforme</x:v>
      </x:c>
      <x:c r="AJ136" s="66" t="str"/>
      <x:c r="AK136" s="66" t="str"/>
      <x:c r="AL136" s="56" t="str">
        <x:v>VALIDATED_044A3M / 170 identity tuples</x:v>
      </x:c>
      <x:c r="AM136" s="56" t="str">
        <x:v>TR-005; TR-006; TR-008; TR-016; TR-019; TR-028; TR-029</x:v>
      </x:c>
      <x:c r="AN136" s="66" t="str"/>
    </x:row>
    <x:row r="137" ht="58" customHeight="1">
      <x:c r="A137" s="56" t="str">
        <x:v>C14</x:v>
      </x:c>
      <x:c r="B137" s="56" t="str">
        <x:v>4</x:v>
      </x:c>
      <x:c r="C137" s="56" t="str">
        <x:v>causal_20</x:v>
      </x:c>
      <x:c r="D137" s="56" t="n">
        <x:v>14</x:v>
      </x:c>
      <x:c r="E137" s="56" t="n">
        <x:v>1</x:v>
      </x:c>
      <x:c r="F137" s="56" t="str">
        <x:v>B4_4_9b</x:v>
      </x:c>
      <x:c r="G137" s="56" t="str">
        <x:v>4.9b</x:v>
      </x:c>
      <x:c r="H137" s="56" t="str">
        <x:v>¿Por qué haces esos pasos extras?</x:v>
      </x:c>
      <x:c r="I137" s="56" t="str">
        <x:v>Elige la razón más cercana. Si hace falta, especifica en texto abierto.</x:v>
      </x:c>
      <x:c r="J137" s="56" t="str">
        <x:v>single_choice</x:v>
      </x:c>
      <x:c r="K137" s="56" t="str">
        <x:v>single_choice</x:v>
      </x:c>
      <x:c r="L137" s="56" t="str">
        <x:v>Porque si no lo hago, los siguientes pasos fallan; Porque el sistema no funciona bien sin ellos; Porque hay errores que tengo que corregir; Porque nadie más lo hace y alguien tiene que hacerlo; Otro</x:v>
      </x:c>
      <x:c r="M137" s="56" t="str">
        <x:v>Obligatoria si 4.9 = Sí.</x:v>
      </x:c>
      <x:c r="N137" s="56" t="str">
        <x:v>Solo si 4.9 = Sí.</x:v>
      </x:c>
      <x:c r="O137" s="56" t="str">
        <x:v>Puede activar 4.B si la razón sigue siendo genérica o tautológica.</x:v>
      </x:c>
      <x:c r="P137" s="56" t="str">
        <x:v>visible_capture</x:v>
      </x:c>
      <x:c r="Q137" s="56" t="str">
        <x:v>DIRECT_CAPTURE_ONLY</x:v>
      </x:c>
      <x:c r="R137" s="56" t="str">
        <x:v>hidden_subprocess_reason</x:v>
      </x:c>
      <x:c r="S137" s="56" t="str">
        <x:v>captured_user_evidence</x:v>
      </x:c>
      <x:c r="T137" s="56" t="str">
        <x:v>Bloque_4_Documento_Madre_Capa1_v2_1_EVE.docx</x:v>
      </x:c>
      <x:c r="U137" s="56" t="str">
        <x:v>b4dab985a18b32383fc8bb968cc41cab2781bbb50f9d53af834cb40d182d87c6</x:v>
      </x:c>
      <x:c r="V137" s="56" t="str">
        <x:v>Selección única</x:v>
      </x:c>
      <x:c r="W137" s="56" t="str">
        <x:v>Mostrar opciones autorizadas; permitir una sola selección; opción literal preservada.</x:v>
      </x:c>
      <x:c r="X137" s="56" t="str">
        <x:v>scalar:string</x:v>
      </x:c>
      <x:c r="Y137" s="56" t="str">
        <x:v>Campo options / catálogo dinámico rector</x:v>
      </x:c>
      <x:c r="Z137" s="56" t="str">
        <x:v>slot_ref server-issued; no mapear por label ni posición.</x:v>
      </x:c>
      <x:c r="AA137" s="56" t="str">
        <x:v>EXPLICIT_FIELD_TYPE</x:v>
      </x:c>
      <x:c r="AB137" s="56" t="str">
        <x:v>Pantalla específica Bloque 4</x:v>
      </x:c>
      <x:c r="AC137" s="66" t="str"/>
      <x:c r="AD137" s="66" t="str">
        <x:v>No evaluado</x:v>
      </x:c>
      <x:c r="AE137" s="66" t="str">
        <x:v>No evaluado</x:v>
      </x:c>
      <x:c r="AF137" s="66" t="str">
        <x:v>No evaluado</x:v>
      </x:c>
      <x:c r="AG137" s="66" t="str">
        <x:v>No ejecutado</x:v>
      </x:c>
      <x:c r="AH137" s="68" t="str">
        <x:f>IF(AND(AD137="No evaluado",AE137="No evaluado",AF137="No evaluado",AG137="No ejecutado"),"No evaluado",IF(OR(AD137="Bloqueado",AE137="Bloqueado",AF137="Bloqueado",AG137="Bloqueado"),"Bloqueado",IF(OR(AE137="No conforme",AF137="No conforme",AG137="Falló"),"No conforme",IF(AND(OR(AD137="Implementado",AD137="No aplica"),OR(AE137="Conforme",AE137="No aplica"),OR(AF137="Conforme",AF137="No aplica"),OR(AG137="Pasó",AG137="No aplica")),"Conforme","Parcial"))))</x:f>
        <x:v>No evaluado</x:v>
      </x:c>
      <x:c r="AI137" s="56" t="str">
        <x:v>No conforme</x:v>
      </x:c>
      <x:c r="AJ137" s="66" t="str"/>
      <x:c r="AK137" s="66" t="str"/>
      <x:c r="AL137" s="56" t="str">
        <x:v>VALIDATED_044A3M / 170 identity tuples</x:v>
      </x:c>
      <x:c r="AM137" s="56" t="str">
        <x:v>TR-005; TR-006; TR-008; TR-016; TR-019; TR-028; TR-029</x:v>
      </x:c>
      <x:c r="AN137" s="66" t="str"/>
    </x:row>
    <x:row r="138" ht="58" customHeight="1">
      <x:c r="A138" s="56" t="str">
        <x:v>C14</x:v>
      </x:c>
      <x:c r="B138" s="56" t="str">
        <x:v>4</x:v>
      </x:c>
      <x:c r="C138" s="56" t="str">
        <x:v>causal_20</x:v>
      </x:c>
      <x:c r="D138" s="56" t="n">
        <x:v>14</x:v>
      </x:c>
      <x:c r="E138" s="56" t="n">
        <x:v>2</x:v>
      </x:c>
      <x:c r="F138" s="56" t="str">
        <x:v>B4_4_10b</x:v>
      </x:c>
      <x:c r="G138" s="56" t="str">
        <x:v>4.10b</x:v>
      </x:c>
      <x:c r="H138" s="56" t="str">
        <x:v>¿Por qué cambias el orden?</x:v>
      </x:c>
      <x:c r="I138" s="56" t="str">
        <x:v>Elige la razón principal. Si hace falta, agrega detalle.</x:v>
      </x:c>
      <x:c r="J138" s="56" t="str">
        <x:v>single_choice</x:v>
      </x:c>
      <x:c r="K138" s="56" t="str">
        <x:v>single_choice</x:v>
      </x:c>
      <x:c r="L138" s="56" t="str">
        <x:v>Porque es más eficiente así; Porque el siguiente paso no está listo, así que hago otro primero; Porque hay una urgencia que me obliga a cambiar el orden; Porque el proceso oficial no funciona en la práctica; Otro</x:v>
      </x:c>
      <x:c r="M138" s="56" t="str">
        <x:v>Obligatoria si 4.10 = Sí.</x:v>
      </x:c>
      <x:c r="N138" s="56" t="str">
        <x:v>Solo si 4.10 = Sí.</x:v>
      </x:c>
      <x:c r="O138" s="56" t="str">
        <x:v>Puede activar 4.B si la razón queda genérica o incompatible con 4.3 / 4.5 / 4.12.</x:v>
      </x:c>
      <x:c r="P138" s="56" t="str">
        <x:v>visible_capture</x:v>
      </x:c>
      <x:c r="Q138" s="56" t="str">
        <x:v>DIRECT_CAPTURE_ONLY</x:v>
      </x:c>
      <x:c r="R138" s="56" t="str">
        <x:v>sequence_change_reason</x:v>
      </x:c>
      <x:c r="S138" s="56" t="str">
        <x:v>captured_user_evidence</x:v>
      </x:c>
      <x:c r="T138" s="56" t="str">
        <x:v>Bloque_4_Documento_Madre_Capa1_v2_1_EVE.docx</x:v>
      </x:c>
      <x:c r="U138" s="56" t="str">
        <x:v>b4dab985a18b32383fc8bb968cc41cab2781bbb50f9d53af834cb40d182d87c6</x:v>
      </x:c>
      <x:c r="V138" s="56" t="str">
        <x:v>Selección única</x:v>
      </x:c>
      <x:c r="W138" s="56" t="str">
        <x:v>Mostrar opciones autorizadas; permitir una sola selección; opción literal preservada.</x:v>
      </x:c>
      <x:c r="X138" s="56" t="str">
        <x:v>scalar:string</x:v>
      </x:c>
      <x:c r="Y138" s="56" t="str">
        <x:v>Campo options / catálogo dinámico rector</x:v>
      </x:c>
      <x:c r="Z138" s="56" t="str">
        <x:v>slot_ref server-issued; no mapear por label ni posición.</x:v>
      </x:c>
      <x:c r="AA138" s="56" t="str">
        <x:v>EXPLICIT_FIELD_TYPE</x:v>
      </x:c>
      <x:c r="AB138" s="56" t="str">
        <x:v>Pantalla específica Bloque 4</x:v>
      </x:c>
      <x:c r="AC138" s="66" t="str"/>
      <x:c r="AD138" s="66" t="str">
        <x:v>No evaluado</x:v>
      </x:c>
      <x:c r="AE138" s="66" t="str">
        <x:v>No evaluado</x:v>
      </x:c>
      <x:c r="AF138" s="66" t="str">
        <x:v>No evaluado</x:v>
      </x:c>
      <x:c r="AG138" s="66" t="str">
        <x:v>No ejecutado</x:v>
      </x:c>
      <x:c r="AH138" s="68" t="str">
        <x:f>IF(AND(AD138="No evaluado",AE138="No evaluado",AF138="No evaluado",AG138="No ejecutado"),"No evaluado",IF(OR(AD138="Bloqueado",AE138="Bloqueado",AF138="Bloqueado",AG138="Bloqueado"),"Bloqueado",IF(OR(AE138="No conforme",AF138="No conforme",AG138="Falló"),"No conforme",IF(AND(OR(AD138="Implementado",AD138="No aplica"),OR(AE138="Conforme",AE138="No aplica"),OR(AF138="Conforme",AF138="No aplica"),OR(AG138="Pasó",AG138="No aplica")),"Conforme","Parcial"))))</x:f>
        <x:v>No evaluado</x:v>
      </x:c>
      <x:c r="AI138" s="56" t="str">
        <x:v>No conforme</x:v>
      </x:c>
      <x:c r="AJ138" s="66" t="str"/>
      <x:c r="AK138" s="66" t="str"/>
      <x:c r="AL138" s="56" t="str">
        <x:v>VALIDATED_044A3M / 170 identity tuples</x:v>
      </x:c>
      <x:c r="AM138" s="56" t="str">
        <x:v>TR-005; TR-006; TR-008; TR-016; TR-019; TR-028; TR-029</x:v>
      </x:c>
      <x:c r="AN138" s="66" t="str"/>
    </x:row>
    <x:row r="139" ht="58" customHeight="1">
      <x:c r="A139" s="56" t="str">
        <x:v>C14</x:v>
      </x:c>
      <x:c r="B139" s="56" t="str">
        <x:v>4</x:v>
      </x:c>
      <x:c r="C139" s="56" t="str">
        <x:v>causal_20</x:v>
      </x:c>
      <x:c r="D139" s="56" t="n">
        <x:v>14</x:v>
      </x:c>
      <x:c r="E139" s="56" t="n">
        <x:v>3</x:v>
      </x:c>
      <x:c r="F139" s="56" t="str">
        <x:v>B4_4_B</x:v>
      </x:c>
      <x:c r="G139" s="56" t="str">
        <x:v>4.B</x:v>
      </x:c>
      <x:c r="H139" s="56" t="str">
        <x:v>Mencionaste pasos extras o cambio de orden, pero todavía no se ve bien qué pasa en la práctica. ¿Cuál es el caso típico más claro?</x:v>
      </x:c>
      <x:c r="I139" s="56" t="str">
        <x:v>Queremos un ejemplo concreto del paso extra o del cambio de orden que mejor muestre la desviación real. Ejemplo: El procedimiento dice que debo esperar aprobación del jefe. Pero el jefe tarda días. Así que empiezo el trabajo sin aprobación y le aviso después</x:v>
      </x:c>
      <x:c r="J139" s="56" t="str">
        <x:v>free_text</x:v>
      </x:c>
      <x:c r="K139" s="56" t="str">
        <x:v>clarification</x:v>
      </x:c>
      <x:c r="L139" s="56" t="str">
        <x:v>N/A</x:v>
      </x:c>
      <x:c r="M139" s="56" t="str">
        <x:v>Solo por flag.</x:v>
      </x:c>
      <x:c r="N139" s="56" t="str">
        <x:v>Por flag.</x:v>
      </x:c>
      <x:c r="O139" s="56" t="str">
        <x:v>Densifica hidden_subprocess_reason o sequence_change_reason.</x:v>
      </x:c>
      <x:c r="P139" s="56" t="str">
        <x:v>conditional_clarification</x:v>
      </x:c>
      <x:c r="Q139" s="56" t="str">
        <x:v>CLARIFICATION_SEPARATE</x:v>
      </x:c>
      <x:c r="R139" s="56" t="str">
        <x:v>flow_workaround_clarification</x:v>
      </x:c>
      <x:c r="S139" s="56" t="str">
        <x:v>clarification</x:v>
      </x:c>
      <x:c r="T139" s="56" t="str">
        <x:v>Bloque_4_Documento_Madre_Capa1_v2_1_EVE.docx</x:v>
      </x:c>
      <x:c r="U139" s="56" t="str">
        <x:v>b4dab985a18b32383fc8bb968cc41cab2781bbb50f9d53af834cb40d182d87c6</x:v>
      </x:c>
      <x:c r="V139" s="56" t="str">
        <x:v>Texto libre</x:v>
      </x:c>
      <x:c r="W139" s="56" t="str">
        <x:v>Capturar texto literal sin clasificación semántica cliente.</x:v>
      </x:c>
      <x:c r="X139" s="56" t="str">
        <x:v>scalar:string</x:v>
      </x:c>
      <x:c r="Y139" s="56" t="str">
        <x:v>No aplica</x:v>
      </x:c>
      <x:c r="Z139" s="56" t="str">
        <x:v>slot_ref server-issued; valor humano únicamente.</x:v>
      </x:c>
      <x:c r="AA139" s="56" t="str">
        <x:v>EXPLICIT_FIELD_TYPE</x:v>
      </x:c>
      <x:c r="AB139" s="56" t="str">
        <x:v>Pantalla específica Bloque 4</x:v>
      </x:c>
      <x:c r="AC139" s="66" t="str"/>
      <x:c r="AD139" s="66" t="str">
        <x:v>No evaluado</x:v>
      </x:c>
      <x:c r="AE139" s="66" t="str">
        <x:v>No evaluado</x:v>
      </x:c>
      <x:c r="AF139" s="66" t="str">
        <x:v>No evaluado</x:v>
      </x:c>
      <x:c r="AG139" s="66" t="str">
        <x:v>No ejecutado</x:v>
      </x:c>
      <x:c r="AH139" s="68" t="str">
        <x:f>IF(AND(AD139="No evaluado",AE139="No evaluado",AF139="No evaluado",AG139="No ejecutado"),"No evaluado",IF(OR(AD139="Bloqueado",AE139="Bloqueado",AF139="Bloqueado",AG139="Bloqueado"),"Bloqueado",IF(OR(AE139="No conforme",AF139="No conforme",AG139="Falló"),"No conforme",IF(AND(OR(AD139="Implementado",AD139="No aplica"),OR(AE139="Conforme",AE139="No aplica"),OR(AF139="Conforme",AF139="No aplica"),OR(AG139="Pasó",AG139="No aplica")),"Conforme","Parcial"))))</x:f>
        <x:v>No evaluado</x:v>
      </x:c>
      <x:c r="AI139" s="56" t="str">
        <x:v>Compatible</x:v>
      </x:c>
      <x:c r="AJ139" s="66" t="str"/>
      <x:c r="AK139" s="66" t="str"/>
      <x:c r="AL139" s="56" t="str">
        <x:v>VALIDATED_044A3M / 170 identity tuples</x:v>
      </x:c>
      <x:c r="AM139" s="56" t="str">
        <x:v>TR-005; TR-006; TR-008; TR-016; TR-019; TR-028; TR-029</x:v>
      </x:c>
      <x:c r="AN139" s="66" t="str"/>
    </x:row>
    <x:row r="140" ht="58" customHeight="1">
      <x:c r="A140" s="56" t="str">
        <x:v>C14</x:v>
      </x:c>
      <x:c r="B140" s="56" t="str">
        <x:v>4</x:v>
      </x:c>
      <x:c r="C140" s="56" t="str">
        <x:v>causal_20</x:v>
      </x:c>
      <x:c r="D140" s="56" t="n">
        <x:v>14</x:v>
      </x:c>
      <x:c r="E140" s="56" t="n">
        <x:v>4</x:v>
      </x:c>
      <x:c r="F140" s="56" t="str">
        <x:v>B4_4_C</x:v>
      </x:c>
      <x:c r="G140" s="56" t="str">
        <x:v>4.C</x:v>
      </x:c>
      <x:c r="H140" s="56" t="str">
        <x:v>Veo señales de bloqueo, caminos alternativos o paralelismo, pero todavía no se entiende bien cómo se conectan. ¿Cuál sería la situación típica más representativa?</x:v>
      </x:c>
      <x:c r="I140" s="56" t="str">
        <x:v>Describe la situación típica que mejor muestre el bloqueo, la espera mutua, el camino alternativo o la simultaneidad. Ejemplo: Normalmente preparo el pedido y espero a que el repartidor lo recoja. Pero a veces el repartidor no llega y yo tengo que guardar el pedido en refrigeración. Mientras espero, sigo preparando otros pedidos. Si el repartidor llega tarde, tengo que recalentar el pedido. Si no llega en todo el día, tengo que cancelarlo</x:v>
      </x:c>
      <x:c r="J140" s="56" t="str">
        <x:v>free_text</x:v>
      </x:c>
      <x:c r="K140" s="56" t="str">
        <x:v>clarification</x:v>
      </x:c>
      <x:c r="L140" s="56" t="str">
        <x:v>N/A</x:v>
      </x:c>
      <x:c r="M140" s="56" t="str">
        <x:v>Solo por flag.</x:v>
      </x:c>
      <x:c r="N140" s="56" t="str">
        <x:v>Por flag.</x:v>
      </x:c>
      <x:c r="O140" s="56" t="str">
        <x:v>Densifica deadlock_risk, route_alternatives o parallelism_type sin reemplazar evidencia previa.</x:v>
      </x:c>
      <x:c r="P140" s="56" t="str">
        <x:v>conditional_clarification</x:v>
      </x:c>
      <x:c r="Q140" s="56" t="str">
        <x:v>CLARIFICATION_SEPARATE</x:v>
      </x:c>
      <x:c r="R140" s="56" t="str">
        <x:v>flow_nonlinearity_clarification</x:v>
      </x:c>
      <x:c r="S140" s="56" t="str">
        <x:v>clarification</x:v>
      </x:c>
      <x:c r="T140" s="56" t="str">
        <x:v>Bloque_4_Documento_Madre_Capa1_v2_1_EVE.docx</x:v>
      </x:c>
      <x:c r="U140" s="56" t="str">
        <x:v>b4dab985a18b32383fc8bb968cc41cab2781bbb50f9d53af834cb40d182d87c6</x:v>
      </x:c>
      <x:c r="V140" s="56" t="str">
        <x:v>Texto libre</x:v>
      </x:c>
      <x:c r="W140" s="56" t="str">
        <x:v>Capturar texto literal sin clasificación semántica cliente.</x:v>
      </x:c>
      <x:c r="X140" s="56" t="str">
        <x:v>scalar:string</x:v>
      </x:c>
      <x:c r="Y140" s="56" t="str">
        <x:v>No aplica</x:v>
      </x:c>
      <x:c r="Z140" s="56" t="str">
        <x:v>slot_ref server-issued; valor humano únicamente.</x:v>
      </x:c>
      <x:c r="AA140" s="56" t="str">
        <x:v>EXPLICIT_FIELD_TYPE</x:v>
      </x:c>
      <x:c r="AB140" s="56" t="str">
        <x:v>Pantalla específica Bloque 4</x:v>
      </x:c>
      <x:c r="AC140" s="66" t="str"/>
      <x:c r="AD140" s="66" t="str">
        <x:v>No evaluado</x:v>
      </x:c>
      <x:c r="AE140" s="66" t="str">
        <x:v>No evaluado</x:v>
      </x:c>
      <x:c r="AF140" s="66" t="str">
        <x:v>No evaluado</x:v>
      </x:c>
      <x:c r="AG140" s="66" t="str">
        <x:v>No ejecutado</x:v>
      </x:c>
      <x:c r="AH140" s="68" t="str">
        <x:f>IF(AND(AD140="No evaluado",AE140="No evaluado",AF140="No evaluado",AG140="No ejecutado"),"No evaluado",IF(OR(AD140="Bloqueado",AE140="Bloqueado",AF140="Bloqueado",AG140="Bloqueado"),"Bloqueado",IF(OR(AE140="No conforme",AF140="No conforme",AG140="Falló"),"No conforme",IF(AND(OR(AD140="Implementado",AD140="No aplica"),OR(AE140="Conforme",AE140="No aplica"),OR(AF140="Conforme",AF140="No aplica"),OR(AG140="Pasó",AG140="No aplica")),"Conforme","Parcial"))))</x:f>
        <x:v>No evaluado</x:v>
      </x:c>
      <x:c r="AI140" s="56" t="str">
        <x:v>Compatible</x:v>
      </x:c>
      <x:c r="AJ140" s="66" t="str"/>
      <x:c r="AK140" s="66" t="str"/>
      <x:c r="AL140" s="56" t="str">
        <x:v>VALIDATED_044A3M / 170 identity tuples</x:v>
      </x:c>
      <x:c r="AM140" s="56" t="str">
        <x:v>TR-005; TR-006; TR-008; TR-016; TR-019; TR-028; TR-029</x:v>
      </x:c>
      <x:c r="AN140" s="66" t="str"/>
    </x:row>
    <x:row r="141" ht="58" customHeight="1">
      <x:c r="A141" s="56" t="str">
        <x:v>C15</x:v>
      </x:c>
      <x:c r="B141" s="56" t="str">
        <x:v>5</x:v>
      </x:c>
      <x:c r="C141" s="56" t="str">
        <x:v>causal_20</x:v>
      </x:c>
      <x:c r="D141" s="56" t="n">
        <x:v>15</x:v>
      </x:c>
      <x:c r="E141" s="56" t="n">
        <x:v>1</x:v>
      </x:c>
      <x:c r="F141" s="56" t="str">
        <x:v>B5_5_13</x:v>
      </x:c>
      <x:c r="G141" s="56" t="str">
        <x:v>5.13</x:v>
      </x:c>
      <x:c r="H141" s="56" t="str">
        <x:v>Cuando algo se escapa de tu capacidad, ¿qué pasa?</x:v>
      </x:c>
      <x:c r="I141" s="56" t="str">
        <x:v>Cuando algo rebasa tu capacidad, queremos saber qué pasa en la práctica. ¿Se queda pendiente, lo absorbe alguien más, se retrasa, o termina resolviéndolo otro actor</x:v>
      </x:c>
      <x:c r="J141" s="56" t="str">
        <x:v>single_choice</x:v>
      </x:c>
      <x:c r="K141" s="56" t="str">
        <x:v>single_choice</x:v>
      </x:c>
      <x:c r="L141" s="56" t="str">
        <x:v>Se queda sin hacer / Lo hace mi jefe / Lo hace otro equipo / Se atrasa indefinidamente / El cliente lo resuelve / Otro</x:v>
      </x:c>
      <x:c r="M141" s="56" t="str">
        <x:v>Obligatoria si visible.</x:v>
      </x:c>
      <x:c r="N141" s="56" t="str">
        <x:v>Solo si 5.12 indica algo se escapa.</x:v>
      </x:c>
      <x:c r="O141" s="56" t="str">
        <x:v>Puede activar 5.C.</x:v>
      </x:c>
      <x:c r="P141" s="56" t="str">
        <x:v>visible_capture</x:v>
      </x:c>
      <x:c r="Q141" s="56" t="str">
        <x:v>DIRECT_CAPTURE_ONLY</x:v>
      </x:c>
      <x:c r="R141" s="56" t="str">
        <x:v>variedad_residual_destino_5_13</x:v>
      </x:c>
      <x:c r="S141" s="56" t="str">
        <x:v>captured_user_evidence</x:v>
      </x:c>
      <x:c r="T141" s="56" t="str">
        <x:v>Bloque_5_Documento_Madre_Capa1_v2_1_EVE_rev3.docx</x:v>
      </x:c>
      <x:c r="U141" s="56" t="str">
        <x:v>43c1d19ec3fd4e50f769dbd60d06685176c946a6364e3010b417cffff4266488</x:v>
      </x:c>
      <x:c r="V141" s="56" t="str">
        <x:v>Selección única</x:v>
      </x:c>
      <x:c r="W141" s="56" t="str">
        <x:v>Mostrar opciones autorizadas; permitir una sola selección; opción literal preservada.</x:v>
      </x:c>
      <x:c r="X141" s="56" t="str">
        <x:v>scalar:string</x:v>
      </x:c>
      <x:c r="Y141" s="56" t="str">
        <x:v>Campo options / catálogo dinámico rector</x:v>
      </x:c>
      <x:c r="Z141" s="56" t="str">
        <x:v>slot_ref server-issued; no mapear por label ni posición.</x:v>
      </x:c>
      <x:c r="AA141" s="56" t="str">
        <x:v>EXPLICIT_FIELD_TYPE</x:v>
      </x:c>
      <x:c r="AB141" s="56" t="str">
        <x:v>Pantalla específica Bloque 5</x:v>
      </x:c>
      <x:c r="AC141" s="66" t="str"/>
      <x:c r="AD141" s="66" t="str">
        <x:v>No evaluado</x:v>
      </x:c>
      <x:c r="AE141" s="66" t="str">
        <x:v>No evaluado</x:v>
      </x:c>
      <x:c r="AF141" s="66" t="str">
        <x:v>No evaluado</x:v>
      </x:c>
      <x:c r="AG141" s="66" t="str">
        <x:v>No ejecutado</x:v>
      </x:c>
      <x:c r="AH141" s="68" t="str">
        <x:f>IF(AND(AD141="No evaluado",AE141="No evaluado",AF141="No evaluado",AG141="No ejecutado"),"No evaluado",IF(OR(AD141="Bloqueado",AE141="Bloqueado",AF141="Bloqueado",AG141="Bloqueado"),"Bloqueado",IF(OR(AE141="No conforme",AF141="No conforme",AG141="Falló"),"No conforme",IF(AND(OR(AD141="Implementado",AD141="No aplica"),OR(AE141="Conforme",AE141="No aplica"),OR(AF141="Conforme",AF141="No aplica"),OR(AG141="Pasó",AG141="No aplica")),"Conforme","Parcial"))))</x:f>
        <x:v>No evaluado</x:v>
      </x:c>
      <x:c r="AI141" s="56" t="str">
        <x:v>No conforme</x:v>
      </x:c>
      <x:c r="AJ141" s="66" t="str"/>
      <x:c r="AK141" s="66" t="str"/>
      <x:c r="AL141" s="56" t="str">
        <x:v>VALIDATED_044A3M / 170 identity tuples</x:v>
      </x:c>
      <x:c r="AM141" s="56" t="str">
        <x:v>TR-005; TR-006; TR-008; TR-016; TR-019; TR-028; TR-029</x:v>
      </x:c>
      <x:c r="AN141" s="66" t="str"/>
    </x:row>
    <x:row r="142" ht="58" customHeight="1">
      <x:c r="A142" s="56" t="str">
        <x:v>C15</x:v>
      </x:c>
      <x:c r="B142" s="56" t="str">
        <x:v>5</x:v>
      </x:c>
      <x:c r="C142" s="56" t="str">
        <x:v>causal_20</x:v>
      </x:c>
      <x:c r="D142" s="56" t="n">
        <x:v>15</x:v>
      </x:c>
      <x:c r="E142" s="56" t="n">
        <x:v>2</x:v>
      </x:c>
      <x:c r="F142" s="56" t="str">
        <x:v>B5_5_14b</x:v>
      </x:c>
      <x:c r="G142" s="56" t="str">
        <x:v>5.14b</x:v>
      </x:c>
      <x:c r="H142" s="56" t="str">
        <x:v>¿Qué tendría que cambiar para que fuera justo o sostenible?</x:v>
      </x:c>
      <x:c r="I142" s="56" t="str">
        <x:v>Elige qué tendría que cambiar para que esta actividad fuera más justa y sostenible.</x:v>
      </x:c>
      <x:c r="J142" s="56" t="str">
        <x:v>multi_choice</x:v>
      </x:c>
      <x:c r="K142" s="56" t="str">
        <x:v>multi_choice</x:v>
      </x:c>
      <x:c r="L142" s="56" t="str">
        <x:v>Más personas / Mejor tecnología / Menos responsabilidades / Más tiempo / Más autonomía / Otro</x:v>
      </x:c>
      <x:c r="M142" s="56" t="str">
        <x:v>Obligatoria si visible.</x:v>
      </x:c>
      <x:c r="N142" s="56" t="str">
        <x:v>Solo si 5.14 indica tensión, sacrificio o insostenibilidad.</x:v>
      </x:c>
      <x:c r="O142" s="56" t="str">
        <x:v>N/A</x:v>
      </x:c>
      <x:c r="P142" s="56" t="str">
        <x:v>visible_capture</x:v>
      </x:c>
      <x:c r="Q142" s="56" t="str">
        <x:v>DIRECT_CAPTURE_ONLY</x:v>
      </x:c>
      <x:c r="R142" s="56" t="str">
        <x:v>resource_bargain_cambio_5_14b</x:v>
      </x:c>
      <x:c r="S142" s="56" t="str">
        <x:v>captured_user_evidence</x:v>
      </x:c>
      <x:c r="T142" s="56" t="str">
        <x:v>Bloque_5_Documento_Madre_Capa1_v2_1_EVE_rev3.docx</x:v>
      </x:c>
      <x:c r="U142" s="56" t="str">
        <x:v>43c1d19ec3fd4e50f769dbd60d06685176c946a6364e3010b417cffff4266488</x:v>
      </x:c>
      <x:c r="V142" s="56" t="str">
        <x:v>Selección múltiple</x:v>
      </x:c>
      <x:c r="W142" s="56" t="str">
        <x:v>Mostrar opciones autorizadas; preservar conjunto exacto y exclusiones rectoras.</x:v>
      </x:c>
      <x:c r="X142" s="56" t="str">
        <x:v>array&lt;string&gt;</x:v>
      </x:c>
      <x:c r="Y142" s="56" t="str">
        <x:v>Campo options rector</x:v>
      </x:c>
      <x:c r="Z142" s="56" t="str">
        <x:v>slot_ref server-issued; cada selección conserva código literal.</x:v>
      </x:c>
      <x:c r="AA142" s="56" t="str">
        <x:v>EXPLICIT_FIELD_TYPE</x:v>
      </x:c>
      <x:c r="AB142" s="56" t="str">
        <x:v>Pantalla específica Bloque 5</x:v>
      </x:c>
      <x:c r="AC142" s="66" t="str"/>
      <x:c r="AD142" s="66" t="str">
        <x:v>No evaluado</x:v>
      </x:c>
      <x:c r="AE142" s="66" t="str">
        <x:v>No evaluado</x:v>
      </x:c>
      <x:c r="AF142" s="66" t="str">
        <x:v>No evaluado</x:v>
      </x:c>
      <x:c r="AG142" s="66" t="str">
        <x:v>No ejecutado</x:v>
      </x:c>
      <x:c r="AH142" s="68" t="str">
        <x:f>IF(AND(AD142="No evaluado",AE142="No evaluado",AF142="No evaluado",AG142="No ejecutado"),"No evaluado",IF(OR(AD142="Bloqueado",AE142="Bloqueado",AF142="Bloqueado",AG142="Bloqueado"),"Bloqueado",IF(OR(AE142="No conforme",AF142="No conforme",AG142="Falló"),"No conforme",IF(AND(OR(AD142="Implementado",AD142="No aplica"),OR(AE142="Conforme",AE142="No aplica"),OR(AF142="Conforme",AF142="No aplica"),OR(AG142="Pasó",AG142="No aplica")),"Conforme","Parcial"))))</x:f>
        <x:v>No evaluado</x:v>
      </x:c>
      <x:c r="AI142" s="56" t="str">
        <x:v>No conforme</x:v>
      </x:c>
      <x:c r="AJ142" s="66" t="str"/>
      <x:c r="AK142" s="66" t="str"/>
      <x:c r="AL142" s="56" t="str">
        <x:v>VALIDATED_044A3M / 170 identity tuples</x:v>
      </x:c>
      <x:c r="AM142" s="56" t="str">
        <x:v>TR-005; TR-006; TR-008; TR-016; TR-019; TR-028; TR-029</x:v>
      </x:c>
      <x:c r="AN142" s="66" t="str"/>
    </x:row>
    <x:row r="143" ht="58" customHeight="1">
      <x:c r="A143" s="56" t="str">
        <x:v>C15</x:v>
      </x:c>
      <x:c r="B143" s="56" t="str">
        <x:v>5</x:v>
      </x:c>
      <x:c r="C143" s="56" t="str">
        <x:v>causal_20</x:v>
      </x:c>
      <x:c r="D143" s="56" t="n">
        <x:v>15</x:v>
      </x:c>
      <x:c r="E143" s="56" t="n">
        <x:v>3</x:v>
      </x:c>
      <x:c r="F143" s="56" t="str">
        <x:v>B5_5_A</x:v>
      </x:c>
      <x:c r="G143" s="56" t="str">
        <x:v>5.A</x:v>
      </x:c>
      <x:c r="H143" s="56" t="str">
        <x:v>Aclaración de comparabilidad métrica.</x:v>
      </x:c>
      <x:c r="I143" s="56" t="str">
        <x:v>Ayúdanos a precisar si aquí pesa más la cantidad de casos, la cantidad de personas o entidades que atiendes, o la complejidad de cada ejecución.</x:v>
      </x:c>
      <x:c r="J143" s="56" t="str">
        <x:v>clarification</x:v>
      </x:c>
      <x:c r="K143" s="56" t="str">
        <x:v>clarification</x:v>
      </x:c>
      <x:c r="L143" s="56" t="str">
        <x:v>N/A</x:v>
      </x:c>
      <x:c r="M143" s="56" t="str">
        <x:v>Solo si se activa el flag correspondiente.</x:v>
      </x:c>
      <x:c r="N143" s="56" t="str">
        <x:v>Condicional</x:v>
      </x:c>
      <x:c r="O143" s="56" t="str">
        <x:v>No crea nueva captura primaria; mejora consistencia.</x:v>
      </x:c>
      <x:c r="P143" s="56" t="str">
        <x:v>conditional_clarification</x:v>
      </x:c>
      <x:c r="Q143" s="56" t="str">
        <x:v>CLARIFICATION_SEPARATE</x:v>
      </x:c>
      <x:c r="R143" s="56" t="str">
        <x:v>capacity_clarification</x:v>
      </x:c>
      <x:c r="S143" s="56" t="str">
        <x:v>clarification</x:v>
      </x:c>
      <x:c r="T143" s="56" t="str">
        <x:v>Bloque_5_Documento_Madre_Capa1_v2_1_EVE_rev3.docx</x:v>
      </x:c>
      <x:c r="U143" s="56" t="str">
        <x:v>43c1d19ec3fd4e50f769dbd60d06685176c946a6364e3010b417cffff4266488</x:v>
      </x:c>
      <x:c r="V143" s="56" t="str">
        <x:v>Aclaración condicional</x:v>
      </x:c>
      <x:c r="W143" s="56" t="str">
        <x:v>Mostrar solo cuando visibility/branching lo autoriza; capturar aclaración separada.</x:v>
      </x:c>
      <x:c r="X143" s="56" t="str">
        <x:v>scalar:string|null</x:v>
      </x:c>
      <x:c r="Y143" s="56" t="str">
        <x:v>Opciones rectoras si existen; de lo contrario texto</x:v>
      </x:c>
      <x:c r="Z143" s="56" t="str">
        <x:v>slot_ref condicional server-issued; no fusionar con respuesta base.</x:v>
      </x:c>
      <x:c r="AA143" s="56" t="str">
        <x:v>EXPLICIT_CONDITIONAL</x:v>
      </x:c>
      <x:c r="AB143" s="56" t="str">
        <x:v>Pantalla específica Bloque 5</x:v>
      </x:c>
      <x:c r="AC143" s="66" t="str"/>
      <x:c r="AD143" s="66" t="str">
        <x:v>No evaluado</x:v>
      </x:c>
      <x:c r="AE143" s="66" t="str">
        <x:v>No evaluado</x:v>
      </x:c>
      <x:c r="AF143" s="66" t="str">
        <x:v>No evaluado</x:v>
      </x:c>
      <x:c r="AG143" s="66" t="str">
        <x:v>No ejecutado</x:v>
      </x:c>
      <x:c r="AH143" s="68" t="str">
        <x:f>IF(AND(AD143="No evaluado",AE143="No evaluado",AF143="No evaluado",AG143="No ejecutado"),"No evaluado",IF(OR(AD143="Bloqueado",AE143="Bloqueado",AF143="Bloqueado",AG143="Bloqueado"),"Bloqueado",IF(OR(AE143="No conforme",AF143="No conforme",AG143="Falló"),"No conforme",IF(AND(OR(AD143="Implementado",AD143="No aplica"),OR(AE143="Conforme",AE143="No aplica"),OR(AF143="Conforme",AF143="No aplica"),OR(AG143="Pasó",AG143="No aplica")),"Conforme","Parcial"))))</x:f>
        <x:v>No evaluado</x:v>
      </x:c>
      <x:c r="AI143" s="56" t="str">
        <x:v>Parcial</x:v>
      </x:c>
      <x:c r="AJ143" s="66" t="str"/>
      <x:c r="AK143" s="66" t="str"/>
      <x:c r="AL143" s="56" t="str">
        <x:v>VALIDATED_044A3M / 170 identity tuples</x:v>
      </x:c>
      <x:c r="AM143" s="56" t="str">
        <x:v>TR-005; TR-006; TR-008; TR-016; TR-019; TR-028; TR-029</x:v>
      </x:c>
      <x:c r="AN143" s="66" t="str"/>
    </x:row>
    <x:row r="144" ht="58" customHeight="1">
      <x:c r="A144" s="56" t="str">
        <x:v>C15</x:v>
      </x:c>
      <x:c r="B144" s="56" t="str">
        <x:v>5</x:v>
      </x:c>
      <x:c r="C144" s="56" t="str">
        <x:v>causal_20</x:v>
      </x:c>
      <x:c r="D144" s="56" t="n">
        <x:v>15</x:v>
      </x:c>
      <x:c r="E144" s="56" t="n">
        <x:v>4</x:v>
      </x:c>
      <x:c r="F144" s="56" t="str">
        <x:v>B5_5_B</x:v>
      </x:c>
      <x:c r="G144" s="56" t="str">
        <x:v>5.B</x:v>
      </x:c>
      <x:c r="H144" s="56" t="str">
        <x:v>Aclaración de tensión entre sacrificio y sostenibilidad.</x:v>
      </x:c>
      <x:c r="I144" s="56" t="str">
        <x:v>Ayúdanos a entender mejor si esa tensión es ocasional o si ya forma parte normal de cómo esta actividad logra salir.</x:v>
      </x:c>
      <x:c r="J144" s="56" t="str">
        <x:v>clarification</x:v>
      </x:c>
      <x:c r="K144" s="56" t="str">
        <x:v>clarification</x:v>
      </x:c>
      <x:c r="L144" s="56" t="str">
        <x:v>N/A</x:v>
      </x:c>
      <x:c r="M144" s="56" t="str">
        <x:v>Solo si se activa el flag correspondiente.</x:v>
      </x:c>
      <x:c r="N144" s="56" t="str">
        <x:v>Condicional</x:v>
      </x:c>
      <x:c r="O144" s="56" t="str">
        <x:v>No crea nueva captura primaria; mejora consistencia.</x:v>
      </x:c>
      <x:c r="P144" s="56" t="str">
        <x:v>conditional_clarification</x:v>
      </x:c>
      <x:c r="Q144" s="56" t="str">
        <x:v>CLARIFICATION_SEPARATE</x:v>
      </x:c>
      <x:c r="R144" s="56" t="str">
        <x:v>capacity_clarification</x:v>
      </x:c>
      <x:c r="S144" s="56" t="str">
        <x:v>clarification</x:v>
      </x:c>
      <x:c r="T144" s="56" t="str">
        <x:v>Bloque_5_Documento_Madre_Capa1_v2_1_EVE_rev3.docx</x:v>
      </x:c>
      <x:c r="U144" s="56" t="str">
        <x:v>43c1d19ec3fd4e50f769dbd60d06685176c946a6364e3010b417cffff4266488</x:v>
      </x:c>
      <x:c r="V144" s="56" t="str">
        <x:v>Aclaración condicional</x:v>
      </x:c>
      <x:c r="W144" s="56" t="str">
        <x:v>Mostrar solo cuando visibility/branching lo autoriza; capturar aclaración separada.</x:v>
      </x:c>
      <x:c r="X144" s="56" t="str">
        <x:v>scalar:string|null</x:v>
      </x:c>
      <x:c r="Y144" s="56" t="str">
        <x:v>Opciones rectoras si existen; de lo contrario texto</x:v>
      </x:c>
      <x:c r="Z144" s="56" t="str">
        <x:v>slot_ref condicional server-issued; no fusionar con respuesta base.</x:v>
      </x:c>
      <x:c r="AA144" s="56" t="str">
        <x:v>EXPLICIT_CONDITIONAL</x:v>
      </x:c>
      <x:c r="AB144" s="56" t="str">
        <x:v>Pantalla específica Bloque 5</x:v>
      </x:c>
      <x:c r="AC144" s="66" t="str"/>
      <x:c r="AD144" s="66" t="str">
        <x:v>No evaluado</x:v>
      </x:c>
      <x:c r="AE144" s="66" t="str">
        <x:v>No evaluado</x:v>
      </x:c>
      <x:c r="AF144" s="66" t="str">
        <x:v>No evaluado</x:v>
      </x:c>
      <x:c r="AG144" s="66" t="str">
        <x:v>No ejecutado</x:v>
      </x:c>
      <x:c r="AH144" s="68" t="str">
        <x:f>IF(AND(AD144="No evaluado",AE144="No evaluado",AF144="No evaluado",AG144="No ejecutado"),"No evaluado",IF(OR(AD144="Bloqueado",AE144="Bloqueado",AF144="Bloqueado",AG144="Bloqueado"),"Bloqueado",IF(OR(AE144="No conforme",AF144="No conforme",AG144="Falló"),"No conforme",IF(AND(OR(AD144="Implementado",AD144="No aplica"),OR(AE144="Conforme",AE144="No aplica"),OR(AF144="Conforme",AF144="No aplica"),OR(AG144="Pasó",AG144="No aplica")),"Conforme","Parcial"))))</x:f>
        <x:v>No evaluado</x:v>
      </x:c>
      <x:c r="AI144" s="56" t="str">
        <x:v>Parcial</x:v>
      </x:c>
      <x:c r="AJ144" s="66" t="str"/>
      <x:c r="AK144" s="66" t="str"/>
      <x:c r="AL144" s="56" t="str">
        <x:v>VALIDATED_044A3M / 170 identity tuples</x:v>
      </x:c>
      <x:c r="AM144" s="56" t="str">
        <x:v>TR-005; TR-006; TR-008; TR-016; TR-019; TR-028; TR-029</x:v>
      </x:c>
      <x:c r="AN144" s="66" t="str"/>
    </x:row>
    <x:row r="145" ht="58" customHeight="1">
      <x:c r="A145" s="56" t="str">
        <x:v>C15</x:v>
      </x:c>
      <x:c r="B145" s="56" t="str">
        <x:v>5</x:v>
      </x:c>
      <x:c r="C145" s="56" t="str">
        <x:v>causal_20</x:v>
      </x:c>
      <x:c r="D145" s="56" t="n">
        <x:v>15</x:v>
      </x:c>
      <x:c r="E145" s="56" t="n">
        <x:v>5</x:v>
      </x:c>
      <x:c r="F145" s="56" t="str">
        <x:v>B5_5_C</x:v>
      </x:c>
      <x:c r="G145" s="56" t="str">
        <x:v>5.C</x:v>
      </x:c>
      <x:c r="H145" s="56" t="str">
        <x:v>Aclaración de destino de variedad residual.</x:v>
      </x:c>
      <x:c r="I145" s="56" t="str">
        <x:v>Mencionaste situaciones que se escapan de tu capacidad, pero todavía no quedó claro qué sucede con ellas. Ayúdanos a precisar si se atrasan, se quedan sin hacer, las absorbe otra persona o equipo, o terminan resolviéndose de otra manera.</x:v>
      </x:c>
      <x:c r="J145" s="56" t="str">
        <x:v>clarification</x:v>
      </x:c>
      <x:c r="K145" s="56" t="str">
        <x:v>clarification</x:v>
      </x:c>
      <x:c r="L145" s="56" t="str">
        <x:v>N/A</x:v>
      </x:c>
      <x:c r="M145" s="56" t="str">
        <x:v>Solo si se activa el flag correspondiente.</x:v>
      </x:c>
      <x:c r="N145" s="56" t="str">
        <x:v>Condicional</x:v>
      </x:c>
      <x:c r="O145" s="56" t="str">
        <x:v>No crea nueva captura primaria; mejora consistencia.</x:v>
      </x:c>
      <x:c r="P145" s="56" t="str">
        <x:v>conditional_clarification</x:v>
      </x:c>
      <x:c r="Q145" s="56" t="str">
        <x:v>CLARIFICATION_SEPARATE</x:v>
      </x:c>
      <x:c r="R145" s="56" t="str">
        <x:v>capacity_clarification</x:v>
      </x:c>
      <x:c r="S145" s="56" t="str">
        <x:v>clarification</x:v>
      </x:c>
      <x:c r="T145" s="56" t="str">
        <x:v>Bloque_5_Documento_Madre_Capa1_v2_1_EVE_rev3.docx</x:v>
      </x:c>
      <x:c r="U145" s="56" t="str">
        <x:v>43c1d19ec3fd4e50f769dbd60d06685176c946a6364e3010b417cffff4266488</x:v>
      </x:c>
      <x:c r="V145" s="56" t="str">
        <x:v>Aclaración condicional</x:v>
      </x:c>
      <x:c r="W145" s="56" t="str">
        <x:v>Mostrar solo cuando visibility/branching lo autoriza; capturar aclaración separada.</x:v>
      </x:c>
      <x:c r="X145" s="56" t="str">
        <x:v>scalar:string|null</x:v>
      </x:c>
      <x:c r="Y145" s="56" t="str">
        <x:v>Opciones rectoras si existen; de lo contrario texto</x:v>
      </x:c>
      <x:c r="Z145" s="56" t="str">
        <x:v>slot_ref condicional server-issued; no fusionar con respuesta base.</x:v>
      </x:c>
      <x:c r="AA145" s="56" t="str">
        <x:v>EXPLICIT_CONDITIONAL</x:v>
      </x:c>
      <x:c r="AB145" s="56" t="str">
        <x:v>Pantalla específica Bloque 5</x:v>
      </x:c>
      <x:c r="AC145" s="66" t="str"/>
      <x:c r="AD145" s="66" t="str">
        <x:v>No evaluado</x:v>
      </x:c>
      <x:c r="AE145" s="66" t="str">
        <x:v>No evaluado</x:v>
      </x:c>
      <x:c r="AF145" s="66" t="str">
        <x:v>No evaluado</x:v>
      </x:c>
      <x:c r="AG145" s="66" t="str">
        <x:v>No ejecutado</x:v>
      </x:c>
      <x:c r="AH145" s="68" t="str">
        <x:f>IF(AND(AD145="No evaluado",AE145="No evaluado",AF145="No evaluado",AG145="No ejecutado"),"No evaluado",IF(OR(AD145="Bloqueado",AE145="Bloqueado",AF145="Bloqueado",AG145="Bloqueado"),"Bloqueado",IF(OR(AE145="No conforme",AF145="No conforme",AG145="Falló"),"No conforme",IF(AND(OR(AD145="Implementado",AD145="No aplica"),OR(AE145="Conforme",AE145="No aplica"),OR(AF145="Conforme",AF145="No aplica"),OR(AG145="Pasó",AG145="No aplica")),"Conforme","Parcial"))))</x:f>
        <x:v>No evaluado</x:v>
      </x:c>
      <x:c r="AI145" s="56" t="str">
        <x:v>Parcial</x:v>
      </x:c>
      <x:c r="AJ145" s="66" t="str"/>
      <x:c r="AK145" s="66" t="str"/>
      <x:c r="AL145" s="56" t="str">
        <x:v>VALIDATED_044A3M / 170 identity tuples</x:v>
      </x:c>
      <x:c r="AM145" s="56" t="str">
        <x:v>TR-005; TR-006; TR-008; TR-016; TR-019; TR-028; TR-029</x:v>
      </x:c>
      <x:c r="AN145" s="66" t="str"/>
    </x:row>
    <x:row r="146" ht="58" customHeight="1">
      <x:c r="A146" s="56" t="str">
        <x:v>C16</x:v>
      </x:c>
      <x:c r="B146" s="56" t="str">
        <x:v>6</x:v>
      </x:c>
      <x:c r="C146" s="56" t="str">
        <x:v>causal_20</x:v>
      </x:c>
      <x:c r="D146" s="56" t="n">
        <x:v>16</x:v>
      </x:c>
      <x:c r="E146" s="56" t="n">
        <x:v>1</x:v>
      </x:c>
      <x:c r="F146" s="56" t="str">
        <x:v>B6_6_2a</x:v>
      </x:c>
      <x:c r="G146" s="56" t="str">
        <x:v>6.2a</x:v>
      </x:c>
      <x:c r="H146" s="56" t="str">
        <x:v>¿Qué es lo que regresa o hay que corregir?</x:v>
      </x:c>
      <x:c r="I146" s="56" t="str">
        <x:v>Ayuda al usuario redactada en lenguaje de escena, orientada a describir lo que pasa en la práctica y no a explicar la lógica interna del sistema.</x:v>
      </x:c>
      <x:c r="J146" s="56" t="str">
        <x:v>free_text</x:v>
      </x:c>
      <x:c r="K146" s="56" t="str">
        <x:v>free_text</x:v>
      </x:c>
      <x:c r="L146" s="56" t="str">
        <x:v>N/A</x:v>
      </x:c>
      <x:c r="M146" s="56"/>
      <x:c r="N146" s="56" t="str"/>
      <x:c r="O146" s="56"/>
      <x:c r="P146" s="56" t="str">
        <x:v>visible_capture</x:v>
      </x:c>
      <x:c r="Q146" s="56" t="str">
        <x:v>DIRECT_CAPTURE_ONLY</x:v>
      </x:c>
      <x:c r="R146" s="56" t="str">
        <x:v>rework_object_or_content</x:v>
      </x:c>
      <x:c r="S146" s="56" t="str">
        <x:v>captured_user_evidence</x:v>
      </x:c>
      <x:c r="T146" s="56" t="str">
        <x:v>Bloque_6_Documento_Madre_Capa1_v2_1_EVE_rev4_reconstruido.docx</x:v>
      </x:c>
      <x:c r="U146" s="56" t="str">
        <x:v>32120139abad0348c007c31b16ee38e7e18954d85a6dca8054c48c4a96732b2d</x:v>
      </x:c>
      <x:c r="V146" s="56" t="str">
        <x:v>Texto libre</x:v>
      </x:c>
      <x:c r="W146" s="56" t="str">
        <x:v>Capturar texto literal sin clasificación semántica cliente.</x:v>
      </x:c>
      <x:c r="X146" s="56" t="str">
        <x:v>scalar:string</x:v>
      </x:c>
      <x:c r="Y146" s="56" t="str">
        <x:v>No aplica</x:v>
      </x:c>
      <x:c r="Z146" s="56" t="str">
        <x:v>slot_ref server-issued; valor humano únicamente.</x:v>
      </x:c>
      <x:c r="AA146" s="56" t="str">
        <x:v>EXPLICIT_FIELD_TYPE</x:v>
      </x:c>
      <x:c r="AB146" s="56" t="str">
        <x:v>Pantalla específica Bloque 6</x:v>
      </x:c>
      <x:c r="AC146" s="66" t="str"/>
      <x:c r="AD146" s="66" t="str">
        <x:v>No evaluado</x:v>
      </x:c>
      <x:c r="AE146" s="66" t="str">
        <x:v>No evaluado</x:v>
      </x:c>
      <x:c r="AF146" s="66" t="str">
        <x:v>No evaluado</x:v>
      </x:c>
      <x:c r="AG146" s="66" t="str">
        <x:v>No ejecutado</x:v>
      </x:c>
      <x:c r="AH146" s="68" t="str">
        <x:f>IF(AND(AD146="No evaluado",AE146="No evaluado",AF146="No evaluado",AG146="No ejecutado"),"No evaluado",IF(OR(AD146="Bloqueado",AE146="Bloqueado",AF146="Bloqueado",AG146="Bloqueado"),"Bloqueado",IF(OR(AE146="No conforme",AF146="No conforme",AG146="Falló"),"No conforme",IF(AND(OR(AD146="Implementado",AD146="No aplica"),OR(AE146="Conforme",AE146="No aplica"),OR(AF146="Conforme",AF146="No aplica"),OR(AG146="Pasó",AG146="No aplica")),"Conforme","Parcial"))))</x:f>
        <x:v>No evaluado</x:v>
      </x:c>
      <x:c r="AI146" s="56" t="str">
        <x:v>Compatible</x:v>
      </x:c>
      <x:c r="AJ146" s="66" t="str"/>
      <x:c r="AK146" s="66" t="str"/>
      <x:c r="AL146" s="56" t="str">
        <x:v>VALIDATED_044A3M / 170 identity tuples</x:v>
      </x:c>
      <x:c r="AM146" s="56" t="str">
        <x:v>TR-005; TR-006; TR-008; TR-016; TR-019; TR-028; TR-029</x:v>
      </x:c>
      <x:c r="AN146" s="66" t="str"/>
    </x:row>
    <x:row r="147" ht="58" customHeight="1">
      <x:c r="A147" s="56" t="str">
        <x:v>C16</x:v>
      </x:c>
      <x:c r="B147" s="56" t="str">
        <x:v>6</x:v>
      </x:c>
      <x:c r="C147" s="56" t="str">
        <x:v>causal_20</x:v>
      </x:c>
      <x:c r="D147" s="56" t="n">
        <x:v>16</x:v>
      </x:c>
      <x:c r="E147" s="56" t="n">
        <x:v>2</x:v>
      </x:c>
      <x:c r="F147" s="56" t="str">
        <x:v>B6_6_2b</x:v>
      </x:c>
      <x:c r="G147" s="56" t="str">
        <x:v>6.2b</x:v>
      </x:c>
      <x:c r="H147" s="56" t="str">
        <x:v>¿Cuándo ocurre? ¿Siempre, o solo en ciertas circunstancias?</x:v>
      </x:c>
      <x:c r="I147" s="56" t="str">
        <x:v>Ayuda al usuario redactada en lenguaje de escena, orientada a describir lo que pasa en la práctica y no a explicar la lógica interna del sistema.</x:v>
      </x:c>
      <x:c r="J147" s="56" t="str">
        <x:v>free_text</x:v>
      </x:c>
      <x:c r="K147" s="56" t="str">
        <x:v>free_text</x:v>
      </x:c>
      <x:c r="L147" s="56" t="str">
        <x:v>N/A</x:v>
      </x:c>
      <x:c r="M147" s="56"/>
      <x:c r="N147" s="56" t="str"/>
      <x:c r="O147" s="56"/>
      <x:c r="P147" s="56" t="str">
        <x:v>visible_capture</x:v>
      </x:c>
      <x:c r="Q147" s="56" t="str">
        <x:v>DIRECT_CAPTURE_ONLY</x:v>
      </x:c>
      <x:c r="R147" s="56" t="str">
        <x:v>rework_condition_or_frequency</x:v>
      </x:c>
      <x:c r="S147" s="56" t="str">
        <x:v>captured_user_evidence</x:v>
      </x:c>
      <x:c r="T147" s="56" t="str">
        <x:v>Bloque_6_Documento_Madre_Capa1_v2_1_EVE_rev4_reconstruido.docx</x:v>
      </x:c>
      <x:c r="U147" s="56" t="str">
        <x:v>32120139abad0348c007c31b16ee38e7e18954d85a6dca8054c48c4a96732b2d</x:v>
      </x:c>
      <x:c r="V147" s="56" t="str">
        <x:v>Texto libre</x:v>
      </x:c>
      <x:c r="W147" s="56" t="str">
        <x:v>Capturar texto literal sin clasificación semántica cliente.</x:v>
      </x:c>
      <x:c r="X147" s="56" t="str">
        <x:v>scalar:string</x:v>
      </x:c>
      <x:c r="Y147" s="56" t="str">
        <x:v>No aplica</x:v>
      </x:c>
      <x:c r="Z147" s="56" t="str">
        <x:v>slot_ref server-issued; valor humano únicamente.</x:v>
      </x:c>
      <x:c r="AA147" s="56" t="str">
        <x:v>EXPLICIT_FIELD_TYPE</x:v>
      </x:c>
      <x:c r="AB147" s="56" t="str">
        <x:v>Pantalla específica Bloque 6</x:v>
      </x:c>
      <x:c r="AC147" s="66" t="str"/>
      <x:c r="AD147" s="66" t="str">
        <x:v>No evaluado</x:v>
      </x:c>
      <x:c r="AE147" s="66" t="str">
        <x:v>No evaluado</x:v>
      </x:c>
      <x:c r="AF147" s="66" t="str">
        <x:v>No evaluado</x:v>
      </x:c>
      <x:c r="AG147" s="66" t="str">
        <x:v>No ejecutado</x:v>
      </x:c>
      <x:c r="AH147" s="68" t="str">
        <x:f>IF(AND(AD147="No evaluado",AE147="No evaluado",AF147="No evaluado",AG147="No ejecutado"),"No evaluado",IF(OR(AD147="Bloqueado",AE147="Bloqueado",AF147="Bloqueado",AG147="Bloqueado"),"Bloqueado",IF(OR(AE147="No conforme",AF147="No conforme",AG147="Falló"),"No conforme",IF(AND(OR(AD147="Implementado",AD147="No aplica"),OR(AE147="Conforme",AE147="No aplica"),OR(AF147="Conforme",AF147="No aplica"),OR(AG147="Pasó",AG147="No aplica")),"Conforme","Parcial"))))</x:f>
        <x:v>No evaluado</x:v>
      </x:c>
      <x:c r="AI147" s="56" t="str">
        <x:v>Compatible</x:v>
      </x:c>
      <x:c r="AJ147" s="66" t="str"/>
      <x:c r="AK147" s="66" t="str"/>
      <x:c r="AL147" s="56" t="str">
        <x:v>VALIDATED_044A3M / 170 identity tuples</x:v>
      </x:c>
      <x:c r="AM147" s="56" t="str">
        <x:v>TR-005; TR-006; TR-008; TR-016; TR-019; TR-028; TR-029</x:v>
      </x:c>
      <x:c r="AN147" s="66" t="str"/>
    </x:row>
    <x:row r="148" ht="58" customHeight="1">
      <x:c r="A148" s="56" t="str">
        <x:v>C16</x:v>
      </x:c>
      <x:c r="B148" s="56" t="str">
        <x:v>6</x:v>
      </x:c>
      <x:c r="C148" s="56" t="str">
        <x:v>causal_20</x:v>
      </x:c>
      <x:c r="D148" s="56" t="n">
        <x:v>16</x:v>
      </x:c>
      <x:c r="E148" s="56" t="n">
        <x:v>3</x:v>
      </x:c>
      <x:c r="F148" s="56" t="str">
        <x:v>B6_6_2c</x:v>
      </x:c>
      <x:c r="G148" s="56" t="str">
        <x:v>6.2c</x:v>
      </x:c>
      <x:c r="H148" s="56" t="str">
        <x:v>¿Quién debería haberlo hecho bien la primera vez?</x:v>
      </x:c>
      <x:c r="I148" s="56" t="str">
        <x:v>Ayuda al usuario redactada en lenguaje de escena, orientada a describir lo que pasa en la práctica y no a explicar la lógica interna del sistema.</x:v>
      </x:c>
      <x:c r="J148" s="56" t="str">
        <x:v>free_text</x:v>
      </x:c>
      <x:c r="K148" s="56" t="str">
        <x:v>free_text</x:v>
      </x:c>
      <x:c r="L148" s="56" t="str">
        <x:v>N/A</x:v>
      </x:c>
      <x:c r="M148" s="56"/>
      <x:c r="N148" s="56" t="str"/>
      <x:c r="O148" s="56"/>
      <x:c r="P148" s="56" t="str">
        <x:v>visible_capture</x:v>
      </x:c>
      <x:c r="Q148" s="56" t="str">
        <x:v>DIRECT_CAPTURE_ONLY</x:v>
      </x:c>
      <x:c r="R148" s="56" t="str">
        <x:v>rework_expected_owner</x:v>
      </x:c>
      <x:c r="S148" s="56" t="str">
        <x:v>captured_user_evidence</x:v>
      </x:c>
      <x:c r="T148" s="56" t="str">
        <x:v>Bloque_6_Documento_Madre_Capa1_v2_1_EVE_rev4_reconstruido.docx</x:v>
      </x:c>
      <x:c r="U148" s="56" t="str">
        <x:v>32120139abad0348c007c31b16ee38e7e18954d85a6dca8054c48c4a96732b2d</x:v>
      </x:c>
      <x:c r="V148" s="56" t="str">
        <x:v>Texto libre</x:v>
      </x:c>
      <x:c r="W148" s="56" t="str">
        <x:v>Capturar texto literal sin clasificación semántica cliente.</x:v>
      </x:c>
      <x:c r="X148" s="56" t="str">
        <x:v>scalar:string</x:v>
      </x:c>
      <x:c r="Y148" s="56" t="str">
        <x:v>No aplica</x:v>
      </x:c>
      <x:c r="Z148" s="56" t="str">
        <x:v>slot_ref server-issued; valor humano únicamente.</x:v>
      </x:c>
      <x:c r="AA148" s="56" t="str">
        <x:v>EXPLICIT_FIELD_TYPE</x:v>
      </x:c>
      <x:c r="AB148" s="56" t="str">
        <x:v>Pantalla específica Bloque 6</x:v>
      </x:c>
      <x:c r="AC148" s="66" t="str"/>
      <x:c r="AD148" s="66" t="str">
        <x:v>No evaluado</x:v>
      </x:c>
      <x:c r="AE148" s="66" t="str">
        <x:v>No evaluado</x:v>
      </x:c>
      <x:c r="AF148" s="66" t="str">
        <x:v>No evaluado</x:v>
      </x:c>
      <x:c r="AG148" s="66" t="str">
        <x:v>No ejecutado</x:v>
      </x:c>
      <x:c r="AH148" s="68" t="str">
        <x:f>IF(AND(AD148="No evaluado",AE148="No evaluado",AF148="No evaluado",AG148="No ejecutado"),"No evaluado",IF(OR(AD148="Bloqueado",AE148="Bloqueado",AF148="Bloqueado",AG148="Bloqueado"),"Bloqueado",IF(OR(AE148="No conforme",AF148="No conforme",AG148="Falló"),"No conforme",IF(AND(OR(AD148="Implementado",AD148="No aplica"),OR(AE148="Conforme",AE148="No aplica"),OR(AF148="Conforme",AF148="No aplica"),OR(AG148="Pasó",AG148="No aplica")),"Conforme","Parcial"))))</x:f>
        <x:v>No evaluado</x:v>
      </x:c>
      <x:c r="AI148" s="56" t="str">
        <x:v>Compatible</x:v>
      </x:c>
      <x:c r="AJ148" s="66" t="str"/>
      <x:c r="AK148" s="66" t="str"/>
      <x:c r="AL148" s="56" t="str">
        <x:v>VALIDATED_044A3M / 170 identity tuples</x:v>
      </x:c>
      <x:c r="AM148" s="56" t="str">
        <x:v>TR-005; TR-006; TR-008; TR-016; TR-019; TR-028; TR-029</x:v>
      </x:c>
      <x:c r="AN148" s="66" t="str"/>
    </x:row>
    <x:row r="149" ht="58" customHeight="1">
      <x:c r="A149" s="56" t="str">
        <x:v>C17</x:v>
      </x:c>
      <x:c r="B149" s="56" t="str">
        <x:v>6</x:v>
      </x:c>
      <x:c r="C149" s="56" t="str">
        <x:v>causal_20</x:v>
      </x:c>
      <x:c r="D149" s="56" t="n">
        <x:v>17</x:v>
      </x:c>
      <x:c r="E149" s="56" t="n">
        <x:v>1</x:v>
      </x:c>
      <x:c r="F149" s="56" t="str">
        <x:v>B6_6_3a</x:v>
      </x:c>
      <x:c r="G149" s="56" t="str">
        <x:v>6.3a</x:v>
      </x:c>
      <x:c r="H149" s="56" t="str">
        <x:v>Cuando no te llega, ¿qué haces? ¿Esperas, adivinas, escalas, o avanzas sin eso?</x:v>
      </x:c>
      <x:c r="I149" s="56" t="str">
        <x:v>Ayuda al usuario redactada en lenguaje de escena, orientada a describir lo que pasa en la práctica y no a explicar la lógica interna del sistema.</x:v>
      </x:c>
      <x:c r="J149" s="56" t="str">
        <x:v>free_text</x:v>
      </x:c>
      <x:c r="K149" s="56" t="str">
        <x:v>free_text</x:v>
      </x:c>
      <x:c r="L149" s="56" t="str">
        <x:v>N/A</x:v>
      </x:c>
      <x:c r="M149" s="56"/>
      <x:c r="N149" s="56" t="str"/>
      <x:c r="O149" s="56"/>
      <x:c r="P149" s="56" t="str">
        <x:v>visible_capture</x:v>
      </x:c>
      <x:c r="Q149" s="56" t="str">
        <x:v>DIRECT_CAPTURE_ONLY</x:v>
      </x:c>
      <x:c r="R149" s="56" t="str">
        <x:v>missing_information_response_strategy</x:v>
      </x:c>
      <x:c r="S149" s="56" t="str">
        <x:v>captured_user_evidence</x:v>
      </x:c>
      <x:c r="T149" s="56" t="str">
        <x:v>Bloque_6_Documento_Madre_Capa1_v2_1_EVE_rev4_reconstruido.docx</x:v>
      </x:c>
      <x:c r="U149" s="56" t="str">
        <x:v>32120139abad0348c007c31b16ee38e7e18954d85a6dca8054c48c4a96732b2d</x:v>
      </x:c>
      <x:c r="V149" s="56" t="str">
        <x:v>Texto libre</x:v>
      </x:c>
      <x:c r="W149" s="56" t="str">
        <x:v>Capturar texto literal sin clasificación semántica cliente.</x:v>
      </x:c>
      <x:c r="X149" s="56" t="str">
        <x:v>scalar:string</x:v>
      </x:c>
      <x:c r="Y149" s="56" t="str">
        <x:v>No aplica</x:v>
      </x:c>
      <x:c r="Z149" s="56" t="str">
        <x:v>slot_ref server-issued; valor humano únicamente.</x:v>
      </x:c>
      <x:c r="AA149" s="56" t="str">
        <x:v>EXPLICIT_FIELD_TYPE</x:v>
      </x:c>
      <x:c r="AB149" s="56" t="str">
        <x:v>Pantalla específica Bloque 6</x:v>
      </x:c>
      <x:c r="AC149" s="66" t="str"/>
      <x:c r="AD149" s="66" t="str">
        <x:v>No evaluado</x:v>
      </x:c>
      <x:c r="AE149" s="66" t="str">
        <x:v>No evaluado</x:v>
      </x:c>
      <x:c r="AF149" s="66" t="str">
        <x:v>No evaluado</x:v>
      </x:c>
      <x:c r="AG149" s="66" t="str">
        <x:v>No ejecutado</x:v>
      </x:c>
      <x:c r="AH149" s="68" t="str">
        <x:f>IF(AND(AD149="No evaluado",AE149="No evaluado",AF149="No evaluado",AG149="No ejecutado"),"No evaluado",IF(OR(AD149="Bloqueado",AE149="Bloqueado",AF149="Bloqueado",AG149="Bloqueado"),"Bloqueado",IF(OR(AE149="No conforme",AF149="No conforme",AG149="Falló"),"No conforme",IF(AND(OR(AD149="Implementado",AD149="No aplica"),OR(AE149="Conforme",AE149="No aplica"),OR(AF149="Conforme",AF149="No aplica"),OR(AG149="Pasó",AG149="No aplica")),"Conforme","Parcial"))))</x:f>
        <x:v>No evaluado</x:v>
      </x:c>
      <x:c r="AI149" s="56" t="str">
        <x:v>Compatible</x:v>
      </x:c>
      <x:c r="AJ149" s="66" t="str"/>
      <x:c r="AK149" s="66" t="str"/>
      <x:c r="AL149" s="56" t="str">
        <x:v>VALIDATED_044A3M / 170 identity tuples</x:v>
      </x:c>
      <x:c r="AM149" s="56" t="str">
        <x:v>TR-005; TR-006; TR-008; TR-016; TR-019; TR-028; TR-029</x:v>
      </x:c>
      <x:c r="AN149" s="66" t="str"/>
    </x:row>
    <x:row r="150" ht="58" customHeight="1">
      <x:c r="A150" s="56" t="str">
        <x:v>C17</x:v>
      </x:c>
      <x:c r="B150" s="56" t="str">
        <x:v>6</x:v>
      </x:c>
      <x:c r="C150" s="56" t="str">
        <x:v>causal_20</x:v>
      </x:c>
      <x:c r="D150" s="56" t="n">
        <x:v>17</x:v>
      </x:c>
      <x:c r="E150" s="56" t="n">
        <x:v>2</x:v>
      </x:c>
      <x:c r="F150" s="56" t="str">
        <x:v>B6_6_4a</x:v>
      </x:c>
      <x:c r="G150" s="56" t="str">
        <x:v>6.4a</x:v>
      </x:c>
      <x:c r="H150" s="56" t="str">
        <x:v>¿Otros compañeros lo hacen igual, o solo tú?</x:v>
      </x:c>
      <x:c r="I150" s="56" t="str">
        <x:v>Ayuda al usuario redactada en lenguaje de escena, orientada a describir lo que pasa en la práctica y no a explicar la lógica interna del sistema.</x:v>
      </x:c>
      <x:c r="J150" s="56" t="str">
        <x:v>single_choice</x:v>
      </x:c>
      <x:c r="K150" s="56" t="str">
        <x:v>single_choice</x:v>
      </x:c>
      <x:c r="L150" s="56" t="str">
        <x:v>Ver catálogo resumido del bloque o enumeración contextual correspondiente.</x:v>
      </x:c>
      <x:c r="M150" s="56"/>
      <x:c r="N150" s="56" t="str"/>
      <x:c r="O150" s="56"/>
      <x:c r="P150" s="56" t="str">
        <x:v>visible_capture</x:v>
      </x:c>
      <x:c r="Q150" s="56" t="str">
        <x:v>DIRECT_CAPTURE_ONLY</x:v>
      </x:c>
      <x:c r="R150" s="56" t="str">
        <x:v>informal_rule_scope</x:v>
      </x:c>
      <x:c r="S150" s="56" t="str">
        <x:v>captured_user_evidence</x:v>
      </x:c>
      <x:c r="T150" s="56" t="str">
        <x:v>Bloque_6_Documento_Madre_Capa1_v2_1_EVE_rev4_reconstruido.docx</x:v>
      </x:c>
      <x:c r="U150" s="56" t="str">
        <x:v>32120139abad0348c007c31b16ee38e7e18954d85a6dca8054c48c4a96732b2d</x:v>
      </x:c>
      <x:c r="V150" s="56" t="str">
        <x:v>Selección única</x:v>
      </x:c>
      <x:c r="W150" s="56" t="str">
        <x:v>Mostrar opciones autorizadas; permitir una sola selección; opción literal preservada.</x:v>
      </x:c>
      <x:c r="X150" s="56" t="str">
        <x:v>scalar:string</x:v>
      </x:c>
      <x:c r="Y150" s="56" t="str">
        <x:v>Campo options / catálogo dinámico rector</x:v>
      </x:c>
      <x:c r="Z150" s="56" t="str">
        <x:v>slot_ref server-issued; no mapear por label ni posición.</x:v>
      </x:c>
      <x:c r="AA150" s="56" t="str">
        <x:v>EXPLICIT_FIELD_TYPE</x:v>
      </x:c>
      <x:c r="AB150" s="56" t="str">
        <x:v>Pantalla específica Bloque 6</x:v>
      </x:c>
      <x:c r="AC150" s="66" t="str"/>
      <x:c r="AD150" s="66" t="str">
        <x:v>No evaluado</x:v>
      </x:c>
      <x:c r="AE150" s="66" t="str">
        <x:v>No evaluado</x:v>
      </x:c>
      <x:c r="AF150" s="66" t="str">
        <x:v>No evaluado</x:v>
      </x:c>
      <x:c r="AG150" s="66" t="str">
        <x:v>No ejecutado</x:v>
      </x:c>
      <x:c r="AH150" s="68" t="str">
        <x:f>IF(AND(AD150="No evaluado",AE150="No evaluado",AF150="No evaluado",AG150="No ejecutado"),"No evaluado",IF(OR(AD150="Bloqueado",AE150="Bloqueado",AF150="Bloqueado",AG150="Bloqueado"),"Bloqueado",IF(OR(AE150="No conforme",AF150="No conforme",AG150="Falló"),"No conforme",IF(AND(OR(AD150="Implementado",AD150="No aplica"),OR(AE150="Conforme",AE150="No aplica"),OR(AF150="Conforme",AF150="No aplica"),OR(AG150="Pasó",AG150="No aplica")),"Conforme","Parcial"))))</x:f>
        <x:v>No evaluado</x:v>
      </x:c>
      <x:c r="AI150" s="56" t="str">
        <x:v>No conforme</x:v>
      </x:c>
      <x:c r="AJ150" s="66" t="str"/>
      <x:c r="AK150" s="66" t="str"/>
      <x:c r="AL150" s="56" t="str">
        <x:v>VALIDATED_044A3M / 170 identity tuples</x:v>
      </x:c>
      <x:c r="AM150" s="56" t="str">
        <x:v>TR-005; TR-006; TR-008; TR-016; TR-019; TR-028; TR-029</x:v>
      </x:c>
      <x:c r="AN150" s="66" t="str"/>
    </x:row>
    <x:row r="151" ht="58" customHeight="1">
      <x:c r="A151" s="56" t="str">
        <x:v>C17</x:v>
      </x:c>
      <x:c r="B151" s="56" t="str">
        <x:v>6</x:v>
      </x:c>
      <x:c r="C151" s="56" t="str">
        <x:v>causal_20</x:v>
      </x:c>
      <x:c r="D151" s="56" t="n">
        <x:v>17</x:v>
      </x:c>
      <x:c r="E151" s="56" t="n">
        <x:v>3</x:v>
      </x:c>
      <x:c r="F151" s="56" t="str">
        <x:v>B6_6_4b</x:v>
      </x:c>
      <x:c r="G151" s="56" t="str">
        <x:v>6.4b</x:v>
      </x:c>
      <x:c r="H151" s="56" t="str">
        <x:v>¿Otros compañeros lo hacen igual, o solo tú?</x:v>
      </x:c>
      <x:c r="I151" s="56" t="str">
        <x:v>Ayuda al usuario redactada en lenguaje de escena, orientada a describir lo que pasa en la práctica y no a explicar la lógica interna del sistema.</x:v>
      </x:c>
      <x:c r="J151" s="56" t="str">
        <x:v>single_choice</x:v>
      </x:c>
      <x:c r="K151" s="56" t="str">
        <x:v>single_choice</x:v>
      </x:c>
      <x:c r="L151" s="56" t="str">
        <x:v>Ver catálogo resumido del bloque o enumeración contextual correspondiente.</x:v>
      </x:c>
      <x:c r="M151" s="56"/>
      <x:c r="N151" s="56" t="str"/>
      <x:c r="O151" s="56"/>
      <x:c r="P151" s="56" t="str">
        <x:v>visible_capture</x:v>
      </x:c>
      <x:c r="Q151" s="56" t="str">
        <x:v>DIRECT_CAPTURE_ONLY</x:v>
      </x:c>
      <x:c r="R151" s="56" t="str">
        <x:v>informal_rule_scope</x:v>
      </x:c>
      <x:c r="S151" s="56" t="str">
        <x:v>captured_user_evidence</x:v>
      </x:c>
      <x:c r="T151" s="56" t="str">
        <x:v>Bloque_6_Documento_Madre_Capa1_v2_1_EVE_rev4_reconstruido.docx</x:v>
      </x:c>
      <x:c r="U151" s="56" t="str">
        <x:v>32120139abad0348c007c31b16ee38e7e18954d85a6dca8054c48c4a96732b2d</x:v>
      </x:c>
      <x:c r="V151" s="56" t="str">
        <x:v>Selección única</x:v>
      </x:c>
      <x:c r="W151" s="56" t="str">
        <x:v>Mostrar opciones autorizadas; permitir una sola selección; opción literal preservada.</x:v>
      </x:c>
      <x:c r="X151" s="56" t="str">
        <x:v>scalar:string</x:v>
      </x:c>
      <x:c r="Y151" s="56" t="str">
        <x:v>Campo options / catálogo dinámico rector</x:v>
      </x:c>
      <x:c r="Z151" s="56" t="str">
        <x:v>slot_ref server-issued; no mapear por label ni posición.</x:v>
      </x:c>
      <x:c r="AA151" s="56" t="str">
        <x:v>EXPLICIT_FIELD_TYPE</x:v>
      </x:c>
      <x:c r="AB151" s="56" t="str">
        <x:v>Pantalla específica Bloque 6</x:v>
      </x:c>
      <x:c r="AC151" s="66" t="str"/>
      <x:c r="AD151" s="66" t="str">
        <x:v>No evaluado</x:v>
      </x:c>
      <x:c r="AE151" s="66" t="str">
        <x:v>No evaluado</x:v>
      </x:c>
      <x:c r="AF151" s="66" t="str">
        <x:v>No evaluado</x:v>
      </x:c>
      <x:c r="AG151" s="66" t="str">
        <x:v>No ejecutado</x:v>
      </x:c>
      <x:c r="AH151" s="68" t="str">
        <x:f>IF(AND(AD151="No evaluado",AE151="No evaluado",AF151="No evaluado",AG151="No ejecutado"),"No evaluado",IF(OR(AD151="Bloqueado",AE151="Bloqueado",AF151="Bloqueado",AG151="Bloqueado"),"Bloqueado",IF(OR(AE151="No conforme",AF151="No conforme",AG151="Falló"),"No conforme",IF(AND(OR(AD151="Implementado",AD151="No aplica"),OR(AE151="Conforme",AE151="No aplica"),OR(AF151="Conforme",AF151="No aplica"),OR(AG151="Pasó",AG151="No aplica")),"Conforme","Parcial"))))</x:f>
        <x:v>No evaluado</x:v>
      </x:c>
      <x:c r="AI151" s="56" t="str">
        <x:v>No conforme</x:v>
      </x:c>
      <x:c r="AJ151" s="66" t="str"/>
      <x:c r="AK151" s="66" t="str"/>
      <x:c r="AL151" s="56" t="str">
        <x:v>VALIDATED_044A3M / 170 identity tuples</x:v>
      </x:c>
      <x:c r="AM151" s="56" t="str">
        <x:v>TR-005; TR-006; TR-008; TR-016; TR-019; TR-028; TR-029</x:v>
      </x:c>
      <x:c r="AN151" s="66" t="str"/>
    </x:row>
    <x:row r="152" ht="58" customHeight="1">
      <x:c r="A152" s="56" t="str">
        <x:v>C17</x:v>
      </x:c>
      <x:c r="B152" s="56" t="str">
        <x:v>6</x:v>
      </x:c>
      <x:c r="C152" s="56" t="str">
        <x:v>causal_20</x:v>
      </x:c>
      <x:c r="D152" s="56" t="n">
        <x:v>17</x:v>
      </x:c>
      <x:c r="E152" s="56" t="n">
        <x:v>4</x:v>
      </x:c>
      <x:c r="F152" s="56" t="str">
        <x:v>B6_6_B</x:v>
      </x:c>
      <x:c r="G152" s="56" t="str">
        <x:v>6.B</x:v>
      </x:c>
      <x:c r="H152" s="56" t="str">
        <x:v>Dijiste que esa práctica existe y que tu jefe lo sabe. ¿Entonces es una regla oficial que no está documentada, o es algo que tu jefe tolera pero no aprueba formalmente?</x:v>
      </x:c>
      <x:c r="I152" s="56" t="str">
        <x:v>Ayúdanos a distinguir entre práctica oficial no documentada y tolerancia informal. Ejemplo: Oficialmente debo seguir el proceso de cotización. Pero cuando un cliente es urgente, doy precios sin cotizar. El gerente lo sabe y lo permite, pero no está documentado</x:v>
      </x:c>
      <x:c r="J152" s="56" t="str">
        <x:v>free_text</x:v>
      </x:c>
      <x:c r="K152" s="56" t="str">
        <x:v>clarification</x:v>
      </x:c>
      <x:c r="L152" s="56" t="str">
        <x:v>N/A</x:v>
      </x:c>
      <x:c r="M152" s="56" t="str">
        <x:v>Obligatoria solo si el motor la dispara.</x:v>
      </x:c>
      <x:c r="N152" s="56" t="str">
        <x:v>No aparece en flujo normal.</x:v>
      </x:c>
      <x:c r="O152" s="56" t="str">
        <x:v>No reemplaza evidencia original; vive separada como aclaración.</x:v>
      </x:c>
      <x:c r="P152" s="56" t="str">
        <x:v>conditional_clarification</x:v>
      </x:c>
      <x:c r="Q152" s="56" t="str">
        <x:v>CLARIFICATION_SEPARATE</x:v>
      </x:c>
      <x:c r="R152" s="56" t="str">
        <x:v>compensation_clarification_authority</x:v>
      </x:c>
      <x:c r="S152" s="56" t="str">
        <x:v>clarification</x:v>
      </x:c>
      <x:c r="T152" s="56" t="str">
        <x:v>Bloque_6_Documento_Madre_Capa1_v2_1_EVE_rev4_reconstruido.docx</x:v>
      </x:c>
      <x:c r="U152" s="56" t="str">
        <x:v>32120139abad0348c007c31b16ee38e7e18954d85a6dca8054c48c4a96732b2d</x:v>
      </x:c>
      <x:c r="V152" s="56" t="str">
        <x:v>Texto libre</x:v>
      </x:c>
      <x:c r="W152" s="56" t="str">
        <x:v>Capturar texto literal sin clasificación semántica cliente.</x:v>
      </x:c>
      <x:c r="X152" s="56" t="str">
        <x:v>scalar:string</x:v>
      </x:c>
      <x:c r="Y152" s="56" t="str">
        <x:v>No aplica</x:v>
      </x:c>
      <x:c r="Z152" s="56" t="str">
        <x:v>slot_ref server-issued; valor humano únicamente.</x:v>
      </x:c>
      <x:c r="AA152" s="56" t="str">
        <x:v>EXPLICIT_FIELD_TYPE</x:v>
      </x:c>
      <x:c r="AB152" s="56" t="str">
        <x:v>Pantalla específica Bloque 6</x:v>
      </x:c>
      <x:c r="AC152" s="66" t="str"/>
      <x:c r="AD152" s="66" t="str">
        <x:v>No evaluado</x:v>
      </x:c>
      <x:c r="AE152" s="66" t="str">
        <x:v>No evaluado</x:v>
      </x:c>
      <x:c r="AF152" s="66" t="str">
        <x:v>No evaluado</x:v>
      </x:c>
      <x:c r="AG152" s="66" t="str">
        <x:v>No ejecutado</x:v>
      </x:c>
      <x:c r="AH152" s="68" t="str">
        <x:f>IF(AND(AD152="No evaluado",AE152="No evaluado",AF152="No evaluado",AG152="No ejecutado"),"No evaluado",IF(OR(AD152="Bloqueado",AE152="Bloqueado",AF152="Bloqueado",AG152="Bloqueado"),"Bloqueado",IF(OR(AE152="No conforme",AF152="No conforme",AG152="Falló"),"No conforme",IF(AND(OR(AD152="Implementado",AD152="No aplica"),OR(AE152="Conforme",AE152="No aplica"),OR(AF152="Conforme",AF152="No aplica"),OR(AG152="Pasó",AG152="No aplica")),"Conforme","Parcial"))))</x:f>
        <x:v>No evaluado</x:v>
      </x:c>
      <x:c r="AI152" s="56" t="str">
        <x:v>Compatible</x:v>
      </x:c>
      <x:c r="AJ152" s="66" t="str"/>
      <x:c r="AK152" s="66" t="str"/>
      <x:c r="AL152" s="56" t="str">
        <x:v>VALIDATED_044A3M / 170 identity tuples</x:v>
      </x:c>
      <x:c r="AM152" s="56" t="str">
        <x:v>TR-005; TR-006; TR-008; TR-016; TR-019; TR-028; TR-029</x:v>
      </x:c>
      <x:c r="AN152" s="66" t="str"/>
    </x:row>
    <x:row r="153" ht="58" customHeight="1">
      <x:c r="A153" s="56" t="str">
        <x:v>C18</x:v>
      </x:c>
      <x:c r="B153" s="56" t="str">
        <x:v>6</x:v>
      </x:c>
      <x:c r="C153" s="56" t="str">
        <x:v>causal_20</x:v>
      </x:c>
      <x:c r="D153" s="56" t="n">
        <x:v>18</x:v>
      </x:c>
      <x:c r="E153" s="56" t="n">
        <x:v>1</x:v>
      </x:c>
      <x:c r="F153" s="56" t="str">
        <x:v>B6_6_6a</x:v>
      </x:c>
      <x:c r="G153" s="56" t="str">
        <x:v>6.6a</x:v>
      </x:c>
      <x:c r="H153" s="56" t="str">
        <x:v>¿Cuánto tiempo lleva esto? ¿Meses, años?</x:v>
      </x:c>
      <x:c r="I153" s="56" t="str">
        <x:v>Ayuda al usuario redactada en lenguaje de escena, orientada a describir lo que pasa en la práctica y no a explicar la lógica interna del sistema.</x:v>
      </x:c>
      <x:c r="J153" s="56" t="str">
        <x:v>free_text</x:v>
      </x:c>
      <x:c r="K153" s="56" t="str">
        <x:v>free_text</x:v>
      </x:c>
      <x:c r="L153" s="56" t="str">
        <x:v>N/A</x:v>
      </x:c>
      <x:c r="M153" s="56"/>
      <x:c r="N153" s="56" t="str"/>
      <x:c r="O153" s="56"/>
      <x:c r="P153" s="56" t="str">
        <x:v>visible_capture</x:v>
      </x:c>
      <x:c r="Q153" s="56" t="str">
        <x:v>DIRECT_CAPTURE_ONLY</x:v>
      </x:c>
      <x:c r="R153" s="56" t="str">
        <x:v>wear_duration_reported</x:v>
      </x:c>
      <x:c r="S153" s="56" t="str">
        <x:v>captured_user_evidence</x:v>
      </x:c>
      <x:c r="T153" s="56" t="str">
        <x:v>Bloque_6_Documento_Madre_Capa1_v2_1_EVE_rev4_reconstruido.docx</x:v>
      </x:c>
      <x:c r="U153" s="56" t="str">
        <x:v>32120139abad0348c007c31b16ee38e7e18954d85a6dca8054c48c4a96732b2d</x:v>
      </x:c>
      <x:c r="V153" s="56" t="str">
        <x:v>Texto libre</x:v>
      </x:c>
      <x:c r="W153" s="56" t="str">
        <x:v>Capturar texto literal sin clasificación semántica cliente.</x:v>
      </x:c>
      <x:c r="X153" s="56" t="str">
        <x:v>scalar:string</x:v>
      </x:c>
      <x:c r="Y153" s="56" t="str">
        <x:v>No aplica</x:v>
      </x:c>
      <x:c r="Z153" s="56" t="str">
        <x:v>slot_ref server-issued; valor humano únicamente.</x:v>
      </x:c>
      <x:c r="AA153" s="56" t="str">
        <x:v>EXPLICIT_FIELD_TYPE</x:v>
      </x:c>
      <x:c r="AB153" s="56" t="str">
        <x:v>Pantalla específica Bloque 6</x:v>
      </x:c>
      <x:c r="AC153" s="66" t="str"/>
      <x:c r="AD153" s="66" t="str">
        <x:v>No evaluado</x:v>
      </x:c>
      <x:c r="AE153" s="66" t="str">
        <x:v>No evaluado</x:v>
      </x:c>
      <x:c r="AF153" s="66" t="str">
        <x:v>No evaluado</x:v>
      </x:c>
      <x:c r="AG153" s="66" t="str">
        <x:v>No ejecutado</x:v>
      </x:c>
      <x:c r="AH153" s="68" t="str">
        <x:f>IF(AND(AD153="No evaluado",AE153="No evaluado",AF153="No evaluado",AG153="No ejecutado"),"No evaluado",IF(OR(AD153="Bloqueado",AE153="Bloqueado",AF153="Bloqueado",AG153="Bloqueado"),"Bloqueado",IF(OR(AE153="No conforme",AF153="No conforme",AG153="Falló"),"No conforme",IF(AND(OR(AD153="Implementado",AD153="No aplica"),OR(AE153="Conforme",AE153="No aplica"),OR(AF153="Conforme",AF153="No aplica"),OR(AG153="Pasó",AG153="No aplica")),"Conforme","Parcial"))))</x:f>
        <x:v>No evaluado</x:v>
      </x:c>
      <x:c r="AI153" s="56" t="str">
        <x:v>Compatible</x:v>
      </x:c>
      <x:c r="AJ153" s="66" t="str"/>
      <x:c r="AK153" s="66" t="str"/>
      <x:c r="AL153" s="56" t="str">
        <x:v>VALIDATED_044A3M / 170 identity tuples</x:v>
      </x:c>
      <x:c r="AM153" s="56" t="str">
        <x:v>TR-005; TR-006; TR-008; TR-016; TR-019; TR-028; TR-029</x:v>
      </x:c>
      <x:c r="AN153" s="66" t="str"/>
    </x:row>
    <x:row r="154" ht="58" customHeight="1">
      <x:c r="A154" s="56" t="str">
        <x:v>C18</x:v>
      </x:c>
      <x:c r="B154" s="56" t="str">
        <x:v>6</x:v>
      </x:c>
      <x:c r="C154" s="56" t="str">
        <x:v>causal_20</x:v>
      </x:c>
      <x:c r="D154" s="56" t="n">
        <x:v>18</x:v>
      </x:c>
      <x:c r="E154" s="56" t="n">
        <x:v>2</x:v>
      </x:c>
      <x:c r="F154" s="56" t="str">
        <x:v>B6_6_6b</x:v>
      </x:c>
      <x:c r="G154" s="56" t="str">
        <x:v>6.6b</x:v>
      </x:c>
      <x:c r="H154" s="56" t="str">
        <x:v>¿Alguien en la organización sabe que esto está pasando?</x:v>
      </x:c>
      <x:c r="I154" s="56" t="str">
        <x:v>Ayuda al usuario redactada en lenguaje de escena, orientada a describir lo que pasa en la práctica y no a explicar la lógica interna del sistema.</x:v>
      </x:c>
      <x:c r="J154" s="56" t="str">
        <x:v>single_choice</x:v>
      </x:c>
      <x:c r="K154" s="56" t="str">
        <x:v>single_choice</x:v>
      </x:c>
      <x:c r="L154" s="56" t="str">
        <x:v>Ver catálogo resumido del bloque o enumeración contextual correspondiente.</x:v>
      </x:c>
      <x:c r="M154" s="56"/>
      <x:c r="N154" s="56" t="str"/>
      <x:c r="O154" s="56"/>
      <x:c r="P154" s="56" t="str">
        <x:v>visible_capture</x:v>
      </x:c>
      <x:c r="Q154" s="56" t="str">
        <x:v>DIRECT_CAPTURE_ONLY</x:v>
      </x:c>
      <x:c r="R154" s="56" t="str">
        <x:v>wear_visibility_known</x:v>
      </x:c>
      <x:c r="S154" s="56" t="str">
        <x:v>captured_user_evidence</x:v>
      </x:c>
      <x:c r="T154" s="56" t="str">
        <x:v>Bloque_6_Documento_Madre_Capa1_v2_1_EVE_rev4_reconstruido.docx</x:v>
      </x:c>
      <x:c r="U154" s="56" t="str">
        <x:v>32120139abad0348c007c31b16ee38e7e18954d85a6dca8054c48c4a96732b2d</x:v>
      </x:c>
      <x:c r="V154" s="56" t="str">
        <x:v>Selección única</x:v>
      </x:c>
      <x:c r="W154" s="56" t="str">
        <x:v>Mostrar opciones autorizadas; permitir una sola selección; opción literal preservada.</x:v>
      </x:c>
      <x:c r="X154" s="56" t="str">
        <x:v>scalar:string</x:v>
      </x:c>
      <x:c r="Y154" s="56" t="str">
        <x:v>Campo options / catálogo dinámico rector</x:v>
      </x:c>
      <x:c r="Z154" s="56" t="str">
        <x:v>slot_ref server-issued; no mapear por label ni posición.</x:v>
      </x:c>
      <x:c r="AA154" s="56" t="str">
        <x:v>EXPLICIT_FIELD_TYPE</x:v>
      </x:c>
      <x:c r="AB154" s="56" t="str">
        <x:v>Pantalla específica Bloque 6</x:v>
      </x:c>
      <x:c r="AC154" s="66" t="str"/>
      <x:c r="AD154" s="66" t="str">
        <x:v>No evaluado</x:v>
      </x:c>
      <x:c r="AE154" s="66" t="str">
        <x:v>No evaluado</x:v>
      </x:c>
      <x:c r="AF154" s="66" t="str">
        <x:v>No evaluado</x:v>
      </x:c>
      <x:c r="AG154" s="66" t="str">
        <x:v>No ejecutado</x:v>
      </x:c>
      <x:c r="AH154" s="68" t="str">
        <x:f>IF(AND(AD154="No evaluado",AE154="No evaluado",AF154="No evaluado",AG154="No ejecutado"),"No evaluado",IF(OR(AD154="Bloqueado",AE154="Bloqueado",AF154="Bloqueado",AG154="Bloqueado"),"Bloqueado",IF(OR(AE154="No conforme",AF154="No conforme",AG154="Falló"),"No conforme",IF(AND(OR(AD154="Implementado",AD154="No aplica"),OR(AE154="Conforme",AE154="No aplica"),OR(AF154="Conforme",AF154="No aplica"),OR(AG154="Pasó",AG154="No aplica")),"Conforme","Parcial"))))</x:f>
        <x:v>No evaluado</x:v>
      </x:c>
      <x:c r="AI154" s="56" t="str">
        <x:v>No conforme</x:v>
      </x:c>
      <x:c r="AJ154" s="66" t="str"/>
      <x:c r="AK154" s="66" t="str"/>
      <x:c r="AL154" s="56" t="str">
        <x:v>VALIDATED_044A3M / 170 identity tuples</x:v>
      </x:c>
      <x:c r="AM154" s="56" t="str">
        <x:v>TR-005; TR-006; TR-008; TR-016; TR-019; TR-028; TR-029</x:v>
      </x:c>
      <x:c r="AN154" s="66" t="str"/>
    </x:row>
    <x:row r="155" ht="58" customHeight="1">
      <x:c r="A155" s="56" t="str">
        <x:v>C18</x:v>
      </x:c>
      <x:c r="B155" s="56" t="str">
        <x:v>6</x:v>
      </x:c>
      <x:c r="C155" s="56" t="str">
        <x:v>causal_20</x:v>
      </x:c>
      <x:c r="D155" s="56" t="n">
        <x:v>18</x:v>
      </x:c>
      <x:c r="E155" s="56" t="n">
        <x:v>3</x:v>
      </x:c>
      <x:c r="F155" s="56" t="str">
        <x:v>B6_6_7a</x:v>
      </x:c>
      <x:c r="G155" s="56" t="str">
        <x:v>6.7a</x:v>
      </x:c>
      <x:c r="H155" s="56" t="str">
        <x:v>¿Cuál es la parte más difícil? ¿Es el volumen, la complejidad, la falta de información, el tiempo, o algo más?</x:v>
      </x:c>
      <x:c r="I155" s="56" t="str">
        <x:v>Ayuda al usuario redactada en lenguaje de escena, orientada a describir lo que pasa en la práctica y no a explicar la lógica interna del sistema.</x:v>
      </x:c>
      <x:c r="J155" s="56" t="str">
        <x:v>free_text</x:v>
      </x:c>
      <x:c r="K155" s="56" t="str">
        <x:v>free_text</x:v>
      </x:c>
      <x:c r="L155" s="56" t="str">
        <x:v>N/A</x:v>
      </x:c>
      <x:c r="M155" s="56"/>
      <x:c r="N155" s="56" t="str"/>
      <x:c r="O155" s="56"/>
      <x:c r="P155" s="56" t="str">
        <x:v>visible_capture</x:v>
      </x:c>
      <x:c r="Q155" s="56" t="str">
        <x:v>DIRECT_CAPTURE_ONLY</x:v>
      </x:c>
      <x:c r="R155" s="56" t="str">
        <x:v>effort_cost_driver</x:v>
      </x:c>
      <x:c r="S155" s="56" t="str">
        <x:v>captured_user_evidence</x:v>
      </x:c>
      <x:c r="T155" s="56" t="str">
        <x:v>Bloque_6_Documento_Madre_Capa1_v2_1_EVE_rev4_reconstruido.docx</x:v>
      </x:c>
      <x:c r="U155" s="56" t="str">
        <x:v>32120139abad0348c007c31b16ee38e7e18954d85a6dca8054c48c4a96732b2d</x:v>
      </x:c>
      <x:c r="V155" s="56" t="str">
        <x:v>Texto libre</x:v>
      </x:c>
      <x:c r="W155" s="56" t="str">
        <x:v>Capturar texto literal sin clasificación semántica cliente.</x:v>
      </x:c>
      <x:c r="X155" s="56" t="str">
        <x:v>scalar:string</x:v>
      </x:c>
      <x:c r="Y155" s="56" t="str">
        <x:v>No aplica</x:v>
      </x:c>
      <x:c r="Z155" s="56" t="str">
        <x:v>slot_ref server-issued; valor humano únicamente.</x:v>
      </x:c>
      <x:c r="AA155" s="56" t="str">
        <x:v>EXPLICIT_FIELD_TYPE</x:v>
      </x:c>
      <x:c r="AB155" s="56" t="str">
        <x:v>Pantalla específica Bloque 6</x:v>
      </x:c>
      <x:c r="AC155" s="66" t="str"/>
      <x:c r="AD155" s="66" t="str">
        <x:v>No evaluado</x:v>
      </x:c>
      <x:c r="AE155" s="66" t="str">
        <x:v>No evaluado</x:v>
      </x:c>
      <x:c r="AF155" s="66" t="str">
        <x:v>No evaluado</x:v>
      </x:c>
      <x:c r="AG155" s="66" t="str">
        <x:v>No ejecutado</x:v>
      </x:c>
      <x:c r="AH155" s="68" t="str">
        <x:f>IF(AND(AD155="No evaluado",AE155="No evaluado",AF155="No evaluado",AG155="No ejecutado"),"No evaluado",IF(OR(AD155="Bloqueado",AE155="Bloqueado",AF155="Bloqueado",AG155="Bloqueado"),"Bloqueado",IF(OR(AE155="No conforme",AF155="No conforme",AG155="Falló"),"No conforme",IF(AND(OR(AD155="Implementado",AD155="No aplica"),OR(AE155="Conforme",AE155="No aplica"),OR(AF155="Conforme",AF155="No aplica"),OR(AG155="Pasó",AG155="No aplica")),"Conforme","Parcial"))))</x:f>
        <x:v>No evaluado</x:v>
      </x:c>
      <x:c r="AI155" s="56" t="str">
        <x:v>Compatible</x:v>
      </x:c>
      <x:c r="AJ155" s="66" t="str"/>
      <x:c r="AK155" s="66" t="str"/>
      <x:c r="AL155" s="56" t="str">
        <x:v>VALIDATED_044A3M / 170 identity tuples</x:v>
      </x:c>
      <x:c r="AM155" s="56" t="str">
        <x:v>TR-005; TR-006; TR-008; TR-016; TR-019; TR-028; TR-029</x:v>
      </x:c>
      <x:c r="AN155" s="66" t="str"/>
    </x:row>
    <x:row r="156" ht="58" customHeight="1">
      <x:c r="A156" s="56" t="str">
        <x:v>C18</x:v>
      </x:c>
      <x:c r="B156" s="56" t="str">
        <x:v>6</x:v>
      </x:c>
      <x:c r="C156" s="56" t="str">
        <x:v>causal_20</x:v>
      </x:c>
      <x:c r="D156" s="56" t="n">
        <x:v>18</x:v>
      </x:c>
      <x:c r="E156" s="56" t="n">
        <x:v>4</x:v>
      </x:c>
      <x:c r="F156" s="56" t="str">
        <x:v>B6_6_7b</x:v>
      </x:c>
      <x:c r="G156" s="56" t="str">
        <x:v>6.7b</x:v>
      </x:c>
      <x:c r="H156" s="56" t="str">
        <x:v>¿Ese esfuerzo está reflejado en tu descripción de trabajo o en cómo te evalúan?</x:v>
      </x:c>
      <x:c r="I156" s="56" t="str">
        <x:v>Ayuda al usuario redactada en lenguaje de escena, orientada a describir lo que pasa en la práctica y no a explicar la lógica interna del sistema.</x:v>
      </x:c>
      <x:c r="J156" s="56" t="str">
        <x:v>single_choice</x:v>
      </x:c>
      <x:c r="K156" s="56" t="str">
        <x:v>single_choice</x:v>
      </x:c>
      <x:c r="L156" s="56" t="str">
        <x:v>Ver catálogo resumido del bloque o enumeración contextual correspondiente.</x:v>
      </x:c>
      <x:c r="M156" s="56"/>
      <x:c r="N156" s="56" t="str"/>
      <x:c r="O156" s="56"/>
      <x:c r="P156" s="56" t="str">
        <x:v>visible_capture</x:v>
      </x:c>
      <x:c r="Q156" s="56" t="str">
        <x:v>DIRECT_CAPTURE_ONLY</x:v>
      </x:c>
      <x:c r="R156" s="56" t="str">
        <x:v>effort_cost_recognized</x:v>
      </x:c>
      <x:c r="S156" s="56" t="str">
        <x:v>captured_user_evidence</x:v>
      </x:c>
      <x:c r="T156" s="56" t="str">
        <x:v>Bloque_6_Documento_Madre_Capa1_v2_1_EVE_rev4_reconstruido.docx</x:v>
      </x:c>
      <x:c r="U156" s="56" t="str">
        <x:v>32120139abad0348c007c31b16ee38e7e18954d85a6dca8054c48c4a96732b2d</x:v>
      </x:c>
      <x:c r="V156" s="56" t="str">
        <x:v>Selección única</x:v>
      </x:c>
      <x:c r="W156" s="56" t="str">
        <x:v>Mostrar opciones autorizadas; permitir una sola selección; opción literal preservada.</x:v>
      </x:c>
      <x:c r="X156" s="56" t="str">
        <x:v>scalar:string</x:v>
      </x:c>
      <x:c r="Y156" s="56" t="str">
        <x:v>Campo options / catálogo dinámico rector</x:v>
      </x:c>
      <x:c r="Z156" s="56" t="str">
        <x:v>slot_ref server-issued; no mapear por label ni posición.</x:v>
      </x:c>
      <x:c r="AA156" s="56" t="str">
        <x:v>EXPLICIT_FIELD_TYPE</x:v>
      </x:c>
      <x:c r="AB156" s="56" t="str">
        <x:v>Pantalla específica Bloque 6</x:v>
      </x:c>
      <x:c r="AC156" s="66" t="str"/>
      <x:c r="AD156" s="66" t="str">
        <x:v>No evaluado</x:v>
      </x:c>
      <x:c r="AE156" s="66" t="str">
        <x:v>No evaluado</x:v>
      </x:c>
      <x:c r="AF156" s="66" t="str">
        <x:v>No evaluado</x:v>
      </x:c>
      <x:c r="AG156" s="66" t="str">
        <x:v>No ejecutado</x:v>
      </x:c>
      <x:c r="AH156" s="68" t="str">
        <x:f>IF(AND(AD156="No evaluado",AE156="No evaluado",AF156="No evaluado",AG156="No ejecutado"),"No evaluado",IF(OR(AD156="Bloqueado",AE156="Bloqueado",AF156="Bloqueado",AG156="Bloqueado"),"Bloqueado",IF(OR(AE156="No conforme",AF156="No conforme",AG156="Falló"),"No conforme",IF(AND(OR(AD156="Implementado",AD156="No aplica"),OR(AE156="Conforme",AE156="No aplica"),OR(AF156="Conforme",AF156="No aplica"),OR(AG156="Pasó",AG156="No aplica")),"Conforme","Parcial"))))</x:f>
        <x:v>No evaluado</x:v>
      </x:c>
      <x:c r="AI156" s="56" t="str">
        <x:v>No conforme</x:v>
      </x:c>
      <x:c r="AJ156" s="66" t="str"/>
      <x:c r="AK156" s="66" t="str"/>
      <x:c r="AL156" s="56" t="str">
        <x:v>VALIDATED_044A3M / 170 identity tuples</x:v>
      </x:c>
      <x:c r="AM156" s="56" t="str">
        <x:v>TR-005; TR-006; TR-008; TR-016; TR-019; TR-028; TR-029</x:v>
      </x:c>
      <x:c r="AN156" s="66" t="str"/>
    </x:row>
    <x:row r="157" ht="58" customHeight="1">
      <x:c r="A157" s="56" t="str">
        <x:v>C18</x:v>
      </x:c>
      <x:c r="B157" s="56" t="str">
        <x:v>6</x:v>
      </x:c>
      <x:c r="C157" s="56" t="str">
        <x:v>causal_20</x:v>
      </x:c>
      <x:c r="D157" s="56" t="n">
        <x:v>18</x:v>
      </x:c>
      <x:c r="E157" s="56" t="n">
        <x:v>5</x:v>
      </x:c>
      <x:c r="F157" s="56" t="str">
        <x:v>B6_6_C</x:v>
      </x:c>
      <x:c r="G157" s="56" t="str">
        <x:v>6.C</x:v>
      </x:c>
      <x:c r="H157" s="56" t="str">
        <x:v>Mencionaste un sacrificio, pero parece que ya lo ves como normal. ¿Crees que debería ser así, o es solo que ya estás acostumbrado?</x:v>
      </x:c>
      <x:c r="I157" s="56" t="str">
        <x:v>Ayúdanos a precisar si ese costo se volvió normal por costumbre o si realmente lo consideras razonable en esta actividad.
Ejemplo 1: Respondo emails de clientes a las 11 PM. Es parte del trabajo, aunque no está en mi contrato. ¿Es razonable? No. Pero si no lo hago, pierdo la venta
Ejemplo 2: Hago reportes manuales porque el sistema no funciona bien. Pierdo 3 horas por semana. ¿Debería invertir en un sistema mejor? Sí. Pero nadie lo hace</x:v>
      </x:c>
      <x:c r="J157" s="56" t="str">
        <x:v>free_text</x:v>
      </x:c>
      <x:c r="K157" s="56" t="str">
        <x:v>clarification</x:v>
      </x:c>
      <x:c r="L157" s="56" t="str">
        <x:v>N/A</x:v>
      </x:c>
      <x:c r="M157" s="56" t="str">
        <x:v>Obligatoria solo si el motor la dispara.</x:v>
      </x:c>
      <x:c r="N157" s="56" t="str">
        <x:v>No aparece en flujo normal.</x:v>
      </x:c>
      <x:c r="O157" s="56" t="str">
        <x:v>No reemplaza evidencia original; vive separada como aclaración.</x:v>
      </x:c>
      <x:c r="P157" s="56" t="str">
        <x:v>conditional_clarification</x:v>
      </x:c>
      <x:c r="Q157" s="56" t="str">
        <x:v>CLARIFICATION_SEPARATE</x:v>
      </x:c>
      <x:c r="R157" s="56" t="str">
        <x:v>compensation_clarification_normalized_cost</x:v>
      </x:c>
      <x:c r="S157" s="56" t="str">
        <x:v>clarification</x:v>
      </x:c>
      <x:c r="T157" s="56" t="str">
        <x:v>Bloque_6_Documento_Madre_Capa1_v2_1_EVE_rev4_reconstruido.docx</x:v>
      </x:c>
      <x:c r="U157" s="56" t="str">
        <x:v>32120139abad0348c007c31b16ee38e7e18954d85a6dca8054c48c4a96732b2d</x:v>
      </x:c>
      <x:c r="V157" s="56" t="str">
        <x:v>Texto libre</x:v>
      </x:c>
      <x:c r="W157" s="56" t="str">
        <x:v>Capturar texto literal sin clasificación semántica cliente.</x:v>
      </x:c>
      <x:c r="X157" s="56" t="str">
        <x:v>scalar:string</x:v>
      </x:c>
      <x:c r="Y157" s="56" t="str">
        <x:v>No aplica</x:v>
      </x:c>
      <x:c r="Z157" s="56" t="str">
        <x:v>slot_ref server-issued; valor humano únicamente.</x:v>
      </x:c>
      <x:c r="AA157" s="56" t="str">
        <x:v>EXPLICIT_FIELD_TYPE</x:v>
      </x:c>
      <x:c r="AB157" s="56" t="str">
        <x:v>Pantalla específica Bloque 6</x:v>
      </x:c>
      <x:c r="AC157" s="66" t="str"/>
      <x:c r="AD157" s="66" t="str">
        <x:v>No evaluado</x:v>
      </x:c>
      <x:c r="AE157" s="66" t="str">
        <x:v>No evaluado</x:v>
      </x:c>
      <x:c r="AF157" s="66" t="str">
        <x:v>No evaluado</x:v>
      </x:c>
      <x:c r="AG157" s="66" t="str">
        <x:v>No ejecutado</x:v>
      </x:c>
      <x:c r="AH157" s="68" t="str">
        <x:f>IF(AND(AD157="No evaluado",AE157="No evaluado",AF157="No evaluado",AG157="No ejecutado"),"No evaluado",IF(OR(AD157="Bloqueado",AE157="Bloqueado",AF157="Bloqueado",AG157="Bloqueado"),"Bloqueado",IF(OR(AE157="No conforme",AF157="No conforme",AG157="Falló"),"No conforme",IF(AND(OR(AD157="Implementado",AD157="No aplica"),OR(AE157="Conforme",AE157="No aplica"),OR(AF157="Conforme",AF157="No aplica"),OR(AG157="Pasó",AG157="No aplica")),"Conforme","Parcial"))))</x:f>
        <x:v>No evaluado</x:v>
      </x:c>
      <x:c r="AI157" s="56" t="str">
        <x:v>Compatible</x:v>
      </x:c>
      <x:c r="AJ157" s="66" t="str"/>
      <x:c r="AK157" s="66" t="str"/>
      <x:c r="AL157" s="56" t="str">
        <x:v>VALIDATED_044A3M / 170 identity tuples</x:v>
      </x:c>
      <x:c r="AM157" s="56" t="str">
        <x:v>TR-005; TR-006; TR-008; TR-016; TR-019; TR-028; TR-029</x:v>
      </x:c>
      <x:c r="AN157" s="66" t="str"/>
    </x:row>
    <x:row r="158" ht="58" customHeight="1">
      <x:c r="A158" s="56" t="str">
        <x:v>C19</x:v>
      </x:c>
      <x:c r="B158" s="56" t="str">
        <x:v>6</x:v>
      </x:c>
      <x:c r="C158" s="56" t="str">
        <x:v>causal_20</x:v>
      </x:c>
      <x:c r="D158" s="56" t="n">
        <x:v>19</x:v>
      </x:c>
      <x:c r="E158" s="56" t="n">
        <x:v>1</x:v>
      </x:c>
      <x:c r="F158" s="56" t="str">
        <x:v>B6_6_9a</x:v>
      </x:c>
      <x:c r="G158" s="56" t="str">
        <x:v>6.9a</x:v>
      </x:c>
      <x:c r="H158" s="56" t="str">
        <x:v>¿Bajo qué circunstancias ocurre?</x:v>
      </x:c>
      <x:c r="I158" s="56" t="str">
        <x:v>Ayuda al usuario redactada en lenguaje de escena, orientada a describir lo que pasa en la práctica y no a explicar la lógica interna del sistema.</x:v>
      </x:c>
      <x:c r="J158" s="56" t="str">
        <x:v>free_text</x:v>
      </x:c>
      <x:c r="K158" s="56" t="str">
        <x:v>free_text</x:v>
      </x:c>
      <x:c r="L158" s="56" t="str">
        <x:v>N/A</x:v>
      </x:c>
      <x:c r="M158" s="56"/>
      <x:c r="N158" s="56" t="str"/>
      <x:c r="O158" s="56"/>
      <x:c r="P158" s="56" t="str">
        <x:v>visible_capture</x:v>
      </x:c>
      <x:c r="Q158" s="56" t="str">
        <x:v>DIRECT_CAPTURE_ONLY</x:v>
      </x:c>
      <x:c r="R158" s="56" t="str">
        <x:v>failure_pattern_conditions</x:v>
      </x:c>
      <x:c r="S158" s="56" t="str">
        <x:v>captured_user_evidence</x:v>
      </x:c>
      <x:c r="T158" s="56" t="str">
        <x:v>Bloque_6_Documento_Madre_Capa1_v2_1_EVE_rev4_reconstruido.docx</x:v>
      </x:c>
      <x:c r="U158" s="56" t="str">
        <x:v>32120139abad0348c007c31b16ee38e7e18954d85a6dca8054c48c4a96732b2d</x:v>
      </x:c>
      <x:c r="V158" s="56" t="str">
        <x:v>Texto libre</x:v>
      </x:c>
      <x:c r="W158" s="56" t="str">
        <x:v>Capturar texto literal sin clasificación semántica cliente.</x:v>
      </x:c>
      <x:c r="X158" s="56" t="str">
        <x:v>scalar:string</x:v>
      </x:c>
      <x:c r="Y158" s="56" t="str">
        <x:v>No aplica</x:v>
      </x:c>
      <x:c r="Z158" s="56" t="str">
        <x:v>slot_ref server-issued; valor humano únicamente.</x:v>
      </x:c>
      <x:c r="AA158" s="56" t="str">
        <x:v>EXPLICIT_FIELD_TYPE</x:v>
      </x:c>
      <x:c r="AB158" s="56" t="str">
        <x:v>Pantalla específica Bloque 6</x:v>
      </x:c>
      <x:c r="AC158" s="66" t="str"/>
      <x:c r="AD158" s="66" t="str">
        <x:v>No evaluado</x:v>
      </x:c>
      <x:c r="AE158" s="66" t="str">
        <x:v>No evaluado</x:v>
      </x:c>
      <x:c r="AF158" s="66" t="str">
        <x:v>No evaluado</x:v>
      </x:c>
      <x:c r="AG158" s="66" t="str">
        <x:v>No ejecutado</x:v>
      </x:c>
      <x:c r="AH158" s="68" t="str">
        <x:f>IF(AND(AD158="No evaluado",AE158="No evaluado",AF158="No evaluado",AG158="No ejecutado"),"No evaluado",IF(OR(AD158="Bloqueado",AE158="Bloqueado",AF158="Bloqueado",AG158="Bloqueado"),"Bloqueado",IF(OR(AE158="No conforme",AF158="No conforme",AG158="Falló"),"No conforme",IF(AND(OR(AD158="Implementado",AD158="No aplica"),OR(AE158="Conforme",AE158="No aplica"),OR(AF158="Conforme",AF158="No aplica"),OR(AG158="Pasó",AG158="No aplica")),"Conforme","Parcial"))))</x:f>
        <x:v>No evaluado</x:v>
      </x:c>
      <x:c r="AI158" s="56" t="str">
        <x:v>Compatible</x:v>
      </x:c>
      <x:c r="AJ158" s="66" t="str"/>
      <x:c r="AK158" s="66" t="str"/>
      <x:c r="AL158" s="56" t="str">
        <x:v>VALIDATED_044A3M / 170 identity tuples</x:v>
      </x:c>
      <x:c r="AM158" s="56" t="str">
        <x:v>TR-005; TR-006; TR-008; TR-016; TR-019; TR-028; TR-029</x:v>
      </x:c>
      <x:c r="AN158" s="66" t="str"/>
    </x:row>
    <x:row r="159" ht="58" customHeight="1">
      <x:c r="A159" s="56" t="str">
        <x:v>C19</x:v>
      </x:c>
      <x:c r="B159" s="56" t="str">
        <x:v>6</x:v>
      </x:c>
      <x:c r="C159" s="56" t="str">
        <x:v>causal_20</x:v>
      </x:c>
      <x:c r="D159" s="56" t="n">
        <x:v>19</x:v>
      </x:c>
      <x:c r="E159" s="56" t="n">
        <x:v>2</x:v>
      </x:c>
      <x:c r="F159" s="56" t="str">
        <x:v>B6_6_9b</x:v>
      </x:c>
      <x:c r="G159" s="56" t="str">
        <x:v>6.9b</x:v>
      </x:c>
      <x:c r="H159" s="56" t="str">
        <x:v>¿Cuántas veces ha ocurrido? ¿Es predecible?</x:v>
      </x:c>
      <x:c r="I159" s="56" t="str">
        <x:v>Ayuda al usuario redactada en lenguaje de escena, orientada a describir lo que pasa en la práctica y no a explicar la lógica interna del sistema.</x:v>
      </x:c>
      <x:c r="J159" s="56" t="str">
        <x:v>free_text</x:v>
      </x:c>
      <x:c r="K159" s="56" t="str">
        <x:v>free_text</x:v>
      </x:c>
      <x:c r="L159" s="56" t="str">
        <x:v>N/A</x:v>
      </x:c>
      <x:c r="M159" s="56"/>
      <x:c r="N159" s="56" t="str"/>
      <x:c r="O159" s="56"/>
      <x:c r="P159" s="56" t="str">
        <x:v>visible_capture</x:v>
      </x:c>
      <x:c r="Q159" s="56" t="str">
        <x:v>DIRECT_CAPTURE_ONLY</x:v>
      </x:c>
      <x:c r="R159" s="56" t="str">
        <x:v>failure_pattern_frequency</x:v>
      </x:c>
      <x:c r="S159" s="56" t="str">
        <x:v>captured_user_evidence</x:v>
      </x:c>
      <x:c r="T159" s="56" t="str">
        <x:v>Bloque_6_Documento_Madre_Capa1_v2_1_EVE_rev4_reconstruido.docx</x:v>
      </x:c>
      <x:c r="U159" s="56" t="str">
        <x:v>32120139abad0348c007c31b16ee38e7e18954d85a6dca8054c48c4a96732b2d</x:v>
      </x:c>
      <x:c r="V159" s="56" t="str">
        <x:v>Texto libre</x:v>
      </x:c>
      <x:c r="W159" s="56" t="str">
        <x:v>Capturar texto literal sin clasificación semántica cliente.</x:v>
      </x:c>
      <x:c r="X159" s="56" t="str">
        <x:v>scalar:string</x:v>
      </x:c>
      <x:c r="Y159" s="56" t="str">
        <x:v>No aplica</x:v>
      </x:c>
      <x:c r="Z159" s="56" t="str">
        <x:v>slot_ref server-issued; valor humano únicamente.</x:v>
      </x:c>
      <x:c r="AA159" s="56" t="str">
        <x:v>EXPLICIT_FIELD_TYPE</x:v>
      </x:c>
      <x:c r="AB159" s="56" t="str">
        <x:v>Pantalla específica Bloque 6</x:v>
      </x:c>
      <x:c r="AC159" s="66" t="str"/>
      <x:c r="AD159" s="66" t="str">
        <x:v>No evaluado</x:v>
      </x:c>
      <x:c r="AE159" s="66" t="str">
        <x:v>No evaluado</x:v>
      </x:c>
      <x:c r="AF159" s="66" t="str">
        <x:v>No evaluado</x:v>
      </x:c>
      <x:c r="AG159" s="66" t="str">
        <x:v>No ejecutado</x:v>
      </x:c>
      <x:c r="AH159" s="68" t="str">
        <x:f>IF(AND(AD159="No evaluado",AE159="No evaluado",AF159="No evaluado",AG159="No ejecutado"),"No evaluado",IF(OR(AD159="Bloqueado",AE159="Bloqueado",AF159="Bloqueado",AG159="Bloqueado"),"Bloqueado",IF(OR(AE159="No conforme",AF159="No conforme",AG159="Falló"),"No conforme",IF(AND(OR(AD159="Implementado",AD159="No aplica"),OR(AE159="Conforme",AE159="No aplica"),OR(AF159="Conforme",AF159="No aplica"),OR(AG159="Pasó",AG159="No aplica")),"Conforme","Parcial"))))</x:f>
        <x:v>No evaluado</x:v>
      </x:c>
      <x:c r="AI159" s="56" t="str">
        <x:v>Compatible</x:v>
      </x:c>
      <x:c r="AJ159" s="66" t="str"/>
      <x:c r="AK159" s="66" t="str"/>
      <x:c r="AL159" s="56" t="str">
        <x:v>VALIDATED_044A3M / 170 identity tuples</x:v>
      </x:c>
      <x:c r="AM159" s="56" t="str">
        <x:v>TR-005; TR-006; TR-008; TR-016; TR-019; TR-028; TR-029</x:v>
      </x:c>
      <x:c r="AN159" s="66" t="str"/>
    </x:row>
    <x:row r="160" ht="58" customHeight="1">
      <x:c r="A160" s="56" t="str">
        <x:v>C19</x:v>
      </x:c>
      <x:c r="B160" s="56" t="str">
        <x:v>6</x:v>
      </x:c>
      <x:c r="C160" s="56" t="str">
        <x:v>causal_20</x:v>
      </x:c>
      <x:c r="D160" s="56" t="n">
        <x:v>19</x:v>
      </x:c>
      <x:c r="E160" s="56" t="n">
        <x:v>3</x:v>
      </x:c>
      <x:c r="F160" s="56" t="str">
        <x:v>B6_6_9c</x:v>
      </x:c>
      <x:c r="G160" s="56" t="str">
        <x:v>6.9c</x:v>
      </x:c>
      <x:c r="H160" s="56" t="str">
        <x:v>¿Se ha intentado arreglarlo? ¿Qué pasó?</x:v>
      </x:c>
      <x:c r="I160" s="56" t="str">
        <x:v>Ayuda al usuario redactada en lenguaje de escena, orientada a describir lo que pasa en la práctica y no a explicar la lógica interna del sistema.</x:v>
      </x:c>
      <x:c r="J160" s="56" t="str">
        <x:v>free_text</x:v>
      </x:c>
      <x:c r="K160" s="56" t="str">
        <x:v>free_text</x:v>
      </x:c>
      <x:c r="L160" s="56" t="str">
        <x:v>N/A</x:v>
      </x:c>
      <x:c r="M160" s="56"/>
      <x:c r="N160" s="56" t="str"/>
      <x:c r="O160" s="56"/>
      <x:c r="P160" s="56" t="str">
        <x:v>visible_capture</x:v>
      </x:c>
      <x:c r="Q160" s="56" t="str">
        <x:v>DIRECT_CAPTURE_ONLY</x:v>
      </x:c>
      <x:c r="R160" s="56" t="str">
        <x:v>failure_pattern_fix_attempt</x:v>
      </x:c>
      <x:c r="S160" s="56" t="str">
        <x:v>captured_user_evidence</x:v>
      </x:c>
      <x:c r="T160" s="56" t="str">
        <x:v>Bloque_6_Documento_Madre_Capa1_v2_1_EVE_rev4_reconstruido.docx</x:v>
      </x:c>
      <x:c r="U160" s="56" t="str">
        <x:v>32120139abad0348c007c31b16ee38e7e18954d85a6dca8054c48c4a96732b2d</x:v>
      </x:c>
      <x:c r="V160" s="56" t="str">
        <x:v>Texto libre</x:v>
      </x:c>
      <x:c r="W160" s="56" t="str">
        <x:v>Capturar texto literal sin clasificación semántica cliente.</x:v>
      </x:c>
      <x:c r="X160" s="56" t="str">
        <x:v>scalar:string</x:v>
      </x:c>
      <x:c r="Y160" s="56" t="str">
        <x:v>No aplica</x:v>
      </x:c>
      <x:c r="Z160" s="56" t="str">
        <x:v>slot_ref server-issued; valor humano únicamente.</x:v>
      </x:c>
      <x:c r="AA160" s="56" t="str">
        <x:v>EXPLICIT_FIELD_TYPE</x:v>
      </x:c>
      <x:c r="AB160" s="56" t="str">
        <x:v>Pantalla específica Bloque 6</x:v>
      </x:c>
      <x:c r="AC160" s="66" t="str"/>
      <x:c r="AD160" s="66" t="str">
        <x:v>No evaluado</x:v>
      </x:c>
      <x:c r="AE160" s="66" t="str">
        <x:v>No evaluado</x:v>
      </x:c>
      <x:c r="AF160" s="66" t="str">
        <x:v>No evaluado</x:v>
      </x:c>
      <x:c r="AG160" s="66" t="str">
        <x:v>No ejecutado</x:v>
      </x:c>
      <x:c r="AH160" s="68" t="str">
        <x:f>IF(AND(AD160="No evaluado",AE160="No evaluado",AF160="No evaluado",AG160="No ejecutado"),"No evaluado",IF(OR(AD160="Bloqueado",AE160="Bloqueado",AF160="Bloqueado",AG160="Bloqueado"),"Bloqueado",IF(OR(AE160="No conforme",AF160="No conforme",AG160="Falló"),"No conforme",IF(AND(OR(AD160="Implementado",AD160="No aplica"),OR(AE160="Conforme",AE160="No aplica"),OR(AF160="Conforme",AF160="No aplica"),OR(AG160="Pasó",AG160="No aplica")),"Conforme","Parcial"))))</x:f>
        <x:v>No evaluado</x:v>
      </x:c>
      <x:c r="AI160" s="56" t="str">
        <x:v>Compatible</x:v>
      </x:c>
      <x:c r="AJ160" s="66" t="str"/>
      <x:c r="AK160" s="66" t="str"/>
      <x:c r="AL160" s="56" t="str">
        <x:v>VALIDATED_044A3M / 170 identity tuples</x:v>
      </x:c>
      <x:c r="AM160" s="56" t="str">
        <x:v>TR-005; TR-006; TR-008; TR-016; TR-019; TR-028; TR-029</x:v>
      </x:c>
      <x:c r="AN160" s="66" t="str"/>
    </x:row>
    <x:row r="161" ht="58" customHeight="1">
      <x:c r="A161" s="56" t="str">
        <x:v>C19</x:v>
      </x:c>
      <x:c r="B161" s="56" t="str">
        <x:v>6</x:v>
      </x:c>
      <x:c r="C161" s="56" t="str">
        <x:v>causal_20</x:v>
      </x:c>
      <x:c r="D161" s="56" t="n">
        <x:v>19</x:v>
      </x:c>
      <x:c r="E161" s="56" t="n">
        <x:v>4</x:v>
      </x:c>
      <x:c r="F161" s="56" t="str">
        <x:v>B6_6_10a</x:v>
      </x:c>
      <x:c r="G161" s="56" t="str">
        <x:v>6.10a</x:v>
      </x:c>
      <x:c r="H161" s="56" t="str">
        <x:v>De todo lo que haces en esta actividad, ¿cuánto es trabajo que no está específicamente dentro de ella?</x:v>
      </x:c>
      <x:c r="I161" s="56" t="str">
        <x:v>Ayuda al usuario redactada en lenguaje de escena, orientada a describir lo que pasa en la práctica y no a explicar la lógica interna del sistema.</x:v>
      </x:c>
      <x:c r="J161" s="56" t="str">
        <x:v>single_choice</x:v>
      </x:c>
      <x:c r="K161" s="56" t="str">
        <x:v>single_choice</x:v>
      </x:c>
      <x:c r="L161" s="56" t="str">
        <x:v>Ver catálogo resumido del bloque o enumeración contextual correspondiente.</x:v>
      </x:c>
      <x:c r="M161" s="56"/>
      <x:c r="N161" s="56" t="str"/>
      <x:c r="O161" s="56"/>
      <x:c r="P161" s="56" t="str">
        <x:v>visible_capture</x:v>
      </x:c>
      <x:c r="Q161" s="56" t="str">
        <x:v>DIRECT_CAPTURE_ONLY</x:v>
      </x:c>
      <x:c r="R161" s="56" t="str">
        <x:v>extra_work_share</x:v>
      </x:c>
      <x:c r="S161" s="56" t="str">
        <x:v>captured_user_evidence</x:v>
      </x:c>
      <x:c r="T161" s="56" t="str">
        <x:v>Bloque_6_Documento_Madre_Capa1_v2_1_EVE_rev4_reconstruido.docx</x:v>
      </x:c>
      <x:c r="U161" s="56" t="str">
        <x:v>32120139abad0348c007c31b16ee38e7e18954d85a6dca8054c48c4a96732b2d</x:v>
      </x:c>
      <x:c r="V161" s="56" t="str">
        <x:v>Selección única</x:v>
      </x:c>
      <x:c r="W161" s="56" t="str">
        <x:v>Mostrar opciones autorizadas; permitir una sola selección; opción literal preservada.</x:v>
      </x:c>
      <x:c r="X161" s="56" t="str">
        <x:v>scalar:string</x:v>
      </x:c>
      <x:c r="Y161" s="56" t="str">
        <x:v>Campo options / catálogo dinámico rector</x:v>
      </x:c>
      <x:c r="Z161" s="56" t="str">
        <x:v>slot_ref server-issued; no mapear por label ni posición.</x:v>
      </x:c>
      <x:c r="AA161" s="56" t="str">
        <x:v>EXPLICIT_FIELD_TYPE</x:v>
      </x:c>
      <x:c r="AB161" s="56" t="str">
        <x:v>Pantalla específica Bloque 6</x:v>
      </x:c>
      <x:c r="AC161" s="66" t="str"/>
      <x:c r="AD161" s="66" t="str">
        <x:v>No evaluado</x:v>
      </x:c>
      <x:c r="AE161" s="66" t="str">
        <x:v>No evaluado</x:v>
      </x:c>
      <x:c r="AF161" s="66" t="str">
        <x:v>No evaluado</x:v>
      </x:c>
      <x:c r="AG161" s="66" t="str">
        <x:v>No ejecutado</x:v>
      </x:c>
      <x:c r="AH161" s="68" t="str">
        <x:f>IF(AND(AD161="No evaluado",AE161="No evaluado",AF161="No evaluado",AG161="No ejecutado"),"No evaluado",IF(OR(AD161="Bloqueado",AE161="Bloqueado",AF161="Bloqueado",AG161="Bloqueado"),"Bloqueado",IF(OR(AE161="No conforme",AF161="No conforme",AG161="Falló"),"No conforme",IF(AND(OR(AD161="Implementado",AD161="No aplica"),OR(AE161="Conforme",AE161="No aplica"),OR(AF161="Conforme",AF161="No aplica"),OR(AG161="Pasó",AG161="No aplica")),"Conforme","Parcial"))))</x:f>
        <x:v>No evaluado</x:v>
      </x:c>
      <x:c r="AI161" s="56" t="str">
        <x:v>No conforme</x:v>
      </x:c>
      <x:c r="AJ161" s="66" t="str"/>
      <x:c r="AK161" s="66" t="str"/>
      <x:c r="AL161" s="56" t="str">
        <x:v>VALIDATED_044A3M / 170 identity tuples</x:v>
      </x:c>
      <x:c r="AM161" s="56" t="str">
        <x:v>TR-005; TR-006; TR-008; TR-016; TR-019; TR-028; TR-029</x:v>
      </x:c>
      <x:c r="AN161" s="66" t="str"/>
    </x:row>
    <x:row r="162" ht="58" customHeight="1">
      <x:c r="A162" s="56" t="str">
        <x:v>C19</x:v>
      </x:c>
      <x:c r="B162" s="56" t="str">
        <x:v>6</x:v>
      </x:c>
      <x:c r="C162" s="56" t="str">
        <x:v>causal_20</x:v>
      </x:c>
      <x:c r="D162" s="56" t="n">
        <x:v>19</x:v>
      </x:c>
      <x:c r="E162" s="56" t="n">
        <x:v>5</x:v>
      </x:c>
      <x:c r="F162" s="56" t="str">
        <x:v>B6_6_10b</x:v>
      </x:c>
      <x:c r="G162" s="56" t="str">
        <x:v>6.10b</x:v>
      </x:c>
      <x:c r="H162" s="56" t="str">
        <x:v>¿Quién debería estar haciendo esto? ¿Tu jefe? ¿Otro equipo? ¿El sistema?</x:v>
      </x:c>
      <x:c r="I162" s="56" t="str">
        <x:v>Ayuda al usuario redactada en lenguaje de escena, orientada a describir lo que pasa en la práctica y no a explicar la lógica interna del sistema.</x:v>
      </x:c>
      <x:c r="J162" s="56" t="str">
        <x:v>free_text</x:v>
      </x:c>
      <x:c r="K162" s="56" t="str">
        <x:v>free_text</x:v>
      </x:c>
      <x:c r="L162" s="56" t="str">
        <x:v>N/A</x:v>
      </x:c>
      <x:c r="M162" s="56"/>
      <x:c r="N162" s="56" t="str"/>
      <x:c r="O162" s="56"/>
      <x:c r="P162" s="56" t="str">
        <x:v>visible_capture</x:v>
      </x:c>
      <x:c r="Q162" s="56" t="str">
        <x:v>DIRECT_CAPTURE_ONLY</x:v>
      </x:c>
      <x:c r="R162" s="56" t="str">
        <x:v>residual_variety_expected_owner</x:v>
      </x:c>
      <x:c r="S162" s="56" t="str">
        <x:v>captured_user_evidence</x:v>
      </x:c>
      <x:c r="T162" s="56" t="str">
        <x:v>Bloque_6_Documento_Madre_Capa1_v2_1_EVE_rev4_reconstruido.docx</x:v>
      </x:c>
      <x:c r="U162" s="56" t="str">
        <x:v>32120139abad0348c007c31b16ee38e7e18954d85a6dca8054c48c4a96732b2d</x:v>
      </x:c>
      <x:c r="V162" s="56" t="str">
        <x:v>Texto libre</x:v>
      </x:c>
      <x:c r="W162" s="56" t="str">
        <x:v>Capturar texto literal sin clasificación semántica cliente.</x:v>
      </x:c>
      <x:c r="X162" s="56" t="str">
        <x:v>scalar:string</x:v>
      </x:c>
      <x:c r="Y162" s="56" t="str">
        <x:v>No aplica</x:v>
      </x:c>
      <x:c r="Z162" s="56" t="str">
        <x:v>slot_ref server-issued; valor humano únicamente.</x:v>
      </x:c>
      <x:c r="AA162" s="56" t="str">
        <x:v>EXPLICIT_FIELD_TYPE</x:v>
      </x:c>
      <x:c r="AB162" s="56" t="str">
        <x:v>Pantalla específica Bloque 6</x:v>
      </x:c>
      <x:c r="AC162" s="66" t="str"/>
      <x:c r="AD162" s="66" t="str">
        <x:v>No evaluado</x:v>
      </x:c>
      <x:c r="AE162" s="66" t="str">
        <x:v>No evaluado</x:v>
      </x:c>
      <x:c r="AF162" s="66" t="str">
        <x:v>No evaluado</x:v>
      </x:c>
      <x:c r="AG162" s="66" t="str">
        <x:v>No ejecutado</x:v>
      </x:c>
      <x:c r="AH162" s="68" t="str">
        <x:f>IF(AND(AD162="No evaluado",AE162="No evaluado",AF162="No evaluado",AG162="No ejecutado"),"No evaluado",IF(OR(AD162="Bloqueado",AE162="Bloqueado",AF162="Bloqueado",AG162="Bloqueado"),"Bloqueado",IF(OR(AE162="No conforme",AF162="No conforme",AG162="Falló"),"No conforme",IF(AND(OR(AD162="Implementado",AD162="No aplica"),OR(AE162="Conforme",AE162="No aplica"),OR(AF162="Conforme",AF162="No aplica"),OR(AG162="Pasó",AG162="No aplica")),"Conforme","Parcial"))))</x:f>
        <x:v>No evaluado</x:v>
      </x:c>
      <x:c r="AI162" s="56" t="str">
        <x:v>Compatible</x:v>
      </x:c>
      <x:c r="AJ162" s="66" t="str"/>
      <x:c r="AK162" s="66" t="str"/>
      <x:c r="AL162" s="56" t="str">
        <x:v>VALIDATED_044A3M / 170 identity tuples</x:v>
      </x:c>
      <x:c r="AM162" s="56" t="str">
        <x:v>TR-005; TR-006; TR-008; TR-016; TR-019; TR-028; TR-029</x:v>
      </x:c>
      <x:c r="AN162" s="66" t="str"/>
    </x:row>
    <x:row r="163" ht="58" customHeight="1">
      <x:c r="A163" s="56" t="str">
        <x:v>C19</x:v>
      </x:c>
      <x:c r="B163" s="56" t="str">
        <x:v>6</x:v>
      </x:c>
      <x:c r="C163" s="56" t="str">
        <x:v>causal_20</x:v>
      </x:c>
      <x:c r="D163" s="56" t="n">
        <x:v>19</x:v>
      </x:c>
      <x:c r="E163" s="56" t="n">
        <x:v>6</x:v>
      </x:c>
      <x:c r="F163" s="56" t="str">
        <x:v>B6_6_10c</x:v>
      </x:c>
      <x:c r="G163" s="56" t="str">
        <x:v>6.10c</x:v>
      </x:c>
      <x:c r="H163" s="56" t="str">
        <x:v>Cuando esto falla o no alcanza, ¿qué pasa entre las personas o áreas involucradas?</x:v>
      </x:c>
      <x:c r="I163" s="56" t="str">
        <x:v>Piensa en lo que ocurre en la relación, no solo en la tarea. Por ejemplo: alguien presiona, alguien se molesta, alguien ayuda informalmente, alguien evita hacerse cargo, el problema rebota entre áreas o tú lo absorbes para que no escale.</x:v>
      </x:c>
      <x:c r="J163" s="56" t="str">
        <x:v>hybrid_choice_text</x:v>
      </x:c>
      <x:c r="K163" s="56" t="str">
        <x:v>hybrid_choice_text</x:v>
      </x:c>
      <x:c r="L163" s="56" t="str">
        <x:v>Tengo que perseguir a alguien para que responda / Tengo que insistir o convencer para que hagan su parte / Alguien me ayuda informalmente aunque no le toca / Se generan fricciones o reclamos entre áreas/personas / Cada quien protege su parte y el problema rebota / Yo absorbo el problema para evitar conflicto / Otro</x:v>
      </x:c>
      <x:c r="M163" s="56" t="str">
        <x:v>Obligatoria si el bloque detecta que la variedad residual ya produce fricción entre actores.</x:v>
      </x:c>
      <x:c r="N163" s="56" t="str">
        <x:v>Visible después de 6.10a/6.10b cuando la compensación ya implica interacción entre áreas/personas, o por activación de regla.</x:v>
      </x:c>
      <x:c r="O163" s="56" t="str">
        <x:v>Alimenta lectura interpersonal AHE; puede reforzar 6.B si la autoridad informal resulta ambigua.</x:v>
      </x:c>
      <x:c r="P163" s="56" t="str">
        <x:v>visible_capture</x:v>
      </x:c>
      <x:c r="Q163" s="56" t="str">
        <x:v>DIRECT_CAPTURE_ONLY</x:v>
      </x:c>
      <x:c r="R163" s="56" t="str">
        <x:v>interpersonal_compensation_pattern</x:v>
      </x:c>
      <x:c r="S163" s="56" t="str">
        <x:v>captured_user_evidence</x:v>
      </x:c>
      <x:c r="T163" s="56" t="str">
        <x:v>Bloque_6_Documento_Madre_Capa1_v2_1_EVE_rev4_reconstruido.docx</x:v>
      </x:c>
      <x:c r="U163" s="56" t="str">
        <x:v>32120139abad0348c007c31b16ee38e7e18954d85a6dca8054c48c4a96732b2d</x:v>
      </x:c>
      <x:c r="V163" s="56" t="str">
        <x:v>Selección + texto complementario</x:v>
      </x:c>
      <x:c r="W163" s="56" t="str">
        <x:v>Persistir choice y free_text por separado; activar texto según regla.</x:v>
      </x:c>
      <x:c r="X163" s="56" t="str">
        <x:v>choice:string|array + free_text:string|null</x:v>
      </x:c>
      <x:c r="Y163" s="56" t="str">
        <x:v>Campo options rector / catálogo dinámico</x:v>
      </x:c>
      <x:c r="Z163" s="56" t="str">
        <x:v>slot_ref para la unidad híbrida; servidor preserva partes separadas.</x:v>
      </x:c>
      <x:c r="AA163" s="56" t="str">
        <x:v>EXPLICIT_COMPOSITE</x:v>
      </x:c>
      <x:c r="AB163" s="56" t="str">
        <x:v>Pantalla específica Bloque 6</x:v>
      </x:c>
      <x:c r="AC163" s="66" t="str"/>
      <x:c r="AD163" s="66" t="str">
        <x:v>No evaluado</x:v>
      </x:c>
      <x:c r="AE163" s="66" t="str">
        <x:v>No evaluado</x:v>
      </x:c>
      <x:c r="AF163" s="66" t="str">
        <x:v>No evaluado</x:v>
      </x:c>
      <x:c r="AG163" s="66" t="str">
        <x:v>No ejecutado</x:v>
      </x:c>
      <x:c r="AH163" s="68" t="str">
        <x:f>IF(AND(AD163="No evaluado",AE163="No evaluado",AF163="No evaluado",AG163="No ejecutado"),"No evaluado",IF(OR(AD163="Bloqueado",AE163="Bloqueado",AF163="Bloqueado",AG163="Bloqueado"),"Bloqueado",IF(OR(AE163="No conforme",AF163="No conforme",AG163="Falló"),"No conforme",IF(AND(OR(AD163="Implementado",AD163="No aplica"),OR(AE163="Conforme",AE163="No aplica"),OR(AF163="Conforme",AF163="No aplica"),OR(AG163="Pasó",AG163="No aplica")),"Conforme","Parcial"))))</x:f>
        <x:v>No evaluado</x:v>
      </x:c>
      <x:c r="AI163" s="56" t="str">
        <x:v>No conforme</x:v>
      </x:c>
      <x:c r="AJ163" s="66" t="str"/>
      <x:c r="AK163" s="66" t="str"/>
      <x:c r="AL163" s="56" t="str">
        <x:v>VALIDATED_044A3M / 170 identity tuples</x:v>
      </x:c>
      <x:c r="AM163" s="56" t="str">
        <x:v>TR-005; TR-006; TR-008; TR-016; TR-019; TR-028; TR-029</x:v>
      </x:c>
      <x:c r="AN163" s="66" t="str"/>
    </x:row>
    <x:row r="164" ht="58" customHeight="1">
      <x:c r="A164" s="56" t="str">
        <x:v>C19</x:v>
      </x:c>
      <x:c r="B164" s="56" t="str">
        <x:v>6</x:v>
      </x:c>
      <x:c r="C164" s="56" t="str">
        <x:v>causal_20</x:v>
      </x:c>
      <x:c r="D164" s="56" t="n">
        <x:v>19</x:v>
      </x:c>
      <x:c r="E164" s="56" t="n">
        <x:v>7</x:v>
      </x:c>
      <x:c r="F164" s="56" t="str">
        <x:v>B6_6_A</x:v>
      </x:c>
      <x:c r="G164" s="56" t="str">
        <x:v>6.A</x:v>
      </x:c>
      <x:c r="H164" s="56" t="str">
        <x:v>Notamos una brecha o falla, pero no quedó claro cómo logras que no se caiga. ¿Hay algo que haces que no mencionaste?</x:v>
      </x:c>
      <x:c r="I164" s="56" t="str">
        <x:v>Ayúdanos a hacer visible lo que haces para sostener la actividad cuando eso falla. Ejemplo: Cuando el sistema se cae, yo llamo a los clientes manualmente para confirmar sus pedidos. Nadie me lo pide, pero si no lo hago, pierden la venta.</x:v>
      </x:c>
      <x:c r="J164" s="56" t="str">
        <x:v>free_text</x:v>
      </x:c>
      <x:c r="K164" s="56" t="str">
        <x:v>clarification</x:v>
      </x:c>
      <x:c r="L164" s="56" t="str">
        <x:v>N/A</x:v>
      </x:c>
      <x:c r="M164" s="56" t="str">
        <x:v>Obligatoria solo si el motor la dispara.</x:v>
      </x:c>
      <x:c r="N164" s="56" t="str">
        <x:v>No aparece en flujo normal.</x:v>
      </x:c>
      <x:c r="O164" s="56" t="str">
        <x:v>No reemplaza evidencia original; vive separada como aclaración.</x:v>
      </x:c>
      <x:c r="P164" s="56" t="str">
        <x:v>conditional_clarification</x:v>
      </x:c>
      <x:c r="Q164" s="56" t="str">
        <x:v>CLARIFICATION_SEPARATE</x:v>
      </x:c>
      <x:c r="R164" s="56" t="str">
        <x:v>compensation_clarification_silence</x:v>
      </x:c>
      <x:c r="S164" s="56" t="str">
        <x:v>clarification</x:v>
      </x:c>
      <x:c r="T164" s="56" t="str">
        <x:v>Bloque_6_Documento_Madre_Capa1_v2_1_EVE_rev4_reconstruido.docx</x:v>
      </x:c>
      <x:c r="U164" s="56" t="str">
        <x:v>32120139abad0348c007c31b16ee38e7e18954d85a6dca8054c48c4a96732b2d</x:v>
      </x:c>
      <x:c r="V164" s="56" t="str">
        <x:v>Texto libre</x:v>
      </x:c>
      <x:c r="W164" s="56" t="str">
        <x:v>Capturar texto literal sin clasificación semántica cliente.</x:v>
      </x:c>
      <x:c r="X164" s="56" t="str">
        <x:v>scalar:string</x:v>
      </x:c>
      <x:c r="Y164" s="56" t="str">
        <x:v>No aplica</x:v>
      </x:c>
      <x:c r="Z164" s="56" t="str">
        <x:v>slot_ref server-issued; valor humano únicamente.</x:v>
      </x:c>
      <x:c r="AA164" s="56" t="str">
        <x:v>EXPLICIT_FIELD_TYPE</x:v>
      </x:c>
      <x:c r="AB164" s="56" t="str">
        <x:v>Pantalla específica Bloque 6</x:v>
      </x:c>
      <x:c r="AC164" s="66" t="str"/>
      <x:c r="AD164" s="66" t="str">
        <x:v>No evaluado</x:v>
      </x:c>
      <x:c r="AE164" s="66" t="str">
        <x:v>No evaluado</x:v>
      </x:c>
      <x:c r="AF164" s="66" t="str">
        <x:v>No evaluado</x:v>
      </x:c>
      <x:c r="AG164" s="66" t="str">
        <x:v>No ejecutado</x:v>
      </x:c>
      <x:c r="AH164" s="68" t="str">
        <x:f>IF(AND(AD164="No evaluado",AE164="No evaluado",AF164="No evaluado",AG164="No ejecutado"),"No evaluado",IF(OR(AD164="Bloqueado",AE164="Bloqueado",AF164="Bloqueado",AG164="Bloqueado"),"Bloqueado",IF(OR(AE164="No conforme",AF164="No conforme",AG164="Falló"),"No conforme",IF(AND(OR(AD164="Implementado",AD164="No aplica"),OR(AE164="Conforme",AE164="No aplica"),OR(AF164="Conforme",AF164="No aplica"),OR(AG164="Pasó",AG164="No aplica")),"Conforme","Parcial"))))</x:f>
        <x:v>No evaluado</x:v>
      </x:c>
      <x:c r="AI164" s="56" t="str">
        <x:v>Compatible</x:v>
      </x:c>
      <x:c r="AJ164" s="66" t="str"/>
      <x:c r="AK164" s="66" t="str"/>
      <x:c r="AL164" s="56" t="str">
        <x:v>VALIDATED_044A3M / 170 identity tuples</x:v>
      </x:c>
      <x:c r="AM164" s="56" t="str">
        <x:v>TR-005; TR-006; TR-008; TR-016; TR-019; TR-028; TR-029</x:v>
      </x:c>
      <x:c r="AN164" s="66" t="str"/>
    </x:row>
    <x:row r="165" ht="58" customHeight="1">
      <x:c r="A165" s="56" t="str">
        <x:v>C20</x:v>
      </x:c>
      <x:c r="B165" s="56" t="str">
        <x:v>7</x:v>
      </x:c>
      <x:c r="C165" s="56" t="str">
        <x:v>causal_20</x:v>
      </x:c>
      <x:c r="D165" s="56" t="n">
        <x:v>20</x:v>
      </x:c>
      <x:c r="E165" s="56" t="n">
        <x:v>1</x:v>
      </x:c>
      <x:c r="F165" s="56" t="str">
        <x:v>B7_7_0</x:v>
      </x:c>
      <x:c r="G165" s="56" t="str">
        <x:v>7.0</x:v>
      </x:c>
      <x:c r="H165" s="56" t="str">
        <x:v>[INTERNO] El sistema analiza la evidencia consolidada de Bloques 0.5-6 e infiere automáticamente tipo de escena, posición en cadena, función regulatoria predominante, señal AHE, misión sugerida y nivel de confianza; después invoca 7.0a para refinar plano AHE dominante y huella interpersonal cuando el Bloque 6 ampliado la soporte.</x:v>
      </x:c>
      <x:c r="I165" s="56" t="str">
        <x:v>No visible al usuario. Este nodo consolida la evidencia previa y produce una lectura preliminar trazable sin reescribir la evidencia original.</x:v>
      </x:c>
      <x:c r="J165" s="56" t="str">
        <x:v>generated_review</x:v>
      </x:c>
      <x:c r="K165" s="56" t="str">
        <x:v>internal_inference</x:v>
      </x:c>
      <x:c r="L165" s="56" t="str">
        <x:v>scene_type enum: transformation / coordination / validation / decision / adaptation / policy / escalation / compensation / mixed / uncertain; chain_position enum: opening / intermediate / closing / mixed / uncertain; vsm_role_candidate enum: S1 / S2 / S3 / S3* / S4 / S5 / algedonic / uncertain; confidence_level enum: high / medium / low.</x:v>
      </x:c>
      <x:c r="M165" s="56" t="str">
        <x:v>Siempre se ejecuta</x:v>
      </x:c>
      <x:c r="N165" s="56" t="str">
        <x:v>Interno, no visible al usuario</x:v>
      </x:c>
      <x:c r="O165" s="56" t="str">
        <x:v>Siempre ejecuta 7.0a como subinferencia interna posterior. Si confidence_level = high y no hay señales cruzadas relevantes ni huella interpersonal inestable, no dispara preguntas visibles. Si confidence_level = medium o low, o si hay ambigüedad, dispara 7.1 y opcionalmente 7.2, 7.3, 7.3a o 7.4 según corresponda.</x:v>
      </x:c>
      <x:c r="P165" s="56" t="str">
        <x:v>internal</x:v>
      </x:c>
      <x:c r="Q165" s="56" t="str">
        <x:v>LIGHT_INFERENCE_RESTRICTED</x:v>
      </x:c>
      <x:c r="R165" s="56" t="str">
        <x:v>preclassification_scene_type | preclassification_chain_position | preclassification_vsm_role | preclassification_ahe_signal | preclassification_ahe_note | preclassification_mission_suggested | confidence_level | confidence_score | confidence_reasoning | preclassification_readiness | evidence_bundle_for_transduction | base_for_7_0a</x:v>
      </x:c>
      <x:c r="S165" s="56" t="str">
        <x:v>internal_calculated</x:v>
      </x:c>
      <x:c r="T165" s="56" t="str">
        <x:v>Bloque_7_Documento_Madre_Capa1_v2_1_EVE_rev4_alineado.docx</x:v>
      </x:c>
      <x:c r="U165" s="56" t="str">
        <x:v>2a81e6eaa3d7ca9c11245d1010633fb233087e22a7d05bfd678350728820b399</x:v>
      </x:c>
      <x:c r="V165" s="56" t="str">
        <x:v>Sin control visible / lógica interna</x:v>
      </x:c>
      <x:c r="W165" s="56" t="str">
        <x:v>No renderizar al usuario; resolver y auditar server-side.</x:v>
      </x:c>
      <x:c r="X165" s="56" t="str">
        <x:v>Sin valor de usuario</x:v>
      </x:c>
      <x:c r="Y165" s="56" t="str">
        <x:v>No aplica</x:v>
      </x:c>
      <x:c r="Z165" s="56" t="str">
        <x:v>Identidad interna por interaction/source tuple; no slot visible.</x:v>
      </x:c>
      <x:c r="AA165" s="56" t="str">
        <x:v>EXPLICIT_INTERNAL</x:v>
      </x:c>
      <x:c r="AB165" s="56" t="str">
        <x:v>Pantalla específica Bloque 7</x:v>
      </x:c>
      <x:c r="AC165" s="66" t="str"/>
      <x:c r="AD165" s="66" t="str">
        <x:v>No aplica</x:v>
      </x:c>
      <x:c r="AE165" s="66" t="str">
        <x:v>No evaluado</x:v>
      </x:c>
      <x:c r="AF165" s="66" t="str">
        <x:v>No evaluado</x:v>
      </x:c>
      <x:c r="AG165" s="66" t="str">
        <x:v>No ejecutado</x:v>
      </x:c>
      <x:c r="AH165" s="68" t="str">
        <x:f>IF(AND(AD165="No evaluado",AE165="No evaluado",AF165="No evaluado",AG165="No ejecutado"),"No evaluado",IF(OR(AD165="Bloqueado",AE165="Bloqueado",AF165="Bloqueado",AG165="Bloqueado"),"Bloqueado",IF(OR(AE165="No conforme",AF165="No conforme",AG165="Falló"),"No conforme",IF(AND(OR(AD165="Implementado",AD165="No aplica"),OR(AE165="Conforme",AE165="No aplica"),OR(AF165="Conforme",AF165="No aplica"),OR(AG165="Pasó",AG165="No aplica")),"Conforme","Parcial"))))</x:f>
        <x:v>Parcial</x:v>
      </x:c>
      <x:c r="AI165" s="56" t="str">
        <x:v>No aplica</x:v>
      </x:c>
      <x:c r="AJ165" s="66" t="str"/>
      <x:c r="AK165" s="66" t="str"/>
      <x:c r="AL165" s="56" t="str">
        <x:v>VALIDATED_044A3M / 170 identity tuples</x:v>
      </x:c>
      <x:c r="AM165" s="56" t="str">
        <x:v>TR-005; TR-006; TR-008; TR-016; TR-019; TR-028; TR-029</x:v>
      </x:c>
      <x:c r="AN165" s="66" t="str"/>
    </x:row>
    <x:row r="166" ht="58" customHeight="1">
      <x:c r="A166" s="56" t="str">
        <x:v>C20</x:v>
      </x:c>
      <x:c r="B166" s="56" t="str">
        <x:v>7</x:v>
      </x:c>
      <x:c r="C166" s="56" t="str">
        <x:v>causal_20</x:v>
      </x:c>
      <x:c r="D166" s="56" t="n">
        <x:v>20</x:v>
      </x:c>
      <x:c r="E166" s="56" t="n">
        <x:v>2</x:v>
      </x:c>
      <x:c r="F166" s="56" t="str">
        <x:v>B7_7_0a</x:v>
      </x:c>
      <x:c r="G166" s="56" t="str">
        <x:v>7.0a</x:v>
      </x:c>
      <x:c r="H166" s="56" t="str">
        <x:v>[INTERNO] El sistema analiza específicamente si la evidencia del Bloque 6 ampliado sugiere predominio intrapersonal, interpersonal u organizacional de la compensación observada, y si existe una huella interpersonal suficientemente nítida como para justificar microconfirmación.</x:v>
      </x:c>
      <x:c r="I166" s="56" t="str">
        <x:v>No visible al usuario. Este nodo complementa 7.0 leyendo huellas del plano interpersonal y estabilizando la salida AHE sin reescribir evidencia original.</x:v>
      </x:c>
      <x:c r="J166" s="56" t="str">
        <x:v>generated_review</x:v>
      </x:c>
      <x:c r="K166" s="56" t="str">
        <x:v>internal_inference</x:v>
      </x:c>
      <x:c r="L166" s="56" t="str">
        <x:v>ahe_level enum: intrapersonal / interpersonal / organizational / mixed / uncertain; interpersonal_signal enum orientativo: pursuit / insistence / informal_support / load_bounce / relational_buffering / cross_area_friction / mixed / uncertain.</x:v>
      </x:c>
      <x:c r="M166" s="56" t="str">
        <x:v>Siempre se ejecuta como subinferencia de 7.0</x:v>
      </x:c>
      <x:c r="N166" s="56" t="str">
        <x:v>Interno, no visible al usuario</x:v>
      </x:c>
      <x:c r="O166" s="56" t="str">
        <x:v>Si detecta señal interpersonal relevante con confianza media/baja o competencia entre coordinación y compensación interpersonal, puede disparar 7.3a.</x:v>
      </x:c>
      <x:c r="P166" s="56" t="str">
        <x:v>internal</x:v>
      </x:c>
      <x:c r="Q166" s="56" t="str">
        <x:v>LIGHT_INFERENCE_RESTRICTED</x:v>
      </x:c>
      <x:c r="R166" s="56" t="str">
        <x:v>preclassification_ahe_level_dominant | preclassification_interpersonal_signal | preclassification_interpersonal_note | preclassification_ahe_bundle_refined</x:v>
      </x:c>
      <x:c r="S166" s="56" t="str">
        <x:v>internal_calculated</x:v>
      </x:c>
      <x:c r="T166" s="56" t="str">
        <x:v>Bloque_7_Documento_Madre_Capa1_v2_1_EVE_rev4_alineado.docx</x:v>
      </x:c>
      <x:c r="U166" s="56" t="str">
        <x:v>2a81e6eaa3d7ca9c11245d1010633fb233087e22a7d05bfd678350728820b399</x:v>
      </x:c>
      <x:c r="V166" s="56" t="str">
        <x:v>Sin control visible / lógica interna</x:v>
      </x:c>
      <x:c r="W166" s="56" t="str">
        <x:v>No renderizar al usuario; resolver y auditar server-side.</x:v>
      </x:c>
      <x:c r="X166" s="56" t="str">
        <x:v>Sin valor de usuario</x:v>
      </x:c>
      <x:c r="Y166" s="56" t="str">
        <x:v>No aplica</x:v>
      </x:c>
      <x:c r="Z166" s="56" t="str">
        <x:v>Identidad interna por interaction/source tuple; no slot visible.</x:v>
      </x:c>
      <x:c r="AA166" s="56" t="str">
        <x:v>EXPLICIT_INTERNAL</x:v>
      </x:c>
      <x:c r="AB166" s="56" t="str">
        <x:v>Pantalla específica Bloque 7</x:v>
      </x:c>
      <x:c r="AC166" s="66" t="str"/>
      <x:c r="AD166" s="66" t="str">
        <x:v>No aplica</x:v>
      </x:c>
      <x:c r="AE166" s="66" t="str">
        <x:v>No evaluado</x:v>
      </x:c>
      <x:c r="AF166" s="66" t="str">
        <x:v>No evaluado</x:v>
      </x:c>
      <x:c r="AG166" s="66" t="str">
        <x:v>No ejecutado</x:v>
      </x:c>
      <x:c r="AH166" s="68" t="str">
        <x:f>IF(AND(AD166="No evaluado",AE166="No evaluado",AF166="No evaluado",AG166="No ejecutado"),"No evaluado",IF(OR(AD166="Bloqueado",AE166="Bloqueado",AF166="Bloqueado",AG166="Bloqueado"),"Bloqueado",IF(OR(AE166="No conforme",AF166="No conforme",AG166="Falló"),"No conforme",IF(AND(OR(AD166="Implementado",AD166="No aplica"),OR(AE166="Conforme",AE166="No aplica"),OR(AF166="Conforme",AF166="No aplica"),OR(AG166="Pasó",AG166="No aplica")),"Conforme","Parcial"))))</x:f>
        <x:v>Parcial</x:v>
      </x:c>
      <x:c r="AI166" s="56" t="str">
        <x:v>No aplica</x:v>
      </x:c>
      <x:c r="AJ166" s="66" t="str"/>
      <x:c r="AK166" s="66" t="str"/>
      <x:c r="AL166" s="56" t="str">
        <x:v>VALIDATED_044A3M / 170 identity tuples</x:v>
      </x:c>
      <x:c r="AM166" s="56" t="str">
        <x:v>TR-005; TR-006; TR-008; TR-016; TR-019; TR-028; TR-029</x:v>
      </x:c>
      <x:c r="AN166" s="66" t="str"/>
    </x:row>
    <x:row r="167" ht="58" customHeight="1">
      <x:c r="A167" s="56" t="str">
        <x:v>C20</x:v>
      </x:c>
      <x:c r="B167" s="56" t="str">
        <x:v>7</x:v>
      </x:c>
      <x:c r="C167" s="56" t="str">
        <x:v>causal_20</x:v>
      </x:c>
      <x:c r="D167" s="56" t="n">
        <x:v>20</x:v>
      </x:c>
      <x:c r="E167" s="56" t="n">
        <x:v>3</x:v>
      </x:c>
      <x:c r="F167" s="56" t="str">
        <x:v>B7_7_1</x:v>
      </x:c>
      <x:c r="G167" s="56" t="str">
        <x:v>7.1</x:v>
      </x:c>
      <x:c r="H167" s="56" t="str">
        <x:v>Parece que esto es principalmente una [tipo sugerido]. ¿Es correcto? ¿O hay algo más?</x:v>
      </x:c>
      <x:c r="I167" s="56" t="str">
        <x:v>Queremos verificar si la lectura preliminar de tu trabajo se parece a cómo ves esta escena. No necesitas usar términos técnicos; solo indica si encaja, si sería otro tipo principal, o si realmente es una combinación.</x:v>
      </x:c>
      <x:c r="J167" s="56" t="str">
        <x:v>hybrid_choice_text</x:v>
      </x:c>
      <x:c r="K167" s="56" t="str">
        <x:v>hybrid_choice_text</x:v>
      </x:c>
      <x:c r="L167" s="56" t="str">
        <x:v>Sí, es principalmente [tipo sugerido] / No, es principalmente [otro tipo] / Es una combinación. Tipos permitidos: transformation, coordination, validación, decision, adaptation, policy, escalation, compensation, mixed, uncertain.</x:v>
      </x:c>
      <x:c r="M167" s="56" t="str">
        <x:v>Obligatoria solo si se dispara</x:v>
      </x:c>
      <x:c r="N167" s="56" t="str">
        <x:v>Visible si confidence_level es Media/Baja o si el motor detecta competencia entre tipos</x:v>
      </x:c>
      <x:c r="O167" s="56" t="str">
        <x:v>Si el usuario rechaza el tipo sugerido y la misión sugerida depende de ese tipo, evaluar disparo de 7.4.</x:v>
      </x:c>
      <x:c r="P167" s="56" t="str">
        <x:v>visible_capture</x:v>
      </x:c>
      <x:c r="Q167" s="56" t="str">
        <x:v>CLARIFICATION_SEPARATE</x:v>
      </x:c>
      <x:c r="R167" s="56" t="str">
        <x:v>user_confirmation | user_correction | user_clarification</x:v>
      </x:c>
      <x:c r="S167" s="56" t="str">
        <x:v>clarification</x:v>
      </x:c>
      <x:c r="T167" s="56" t="str">
        <x:v>Bloque_7_Documento_Madre_Capa1_v2_1_EVE_rev4_alineado.docx</x:v>
      </x:c>
      <x:c r="U167" s="56" t="str">
        <x:v>2a81e6eaa3d7ca9c11245d1010633fb233087e22a7d05bfd678350728820b399</x:v>
      </x:c>
      <x:c r="V167" s="56" t="str">
        <x:v>Selección + texto complementario</x:v>
      </x:c>
      <x:c r="W167" s="56" t="str">
        <x:v>Persistir choice y free_text por separado; activar texto según regla.</x:v>
      </x:c>
      <x:c r="X167" s="56" t="str">
        <x:v>choice:string|array + free_text:string|null</x:v>
      </x:c>
      <x:c r="Y167" s="56" t="str">
        <x:v>Campo options rector / catálogo dinámico</x:v>
      </x:c>
      <x:c r="Z167" s="56" t="str">
        <x:v>slot_ref para la unidad híbrida; servidor preserva partes separadas.</x:v>
      </x:c>
      <x:c r="AA167" s="56" t="str">
        <x:v>EXPLICIT_COMPOSITE</x:v>
      </x:c>
      <x:c r="AB167" s="56" t="str">
        <x:v>Pantalla específica Bloque 7</x:v>
      </x:c>
      <x:c r="AC167" s="66" t="str"/>
      <x:c r="AD167" s="66" t="str">
        <x:v>No evaluado</x:v>
      </x:c>
      <x:c r="AE167" s="66" t="str">
        <x:v>No evaluado</x:v>
      </x:c>
      <x:c r="AF167" s="66" t="str">
        <x:v>No evaluado</x:v>
      </x:c>
      <x:c r="AG167" s="66" t="str">
        <x:v>No ejecutado</x:v>
      </x:c>
      <x:c r="AH167" s="68" t="str">
        <x:f>IF(AND(AD167="No evaluado",AE167="No evaluado",AF167="No evaluado",AG167="No ejecutado"),"No evaluado",IF(OR(AD167="Bloqueado",AE167="Bloqueado",AF167="Bloqueado",AG167="Bloqueado"),"Bloqueado",IF(OR(AE167="No conforme",AF167="No conforme",AG167="Falló"),"No conforme",IF(AND(OR(AD167="Implementado",AD167="No aplica"),OR(AE167="Conforme",AE167="No aplica"),OR(AF167="Conforme",AF167="No aplica"),OR(AG167="Pasó",AG167="No aplica")),"Conforme","Parcial"))))</x:f>
        <x:v>No evaluado</x:v>
      </x:c>
      <x:c r="AI167" s="56" t="str">
        <x:v>No conforme</x:v>
      </x:c>
      <x:c r="AJ167" s="66" t="str"/>
      <x:c r="AK167" s="66" t="str"/>
      <x:c r="AL167" s="56" t="str">
        <x:v>VALIDATED_044A3M / 170 identity tuples</x:v>
      </x:c>
      <x:c r="AM167" s="56" t="str">
        <x:v>TR-005; TR-006; TR-008; TR-016; TR-019; TR-028; TR-029</x:v>
      </x:c>
      <x:c r="AN167" s="66" t="str"/>
    </x:row>
    <x:row r="168" ht="58" customHeight="1">
      <x:c r="A168" s="56" t="str">
        <x:v>C20</x:v>
      </x:c>
      <x:c r="B168" s="56" t="str">
        <x:v>7</x:v>
      </x:c>
      <x:c r="C168" s="56" t="str">
        <x:v>causal_20</x:v>
      </x:c>
      <x:c r="D168" s="56" t="n">
        <x:v>20</x:v>
      </x:c>
      <x:c r="E168" s="56" t="n">
        <x:v>4</x:v>
      </x:c>
      <x:c r="F168" s="56" t="str">
        <x:v>B7_7_2</x:v>
      </x:c>
      <x:c r="G168" s="56" t="str">
        <x:v>7.2</x:v>
      </x:c>
      <x:c r="H168" s="56" t="str">
        <x:v>En el flujo, ¿dónde está esto? ¿Es el primer paso, un paso intermedio, o el último?</x:v>
      </x:c>
      <x:c r="I168" s="56" t="str">
        <x:v>Responde según el lugar que esta escena ocupa dentro del flujo real. No pienses en el organigrama ni en su importancia, sino en si abre el trabajo, si ocurre en medio, o si deja algo ya listo al final.</x:v>
      </x:c>
      <x:c r="J168" s="56" t="str">
        <x:v>single_choice</x:v>
      </x:c>
      <x:c r="K168" s="56" t="str">
        <x:v>single_choice</x:v>
      </x:c>
      <x:c r="L168" s="56" t="str">
        <x:v>Es el primer paso (apertura) / Es un paso intermedio / Es el último paso (cierre)</x:v>
      </x:c>
      <x:c r="M168" s="56" t="str">
        <x:v>Obligatoria solo si se dispara</x:v>
      </x:c>
      <x:c r="N168" s="56" t="str">
        <x:v>Visible si hay dependencias previas y posteriores ambiguas o lectura inestable de cadena</x:v>
      </x:c>
      <x:c r="O168" s="56" t="str">
        <x:v>Su respuesta puede elevar confidence_level o reducir flagged_for_manual_review.</x:v>
      </x:c>
      <x:c r="P168" s="56" t="str">
        <x:v>visible_capture</x:v>
      </x:c>
      <x:c r="Q168" s="56" t="str">
        <x:v>CLARIFICATION_SEPARATE</x:v>
      </x:c>
      <x:c r="R168" s="56" t="str">
        <x:v>user_clarification</x:v>
      </x:c>
      <x:c r="S168" s="56" t="str">
        <x:v>clarification</x:v>
      </x:c>
      <x:c r="T168" s="56" t="str">
        <x:v>Bloque_7_Documento_Madre_Capa1_v2_1_EVE_rev4_alineado.docx</x:v>
      </x:c>
      <x:c r="U168" s="56" t="str">
        <x:v>2a81e6eaa3d7ca9c11245d1010633fb233087e22a7d05bfd678350728820b399</x:v>
      </x:c>
      <x:c r="V168" s="56" t="str">
        <x:v>Selección única</x:v>
      </x:c>
      <x:c r="W168" s="56" t="str">
        <x:v>Mostrar opciones autorizadas; permitir una sola selección; opción literal preservada.</x:v>
      </x:c>
      <x:c r="X168" s="56" t="str">
        <x:v>scalar:string</x:v>
      </x:c>
      <x:c r="Y168" s="56" t="str">
        <x:v>Campo options / catálogo dinámico rector</x:v>
      </x:c>
      <x:c r="Z168" s="56" t="str">
        <x:v>slot_ref server-issued; no mapear por label ni posición.</x:v>
      </x:c>
      <x:c r="AA168" s="56" t="str">
        <x:v>EXPLICIT_FIELD_TYPE</x:v>
      </x:c>
      <x:c r="AB168" s="56" t="str">
        <x:v>Pantalla específica Bloque 7</x:v>
      </x:c>
      <x:c r="AC168" s="66" t="str"/>
      <x:c r="AD168" s="66" t="str">
        <x:v>No evaluado</x:v>
      </x:c>
      <x:c r="AE168" s="66" t="str">
        <x:v>No evaluado</x:v>
      </x:c>
      <x:c r="AF168" s="66" t="str">
        <x:v>No evaluado</x:v>
      </x:c>
      <x:c r="AG168" s="66" t="str">
        <x:v>No ejecutado</x:v>
      </x:c>
      <x:c r="AH168" s="68" t="str">
        <x:f>IF(AND(AD168="No evaluado",AE168="No evaluado",AF168="No evaluado",AG168="No ejecutado"),"No evaluado",IF(OR(AD168="Bloqueado",AE168="Bloqueado",AF168="Bloqueado",AG168="Bloqueado"),"Bloqueado",IF(OR(AE168="No conforme",AF168="No conforme",AG168="Falló"),"No conforme",IF(AND(OR(AD168="Implementado",AD168="No aplica"),OR(AE168="Conforme",AE168="No aplica"),OR(AF168="Conforme",AF168="No aplica"),OR(AG168="Pasó",AG168="No aplica")),"Conforme","Parcial"))))</x:f>
        <x:v>No evaluado</x:v>
      </x:c>
      <x:c r="AI168" s="56" t="str">
        <x:v>No conforme</x:v>
      </x:c>
      <x:c r="AJ168" s="66" t="str"/>
      <x:c r="AK168" s="66" t="str"/>
      <x:c r="AL168" s="56" t="str">
        <x:v>VALIDATED_044A3M / 170 identity tuples</x:v>
      </x:c>
      <x:c r="AM168" s="56" t="str">
        <x:v>TR-005; TR-006; TR-008; TR-016; TR-019; TR-028; TR-029</x:v>
      </x:c>
      <x:c r="AN168" s="66" t="str"/>
    </x:row>
    <x:row r="169" ht="58" customHeight="1">
      <x:c r="A169" s="56" t="str">
        <x:v>C20</x:v>
      </x:c>
      <x:c r="B169" s="56" t="str">
        <x:v>7</x:v>
      </x:c>
      <x:c r="C169" s="56" t="str">
        <x:v>causal_20</x:v>
      </x:c>
      <x:c r="D169" s="56" t="n">
        <x:v>20</x:v>
      </x:c>
      <x:c r="E169" s="56" t="n">
        <x:v>5</x:v>
      </x:c>
      <x:c r="F169" s="56" t="str">
        <x:v>B7_7_3</x:v>
      </x:c>
      <x:c r="G169" s="56" t="str">
        <x:v>7.3</x:v>
      </x:c>
      <x:c r="H169" s="56" t="str">
        <x:v>Veo que hay [evidencia A] que sugiere [función 1], pero también hay [evidencia B] que sugiere [función 2]. ¿Cuál es la función principal?</x:v>
      </x:c>
      <x:c r="I169" s="56" t="str">
        <x:v>A veces una escena muestra más de una función al mismo tiempo. Queremos saber cuál pesa más en esta escena, sin cambiar lo que ya contaste en los bloques anteriores.</x:v>
      </x:c>
      <x:c r="J169" s="56" t="str">
        <x:v>single_choice</x:v>
      </x:c>
      <x:c r="K169" s="56" t="str">
        <x:v>single_choice</x:v>
      </x:c>
      <x:c r="L169" s="56" t="str">
        <x:v>Función 1 / Función 2 / Ambas son igual de importantes. Funciones visibles posibles: S1 / S2 / S3 / S3* / S4 / S5 / Algedónico.</x:v>
      </x:c>
      <x:c r="M169" s="56" t="str">
        <x:v>Obligatoria solo si se dispara</x:v>
      </x:c>
      <x:c r="N169" s="56" t="str">
        <x:v>Visible si múltiples funciones VSM muestran evidencia similar</x:v>
      </x:c>
      <x:c r="O169" s="56" t="str">
        <x:v>Si el usuario indica igualdad funcional y la misión sugerida queda ambigua, evaluar 7.4 y/o flagged_for_manual_review. Si la competencia funcional involucra coordinación, compensación o canal algedónico con huella interpersonal relevante, evaluar 7.3a o priorizar 7.3a sobre 7.3 según la ambigüedad más crítica.</x:v>
      </x:c>
      <x:c r="P169" s="56" t="str">
        <x:v>visible_capture</x:v>
      </x:c>
      <x:c r="Q169" s="56" t="str">
        <x:v>CLARIFICATION_SEPARATE</x:v>
      </x:c>
      <x:c r="R169" s="56" t="str">
        <x:v>user_clarification</x:v>
      </x:c>
      <x:c r="S169" s="56" t="str">
        <x:v>clarification</x:v>
      </x:c>
      <x:c r="T169" s="56" t="str">
        <x:v>Bloque_7_Documento_Madre_Capa1_v2_1_EVE_rev4_alineado.docx</x:v>
      </x:c>
      <x:c r="U169" s="56" t="str">
        <x:v>2a81e6eaa3d7ca9c11245d1010633fb233087e22a7d05bfd678350728820b399</x:v>
      </x:c>
      <x:c r="V169" s="56" t="str">
        <x:v>Selección única</x:v>
      </x:c>
      <x:c r="W169" s="56" t="str">
        <x:v>Mostrar opciones autorizadas; permitir una sola selección; opción literal preservada.</x:v>
      </x:c>
      <x:c r="X169" s="56" t="str">
        <x:v>scalar:string</x:v>
      </x:c>
      <x:c r="Y169" s="56" t="str">
        <x:v>Campo options / catálogo dinámico rector</x:v>
      </x:c>
      <x:c r="Z169" s="56" t="str">
        <x:v>slot_ref server-issued; no mapear por label ni posición.</x:v>
      </x:c>
      <x:c r="AA169" s="56" t="str">
        <x:v>EXPLICIT_FIELD_TYPE</x:v>
      </x:c>
      <x:c r="AB169" s="56" t="str">
        <x:v>Pantalla específica Bloque 7</x:v>
      </x:c>
      <x:c r="AC169" s="66" t="str"/>
      <x:c r="AD169" s="66" t="str">
        <x:v>No evaluado</x:v>
      </x:c>
      <x:c r="AE169" s="66" t="str">
        <x:v>No evaluado</x:v>
      </x:c>
      <x:c r="AF169" s="66" t="str">
        <x:v>No evaluado</x:v>
      </x:c>
      <x:c r="AG169" s="66" t="str">
        <x:v>No ejecutado</x:v>
      </x:c>
      <x:c r="AH169" s="68" t="str">
        <x:f>IF(AND(AD169="No evaluado",AE169="No evaluado",AF169="No evaluado",AG169="No ejecutado"),"No evaluado",IF(OR(AD169="Bloqueado",AE169="Bloqueado",AF169="Bloqueado",AG169="Bloqueado"),"Bloqueado",IF(OR(AE169="No conforme",AF169="No conforme",AG169="Falló"),"No conforme",IF(AND(OR(AD169="Implementado",AD169="No aplica"),OR(AE169="Conforme",AE169="No aplica"),OR(AF169="Conforme",AF169="No aplica"),OR(AG169="Pasó",AG169="No aplica")),"Conforme","Parcial"))))</x:f>
        <x:v>No evaluado</x:v>
      </x:c>
      <x:c r="AI169" s="56" t="str">
        <x:v>No conforme</x:v>
      </x:c>
      <x:c r="AJ169" s="66" t="str"/>
      <x:c r="AK169" s="66" t="str"/>
      <x:c r="AL169" s="56" t="str">
        <x:v>VALIDATED_044A3M / 170 identity tuples</x:v>
      </x:c>
      <x:c r="AM169" s="56" t="str">
        <x:v>TR-005; TR-006; TR-008; TR-016; TR-019; TR-028; TR-029</x:v>
      </x:c>
      <x:c r="AN169" s="66" t="str"/>
    </x:row>
    <x:row r="170" ht="58" customHeight="1">
      <x:c r="A170" s="56" t="str">
        <x:v>C20</x:v>
      </x:c>
      <x:c r="B170" s="56" t="str">
        <x:v>7</x:v>
      </x:c>
      <x:c r="C170" s="56" t="str">
        <x:v>causal_20</x:v>
      </x:c>
      <x:c r="D170" s="56" t="n">
        <x:v>20</x:v>
      </x:c>
      <x:c r="E170" s="56" t="n">
        <x:v>6</x:v>
      </x:c>
      <x:c r="F170" s="56" t="str">
        <x:v>B7_7_3a</x:v>
      </x:c>
      <x:c r="G170" s="56" t="str">
        <x:v>7.3a</x:v>
      </x:c>
      <x:c r="H170" s="56" t="str">
        <x:v>Parece que aquí, además del trabajo operativo, una parte importante es perseguir respuestas, traducir entre áreas, absorber fricción o sostener relaciones para que el flujo no se rompa. ¿Eso describe bien esta escena?</x:v>
      </x:c>
      <x:c r="I170" s="56" t="str">
        <x:v>Queremos verificar si una parte relevante de esta escena consiste en sostener la relación entre personas o áreas para que el trabajo siga avanzando. No hace falta usar términos técnicos: basta con decir si eso sí describe la escena, si ocurre solo a veces o si no es lo principal.</x:v>
      </x:c>
      <x:c r="J170" s="56" t="str">
        <x:v>hybrid_choice_text</x:v>
      </x:c>
      <x:c r="K170" s="56" t="str">
        <x:v>hybrid_choice_text</x:v>
      </x:c>
      <x:c r="L170" s="56" t="str">
        <x:v>Sí, eso describe bien esta escena / Pasa, pero no es lo principal / Solo ocurre en ciertos casos / No, eso no describe lo principal / Otro matiz</x:v>
      </x:c>
      <x:c r="M170" s="56" t="str">
        <x:v>Obligatoria solo si se dispara</x:v>
      </x:c>
      <x:c r="N170" s="56" t="str">
        <x:v>Visible solo cuando la dimensión interpersonal aparece plausible pero todavía no suficientemente estable</x:v>
      </x:c>
      <x:c r="O170" s="56" t="str">
        <x:v>Puede refinar preclassification_ahe_level_dominant, reforzar o debilitar preclassification_scene_type compensation/coordination, y modificar confidence_level. No sustituye evidencia original.</x:v>
      </x:c>
      <x:c r="P170" s="56" t="str">
        <x:v>visible_capture</x:v>
      </x:c>
      <x:c r="Q170" s="56" t="str">
        <x:v>CLARIFICATION_SEPARATE</x:v>
      </x:c>
      <x:c r="R170" s="56" t="str">
        <x:v>preclassification_interpersonal_confirmation | user_clarification</x:v>
      </x:c>
      <x:c r="S170" s="56" t="str">
        <x:v>clarification</x:v>
      </x:c>
      <x:c r="T170" s="56" t="str">
        <x:v>Bloque_7_Documento_Madre_Capa1_v2_1_EVE_rev4_alineado.docx</x:v>
      </x:c>
      <x:c r="U170" s="56" t="str">
        <x:v>2a81e6eaa3d7ca9c11245d1010633fb233087e22a7d05bfd678350728820b399</x:v>
      </x:c>
      <x:c r="V170" s="56" t="str">
        <x:v>Selección + texto complementario</x:v>
      </x:c>
      <x:c r="W170" s="56" t="str">
        <x:v>Persistir choice y free_text por separado; activar texto según regla.</x:v>
      </x:c>
      <x:c r="X170" s="56" t="str">
        <x:v>choice:string|array + free_text:string|null</x:v>
      </x:c>
      <x:c r="Y170" s="56" t="str">
        <x:v>Campo options rector / catálogo dinámico</x:v>
      </x:c>
      <x:c r="Z170" s="56" t="str">
        <x:v>slot_ref para la unidad híbrida; servidor preserva partes separadas.</x:v>
      </x:c>
      <x:c r="AA170" s="56" t="str">
        <x:v>EXPLICIT_COMPOSITE</x:v>
      </x:c>
      <x:c r="AB170" s="56" t="str">
        <x:v>Pantalla específica Bloque 7</x:v>
      </x:c>
      <x:c r="AC170" s="66" t="str"/>
      <x:c r="AD170" s="66" t="str">
        <x:v>No evaluado</x:v>
      </x:c>
      <x:c r="AE170" s="66" t="str">
        <x:v>No evaluado</x:v>
      </x:c>
      <x:c r="AF170" s="66" t="str">
        <x:v>No evaluado</x:v>
      </x:c>
      <x:c r="AG170" s="66" t="str">
        <x:v>No ejecutado</x:v>
      </x:c>
      <x:c r="AH170" s="68" t="str">
        <x:f>IF(AND(AD170="No evaluado",AE170="No evaluado",AF170="No evaluado",AG170="No ejecutado"),"No evaluado",IF(OR(AD170="Bloqueado",AE170="Bloqueado",AF170="Bloqueado",AG170="Bloqueado"),"Bloqueado",IF(OR(AE170="No conforme",AF170="No conforme",AG170="Falló"),"No conforme",IF(AND(OR(AD170="Implementado",AD170="No aplica"),OR(AE170="Conforme",AE170="No aplica"),OR(AF170="Conforme",AF170="No aplica"),OR(AG170="Pasó",AG170="No aplica")),"Conforme","Parcial"))))</x:f>
        <x:v>No evaluado</x:v>
      </x:c>
      <x:c r="AI170" s="56" t="str">
        <x:v>No conforme</x:v>
      </x:c>
      <x:c r="AJ170" s="66" t="str"/>
      <x:c r="AK170" s="66" t="str"/>
      <x:c r="AL170" s="56" t="str">
        <x:v>VALIDATED_044A3M / 170 identity tuples</x:v>
      </x:c>
      <x:c r="AM170" s="56" t="str">
        <x:v>TR-005; TR-006; TR-008; TR-016; TR-019; TR-028; TR-029</x:v>
      </x:c>
      <x:c r="AN170" s="66" t="str"/>
    </x:row>
    <x:row r="171" ht="58" customHeight="1">
      <x:c r="A171" s="56" t="str">
        <x:v>C20</x:v>
      </x:c>
      <x:c r="B171" s="56" t="str">
        <x:v>7</x:v>
      </x:c>
      <x:c r="C171" s="56" t="str">
        <x:v>causal_20</x:v>
      </x:c>
      <x:c r="D171" s="56" t="n">
        <x:v>20</x:v>
      </x:c>
      <x:c r="E171" s="56" t="n">
        <x:v>7</x:v>
      </x:c>
      <x:c r="F171" s="56" t="str">
        <x:v>B7_7_4</x:v>
      </x:c>
      <x:c r="G171" s="56" t="str">
        <x:v>7.4</x:v>
      </x:c>
      <x:c r="H171" s="56" t="str">
        <x:v>La misión que propongo es: "[misión sugerida]". ¿Es correcta? ¿O la cambiarías a algo diferente?</x:v>
      </x:c>
      <x:c r="I171" s="56" t="str">
        <x:v>Lee la misión sugerida como una hipótesis del sistema. Si refleja bien lo que esta escena busca lograr, puedes dejarla así; si no, corrígela con tus propias palabras para que se acerque más a la función real de la escena.</x:v>
      </x:c>
      <x:c r="J171" s="56" t="str">
        <x:v>free_text</x:v>
      </x:c>
      <x:c r="K171" s="56" t="str">
        <x:v>free_text</x:v>
      </x:c>
      <x:c r="L171" s="56" t="str">
        <x:v>N/A</x:v>
      </x:c>
      <x:c r="M171" s="56" t="str">
        <x:v>Obligatoria solo si se dispara</x:v>
      </x:c>
      <x:c r="N171" s="56" t="str">
        <x:v>Visible si el usuario no está de acuerdo con la misión sugerida o si la misión sigue ambigua</x:v>
      </x:c>
      <x:c r="O171" s="56" t="str">
        <x:v>Puede sustituir únicamente la misión sugerida derivada; nunca modifica evidencia original de bloques previos.</x:v>
      </x:c>
      <x:c r="P171" s="56" t="str">
        <x:v>visible_capture</x:v>
      </x:c>
      <x:c r="Q171" s="56" t="str">
        <x:v>CLARIFICATION_SEPARATE</x:v>
      </x:c>
      <x:c r="R171" s="56" t="str">
        <x:v>user_correction</x:v>
      </x:c>
      <x:c r="S171" s="56" t="str">
        <x:v>clarification</x:v>
      </x:c>
      <x:c r="T171" s="56" t="str">
        <x:v>Bloque_7_Documento_Madre_Capa1_v2_1_EVE_rev4_alineado.docx</x:v>
      </x:c>
      <x:c r="U171" s="56" t="str">
        <x:v>2a81e6eaa3d7ca9c11245d1010633fb233087e22a7d05bfd678350728820b399</x:v>
      </x:c>
      <x:c r="V171" s="56" t="str">
        <x:v>Texto libre</x:v>
      </x:c>
      <x:c r="W171" s="56" t="str">
        <x:v>Capturar texto literal sin clasificación semántica cliente.</x:v>
      </x:c>
      <x:c r="X171" s="56" t="str">
        <x:v>scalar:string</x:v>
      </x:c>
      <x:c r="Y171" s="56" t="str">
        <x:v>No aplica</x:v>
      </x:c>
      <x:c r="Z171" s="56" t="str">
        <x:v>slot_ref server-issued; valor humano únicamente.</x:v>
      </x:c>
      <x:c r="AA171" s="56" t="str">
        <x:v>EXPLICIT_FIELD_TYPE</x:v>
      </x:c>
      <x:c r="AB171" s="56" t="str">
        <x:v>Pantalla específica Bloque 7</x:v>
      </x:c>
      <x:c r="AC171" s="66" t="str"/>
      <x:c r="AD171" s="66" t="str">
        <x:v>No evaluado</x:v>
      </x:c>
      <x:c r="AE171" s="66" t="str">
        <x:v>No evaluado</x:v>
      </x:c>
      <x:c r="AF171" s="66" t="str">
        <x:v>No evaluado</x:v>
      </x:c>
      <x:c r="AG171" s="66" t="str">
        <x:v>No ejecutado</x:v>
      </x:c>
      <x:c r="AH171" s="68" t="str">
        <x:f>IF(AND(AD171="No evaluado",AE171="No evaluado",AF171="No evaluado",AG171="No ejecutado"),"No evaluado",IF(OR(AD171="Bloqueado",AE171="Bloqueado",AF171="Bloqueado",AG171="Bloqueado"),"Bloqueado",IF(OR(AE171="No conforme",AF171="No conforme",AG171="Falló"),"No conforme",IF(AND(OR(AD171="Implementado",AD171="No aplica"),OR(AE171="Conforme",AE171="No aplica"),OR(AF171="Conforme",AF171="No aplica"),OR(AG171="Pasó",AG171="No aplica")),"Conforme","Parcial"))))</x:f>
        <x:v>No evaluado</x:v>
      </x:c>
      <x:c r="AI171" s="56" t="str">
        <x:v>Compatible</x:v>
      </x:c>
      <x:c r="AJ171" s="66" t="str"/>
      <x:c r="AK171" s="66" t="str"/>
      <x:c r="AL171" s="56" t="str">
        <x:v>VALIDATED_044A3M / 170 identity tuples</x:v>
      </x:c>
      <x:c r="AM171" s="56" t="str">
        <x:v>TR-005; TR-006; TR-008; TR-016; TR-019; TR-028; TR-029</x:v>
      </x:c>
      <x:c r="AN171" s="66" t="str"/>
    </x:row>
  </x:sheetData>
  <x:conditionalFormatting sqref="AH2:AH171">
    <x:cfRule type="expression" dxfId="4" priority="1">
      <x:formula>AH2="Conforme"</x:formula>
    </x:cfRule>
    <x:cfRule type="expression" dxfId="5" priority="2">
      <x:formula>AH2="Parcial"</x:formula>
    </x:cfRule>
    <x:cfRule type="expression" dxfId="6" priority="3">
      <x:formula>OR(AH2="No conforme",AH2="Bloqueado")</x:formula>
    </x:cfRule>
    <x:cfRule type="expression" dxfId="7" priority="4">
      <x:formula>AH2="No evaluado"</x:formula>
    </x:cfRule>
  </x:conditionalFormatting>
  <x:conditionalFormatting sqref="AI2:AI171">
    <x:cfRule type="expression" dxfId="20" priority="5">
      <x:formula>AI2="Compatible"</x:formula>
    </x:cfRule>
    <x:cfRule type="expression" dxfId="21" priority="6">
      <x:formula>AI2="Parcial"</x:formula>
    </x:cfRule>
    <x:cfRule type="expression" dxfId="22" priority="7">
      <x:formula>AI2="No conforme"</x:formula>
    </x:cfRule>
  </x:conditionalFormatting>
  <x:dataValidations count="3">
    <x:dataValidation type="list" sqref="AD2:AD171">
      <x:formula1>"No evaluado,En diseño,En desarrollo,Implementado,Bloqueado,No aplica,Existente / por verificar"</x:formula1>
    </x:dataValidation>
    <x:dataValidation type="list" sqref="AE2:AF171">
      <x:formula1>"No evaluado,Conforme,Parcial,No conforme,Bloqueado,No aplica"</x:formula1>
    </x:dataValidation>
    <x:dataValidation type="list" sqref="AG2:AG171">
      <x:formula1>"No ejecutado,Pasó,Falló,Bloqueado,No aplica"</x:formula1>
    </x:dataValidation>
  </x:dataValidations>
  <x:pageMargins left="0.7" right="0.7" top="0.75" bottom="0.75" header="0.3" footer="0.3"/>
  <x:tableParts count="1">
    <x:tablePart xmlns:r="http://schemas.openxmlformats.org/officeDocument/2006/relationships" r:id="Rb9c5eedaa7624b4e"/>
  </x:tableParts>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24" hidden="0" customWidth="1"/>
    <x:col min="4" max="4" width="34" hidden="0" customWidth="1"/>
    <x:col min="5" max="5" width="18"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4" hidden="0" customWidth="1"/>
    <x:col min="14" max="14" width="55" hidden="0" customWidth="1"/>
    <x:col min="15" max="15" width="13" hidden="0" customWidth="1"/>
    <x:col min="16" max="16" width="13" hidden="0" customWidth="1"/>
    <x:col min="17" max="17" width="18" hidden="0" customWidth="1"/>
    <x:col min="18" max="18" width="38" hidden="0" customWidth="1"/>
    <x:col min="19" max="19" width="48" hidden="0" customWidth="1"/>
  </x:cols>
  <x:sheetData>
    <x:row r="1" ht="32" customHeight="1">
      <x:c r="A1" s="49" t="str">
        <x:v>block</x:v>
      </x:c>
      <x:c r="B1" s="49" t="str">
        <x:v>pantalla_objetivo</x:v>
      </x:c>
      <x:c r="C1" s="49" t="str">
        <x:v>estado_declarado_usuario</x:v>
      </x:c>
      <x:c r="D1" s="49" t="str">
        <x:v>ruta_componente_raiz</x:v>
      </x:c>
      <x:c r="E1" s="49" t="str">
        <x:v>responsable</x:v>
      </x:c>
      <x:c r="F1" s="49" t="str">
        <x:v>interacciones_total</x:v>
      </x:c>
      <x:c r="G1" s="49" t="str">
        <x:v>interacciones_base</x:v>
      </x:c>
      <x:c r="H1" s="49" t="str">
        <x:v>interacciones_causales</x:v>
      </x:c>
      <x:c r="I1" s="49" t="str">
        <x:v>slots_total</x:v>
      </x:c>
      <x:c r="J1" s="49" t="str">
        <x:v>slots_visibles</x:v>
      </x:c>
      <x:c r="K1" s="49" t="str">
        <x:v>slots_condicionales</x:v>
      </x:c>
      <x:c r="L1" s="49" t="str">
        <x:v>slots_confirmacion</x:v>
      </x:c>
      <x:c r="M1" s="49" t="str">
        <x:v>slots_internos_control</x:v>
      </x:c>
      <x:c r="N1" s="49" t="str">
        <x:v>tipos_control_requeridos</x:v>
      </x:c>
      <x:c r="O1" s="49" t="str">
        <x:v>avance_ui</x:v>
      </x:c>
      <x:c r="P1" s="49" t="str">
        <x:v>avance_QA</x:v>
      </x:c>
      <x:c r="Q1" s="49" t="str">
        <x:v>conformance_bloque</x:v>
      </x:c>
      <x:c r="R1" s="49" t="str">
        <x:v>bloqueadores</x:v>
      </x:c>
      <x:c r="S1" s="49" t="str">
        <x:v>siguiente_gate</x:v>
      </x:c>
    </x:row>
    <x:row r="2" ht="55" customHeight="1">
      <x:c r="A2" s="56" t="str">
        <x:v>0</x:v>
      </x:c>
      <x:c r="B2" s="56" t="str">
        <x:v>Pantalla específica Bloque 0</x:v>
      </x:c>
      <x:c r="C2" s="66" t="str">
        <x:v>Existente / por verificar</x:v>
      </x:c>
      <x:c r="D2" s="66" t="str"/>
      <x:c r="E2" s="66" t="str"/>
      <x:c r="F2" s="56" t="n">
        <x:f>COUNTIF('01_Interacciones_60'!$C$2:$C$61,$A2)</x:f>
        <x:v>5</x:v>
      </x:c>
      <x:c r="G2" s="56" t="n">
        <x:f>COUNTIFS('01_Interacciones_60'!$C$2:$C$61,$A2,'01_Interacciones_60'!$B$2:$B$61,"base_40")</x:f>
        <x:v>4</x:v>
      </x:c>
      <x:c r="H2" s="56" t="n">
        <x:f>COUNTIFS('01_Interacciones_60'!$C$2:$C$61,$A2,'01_Interacciones_60'!$B$2:$B$61,"causal_20")</x:f>
        <x:v>1</x:v>
      </x:c>
      <x:c r="I2" s="56" t="n">
        <x:f>COUNTIF('02_Slots_170'!$B$2:$B$171,$A2)</x:f>
        <x:v>17</x:v>
      </x:c>
      <x:c r="J2" s="56" t="n">
        <x:f>COUNTIFS('02_Slots_170'!$B$2:$B$171,$A2,'02_Slots_170'!$P$2:$P$171,"visible_capture")</x:f>
        <x:v>8</x:v>
      </x:c>
      <x:c r="K2" s="56" t="n">
        <x:f>COUNTIFS('02_Slots_170'!$B$2:$B$171,$A2,'02_Slots_170'!$P$2:$P$171,"conditional_clarification")</x:f>
        <x:v>4</x:v>
      </x:c>
      <x:c r="L2" s="56" t="n">
        <x:f>COUNTIFS('02_Slots_170'!$B$2:$B$171,$A2,'02_Slots_170'!$P$2:$P$171,"confirmation_or_correction")</x:f>
        <x:v>3</x:v>
      </x:c>
      <x:c r="M2" s="56" t="n">
        <x:f>COUNTIFS('02_Slots_170'!$B$2:$B$171,$A2,'02_Slots_170'!$P$2:$P$171,"internal")+COUNTIFS('02_Slots_170'!$B$2:$B$171,$A2,'02_Slots_170'!$P$2:$P$171,"control_metadata")</x:f>
        <x:v>2</x:v>
      </x:c>
      <x:c r="N2" s="56" t="str">
        <x:v>Aclaración condicional | Confirmación + corrección editable | Selección + texto complementario | Selección única | Sin control visible / lógica interna | Texto libre</x:v>
      </x:c>
      <x:c r="O2" s="70" t="n">
        <x:f>IF(F2=0,0,COUNTIFS('01_Interacciones_60'!$C$2:$C$61,$A2,'01_Interacciones_60'!$X$2:$X$61,"Implementado")/F2)</x:f>
        <x:v>0</x:v>
      </x:c>
      <x:c r="P2" s="70" t="n">
        <x:f>IF(F2=0,0,COUNTIFS('05_QA_60'!$B$2:$B$61,$A2,'05_QA_60'!$R$2:$R$61,"Conforme")/F2)</x:f>
        <x:v>0</x:v>
      </x:c>
      <x:c r="Q2" s="68" t="str">
        <x:f>IF(COUNTIFS('01_Interacciones_60'!$C$2:$C$61,$A2,'01_Interacciones_60'!$AB$2:$AB$61,"Bloqueado")+COUNTIFS('01_Interacciones_60'!$C$2:$C$61,$A2,'01_Interacciones_60'!$AB$2:$AB$61,"No conforme")&gt;0,"Bloqueado",IF(COUNTIFS('01_Interacciones_60'!$C$2:$C$61,$A2,'01_Interacciones_60'!$AB$2:$AB$61,"Conforme")=F2,"Conforme",IF(COUNTIFS('01_Interacciones_60'!$C$2:$C$61,$A2,'01_Interacciones_60'!$AB$2:$AB$61,"No evaluado")=F2,"No evaluado","Parcial")))</x:f>
        <x:v>Parcial</x:v>
      </x:c>
      <x:c r="R2" s="66" t="str"/>
      <x:c r="S2" s="56" t="str">
        <x:v>Renderer → pantalla específica → slot_ref → submit → ResponseIngest → Qn+1</x:v>
      </x:c>
    </x:row>
    <x:row r="3" ht="55" customHeight="1">
      <x:c r="A3" s="56" t="str">
        <x:v>0.5</x:v>
      </x:c>
      <x:c r="B3" s="56" t="str">
        <x:v>Pantalla específica Bloque 0.5</x:v>
      </x:c>
      <x:c r="C3" s="66" t="str">
        <x:v>En desarrollo</x:v>
      </x:c>
      <x:c r="D3" s="66" t="str"/>
      <x:c r="E3" s="66" t="str"/>
      <x:c r="F3" s="56" t="n">
        <x:f>COUNTIF('01_Interacciones_60'!$C$2:$C$61,$A3)</x:f>
        <x:v>4</x:v>
      </x:c>
      <x:c r="G3" s="56" t="n">
        <x:f>COUNTIFS('01_Interacciones_60'!$C$2:$C$61,$A3,'01_Interacciones_60'!$B$2:$B$61,"base_40")</x:f>
        <x:v>3</x:v>
      </x:c>
      <x:c r="H3" s="56" t="n">
        <x:f>COUNTIFS('01_Interacciones_60'!$C$2:$C$61,$A3,'01_Interacciones_60'!$B$2:$B$61,"causal_20")</x:f>
        <x:v>1</x:v>
      </x:c>
      <x:c r="I3" s="56" t="n">
        <x:f>COUNTIF('02_Slots_170'!$B$2:$B$171,$A3)</x:f>
        <x:v>13</x:v>
      </x:c>
      <x:c r="J3" s="56" t="n">
        <x:f>COUNTIFS('02_Slots_170'!$B$2:$B$171,$A3,'02_Slots_170'!$P$2:$P$171,"visible_capture")</x:f>
        <x:v>10</x:v>
      </x:c>
      <x:c r="K3" s="56" t="n">
        <x:f>COUNTIFS('02_Slots_170'!$B$2:$B$171,$A3,'02_Slots_170'!$P$2:$P$171,"conditional_clarification")</x:f>
        <x:v>3</x:v>
      </x:c>
      <x:c r="L3" s="56" t="n">
        <x:f>COUNTIFS('02_Slots_170'!$B$2:$B$171,$A3,'02_Slots_170'!$P$2:$P$171,"confirmation_or_correction")</x:f>
        <x:v>0</x:v>
      </x:c>
      <x:c r="M3" s="56" t="n">
        <x:f>COUNTIFS('02_Slots_170'!$B$2:$B$171,$A3,'02_Slots_170'!$P$2:$P$171,"internal")+COUNTIFS('02_Slots_170'!$B$2:$B$171,$A3,'02_Slots_170'!$P$2:$P$171,"control_metadata")</x:f>
        <x:v>0</x:v>
      </x:c>
      <x:c r="N3" s="56" t="str">
        <x:v>Aclaración condicional | Selección única | Texto libre</x:v>
      </x:c>
      <x:c r="O3" s="70" t="n">
        <x:f>IF(F3=0,0,COUNTIFS('01_Interacciones_60'!$C$2:$C$61,$A3,'01_Interacciones_60'!$X$2:$X$61,"Implementado")/F3)</x:f>
        <x:v>0</x:v>
      </x:c>
      <x:c r="P3" s="70" t="n">
        <x:f>IF(F3=0,0,COUNTIFS('05_QA_60'!$B$2:$B$61,$A3,'05_QA_60'!$R$2:$R$61,"Conforme")/F3)</x:f>
        <x:v>0</x:v>
      </x:c>
      <x:c r="Q3" s="68" t="str">
        <x:f>IF(COUNTIFS('01_Interacciones_60'!$C$2:$C$61,$A3,'01_Interacciones_60'!$AB$2:$AB$61,"Bloqueado")+COUNTIFS('01_Interacciones_60'!$C$2:$C$61,$A3,'01_Interacciones_60'!$AB$2:$AB$61,"No conforme")&gt;0,"Bloqueado",IF(COUNTIFS('01_Interacciones_60'!$C$2:$C$61,$A3,'01_Interacciones_60'!$AB$2:$AB$61,"Conforme")=F3,"Conforme",IF(COUNTIFS('01_Interacciones_60'!$C$2:$C$61,$A3,'01_Interacciones_60'!$AB$2:$AB$61,"No evaluado")=F3,"No evaluado","Parcial")))</x:f>
        <x:v>Parcial</x:v>
      </x:c>
      <x:c r="R3" s="66" t="str"/>
      <x:c r="S3" s="56" t="str">
        <x:v>Renderer → pantalla específica → slot_ref → submit → ResponseIngest → Qn+1</x:v>
      </x:c>
    </x:row>
    <x:row r="4" ht="55" customHeight="1">
      <x:c r="A4" s="56" t="str">
        <x:v>1</x:v>
      </x:c>
      <x:c r="B4" s="56" t="str">
        <x:v>Pantalla específica Bloque 1</x:v>
      </x:c>
      <x:c r="C4" s="66" t="str">
        <x:v>En desarrollo</x:v>
      </x:c>
      <x:c r="D4" s="66" t="str"/>
      <x:c r="E4" s="66" t="str"/>
      <x:c r="F4" s="56" t="n">
        <x:f>COUNTIF('01_Interacciones_60'!$C$2:$C$61,$A4)</x:f>
        <x:v>5</x:v>
      </x:c>
      <x:c r="G4" s="56" t="n">
        <x:f>COUNTIFS('01_Interacciones_60'!$C$2:$C$61,$A4,'01_Interacciones_60'!$B$2:$B$61,"base_40")</x:f>
        <x:v>4</x:v>
      </x:c>
      <x:c r="H4" s="56" t="n">
        <x:f>COUNTIFS('01_Interacciones_60'!$C$2:$C$61,$A4,'01_Interacciones_60'!$B$2:$B$61,"causal_20")</x:f>
        <x:v>1</x:v>
      </x:c>
      <x:c r="I4" s="56" t="n">
        <x:f>COUNTIF('02_Slots_170'!$B$2:$B$171,$A4)</x:f>
        <x:v>11</x:v>
      </x:c>
      <x:c r="J4" s="56" t="n">
        <x:f>COUNTIFS('02_Slots_170'!$B$2:$B$171,$A4,'02_Slots_170'!$P$2:$P$171,"visible_capture")</x:f>
        <x:v>8</x:v>
      </x:c>
      <x:c r="K4" s="56" t="n">
        <x:f>COUNTIFS('02_Slots_170'!$B$2:$B$171,$A4,'02_Slots_170'!$P$2:$P$171,"conditional_clarification")</x:f>
        <x:v>3</x:v>
      </x:c>
      <x:c r="L4" s="56" t="n">
        <x:f>COUNTIFS('02_Slots_170'!$B$2:$B$171,$A4,'02_Slots_170'!$P$2:$P$171,"confirmation_or_correction")</x:f>
        <x:v>0</x:v>
      </x:c>
      <x:c r="M4" s="56" t="n">
        <x:f>COUNTIFS('02_Slots_170'!$B$2:$B$171,$A4,'02_Slots_170'!$P$2:$P$171,"internal")+COUNTIFS('02_Slots_170'!$B$2:$B$171,$A4,'02_Slots_170'!$P$2:$P$171,"control_metadata")</x:f>
        <x:v>0</x:v>
      </x:c>
      <x:c r="N4" s="56" t="str">
        <x:v>Selección + texto complementario | Selección múltiple | Selección única | Texto libre</x:v>
      </x:c>
      <x:c r="O4" s="70" t="n">
        <x:f>IF(F4=0,0,COUNTIFS('01_Interacciones_60'!$C$2:$C$61,$A4,'01_Interacciones_60'!$X$2:$X$61,"Implementado")/F4)</x:f>
        <x:v>0</x:v>
      </x:c>
      <x:c r="P4" s="70" t="n">
        <x:f>IF(F4=0,0,COUNTIFS('05_QA_60'!$B$2:$B$61,$A4,'05_QA_60'!$R$2:$R$61,"Conforme")/F4)</x:f>
        <x:v>0</x:v>
      </x:c>
      <x:c r="Q4" s="68" t="str">
        <x:f>IF(COUNTIFS('01_Interacciones_60'!$C$2:$C$61,$A4,'01_Interacciones_60'!$AB$2:$AB$61,"Bloqueado")+COUNTIFS('01_Interacciones_60'!$C$2:$C$61,$A4,'01_Interacciones_60'!$AB$2:$AB$61,"No conforme")&gt;0,"Bloqueado",IF(COUNTIFS('01_Interacciones_60'!$C$2:$C$61,$A4,'01_Interacciones_60'!$AB$2:$AB$61,"Conforme")=F4,"Conforme",IF(COUNTIFS('01_Interacciones_60'!$C$2:$C$61,$A4,'01_Interacciones_60'!$AB$2:$AB$61,"No evaluado")=F4,"No evaluado","Parcial")))</x:f>
        <x:v>Parcial</x:v>
      </x:c>
      <x:c r="R4" s="66" t="str"/>
      <x:c r="S4" s="56" t="str">
        <x:v>Renderer → pantalla específica → slot_ref → submit → ResponseIngest → Qn+1</x:v>
      </x:c>
    </x:row>
    <x:row r="5" ht="55" customHeight="1">
      <x:c r="A5" s="56" t="str">
        <x:v>2</x:v>
      </x:c>
      <x:c r="B5" s="56" t="str">
        <x:v>Pantalla específica Bloque 2</x:v>
      </x:c>
      <x:c r="C5" s="66" t="str">
        <x:v>En desarrollo</x:v>
      </x:c>
      <x:c r="D5" s="66" t="str"/>
      <x:c r="E5" s="66" t="str"/>
      <x:c r="F5" s="56" t="n">
        <x:f>COUNTIF('01_Interacciones_60'!$C$2:$C$61,$A5)</x:f>
        <x:v>10</x:v>
      </x:c>
      <x:c r="G5" s="56" t="n">
        <x:f>COUNTIFS('01_Interacciones_60'!$C$2:$C$61,$A5,'01_Interacciones_60'!$B$2:$B$61,"base_40")</x:f>
        <x:v>6</x:v>
      </x:c>
      <x:c r="H5" s="56" t="n">
        <x:f>COUNTIFS('01_Interacciones_60'!$C$2:$C$61,$A5,'01_Interacciones_60'!$B$2:$B$61,"causal_20")</x:f>
        <x:v>4</x:v>
      </x:c>
      <x:c r="I5" s="56" t="n">
        <x:f>COUNTIF('02_Slots_170'!$B$2:$B$171,$A5)</x:f>
        <x:v>26</x:v>
      </x:c>
      <x:c r="J5" s="56" t="n">
        <x:f>COUNTIFS('02_Slots_170'!$B$2:$B$171,$A5,'02_Slots_170'!$P$2:$P$171,"visible_capture")</x:f>
        <x:v>23</x:v>
      </x:c>
      <x:c r="K5" s="56" t="n">
        <x:f>COUNTIFS('02_Slots_170'!$B$2:$B$171,$A5,'02_Slots_170'!$P$2:$P$171,"conditional_clarification")</x:f>
        <x:v>3</x:v>
      </x:c>
      <x:c r="L5" s="56" t="n">
        <x:f>COUNTIFS('02_Slots_170'!$B$2:$B$171,$A5,'02_Slots_170'!$P$2:$P$171,"confirmation_or_correction")</x:f>
        <x:v>0</x:v>
      </x:c>
      <x:c r="M5" s="56" t="n">
        <x:f>COUNTIFS('02_Slots_170'!$B$2:$B$171,$A5,'02_Slots_170'!$P$2:$P$171,"internal")+COUNTIFS('02_Slots_170'!$B$2:$B$171,$A5,'02_Slots_170'!$P$2:$P$171,"control_metadata")</x:f>
        <x:v>0</x:v>
      </x:c>
      <x:c r="N5" s="56" t="str">
        <x:v>Ordenamiento / ranking | Selección múltiple | Selección única | Texto libre</x:v>
      </x:c>
      <x:c r="O5" s="70" t="n">
        <x:f>IF(F5=0,0,COUNTIFS('01_Interacciones_60'!$C$2:$C$61,$A5,'01_Interacciones_60'!$X$2:$X$61,"Implementado")/F5)</x:f>
        <x:v>0</x:v>
      </x:c>
      <x:c r="P5" s="70" t="n">
        <x:f>IF(F5=0,0,COUNTIFS('05_QA_60'!$B$2:$B$61,$A5,'05_QA_60'!$R$2:$R$61,"Conforme")/F5)</x:f>
        <x:v>0</x:v>
      </x:c>
      <x:c r="Q5" s="68" t="str">
        <x:f>IF(COUNTIFS('01_Interacciones_60'!$C$2:$C$61,$A5,'01_Interacciones_60'!$AB$2:$AB$61,"Bloqueado")+COUNTIFS('01_Interacciones_60'!$C$2:$C$61,$A5,'01_Interacciones_60'!$AB$2:$AB$61,"No conforme")&gt;0,"Bloqueado",IF(COUNTIFS('01_Interacciones_60'!$C$2:$C$61,$A5,'01_Interacciones_60'!$AB$2:$AB$61,"Conforme")=F5,"Conforme",IF(COUNTIFS('01_Interacciones_60'!$C$2:$C$61,$A5,'01_Interacciones_60'!$AB$2:$AB$61,"No evaluado")=F5,"No evaluado","Parcial")))</x:f>
        <x:v>Parcial</x:v>
      </x:c>
      <x:c r="R5" s="66" t="str"/>
      <x:c r="S5" s="56" t="str">
        <x:v>Renderer → pantalla específica → slot_ref → submit → ResponseIngest → Qn+1</x:v>
      </x:c>
    </x:row>
    <x:row r="6" ht="55" customHeight="1">
      <x:c r="A6" s="56" t="str">
        <x:v>3</x:v>
      </x:c>
      <x:c r="B6" s="56" t="str">
        <x:v>Pantalla específica Bloque 3</x:v>
      </x:c>
      <x:c r="C6" s="66" t="str">
        <x:v>En desarrollo</x:v>
      </x:c>
      <x:c r="D6" s="66" t="str"/>
      <x:c r="E6" s="66" t="str"/>
      <x:c r="F6" s="56" t="n">
        <x:f>COUNTIF('01_Interacciones_60'!$C$2:$C$61,$A6)</x:f>
        <x:v>8</x:v>
      </x:c>
      <x:c r="G6" s="56" t="n">
        <x:f>COUNTIFS('01_Interacciones_60'!$C$2:$C$61,$A6,'01_Interacciones_60'!$B$2:$B$61,"base_40")</x:f>
        <x:v>5</x:v>
      </x:c>
      <x:c r="H6" s="56" t="n">
        <x:f>COUNTIFS('01_Interacciones_60'!$C$2:$C$61,$A6,'01_Interacciones_60'!$B$2:$B$61,"causal_20")</x:f>
        <x:v>3</x:v>
      </x:c>
      <x:c r="I6" s="56" t="n">
        <x:f>COUNTIF('02_Slots_170'!$B$2:$B$171,$A6)</x:f>
        <x:v>19</x:v>
      </x:c>
      <x:c r="J6" s="56" t="n">
        <x:f>COUNTIFS('02_Slots_170'!$B$2:$B$171,$A6,'02_Slots_170'!$P$2:$P$171,"visible_capture")</x:f>
        <x:v>16</x:v>
      </x:c>
      <x:c r="K6" s="56" t="n">
        <x:f>COUNTIFS('02_Slots_170'!$B$2:$B$171,$A6,'02_Slots_170'!$P$2:$P$171,"conditional_clarification")</x:f>
        <x:v>3</x:v>
      </x:c>
      <x:c r="L6" s="56" t="n">
        <x:f>COUNTIFS('02_Slots_170'!$B$2:$B$171,$A6,'02_Slots_170'!$P$2:$P$171,"confirmation_or_correction")</x:f>
        <x:v>0</x:v>
      </x:c>
      <x:c r="M6" s="56" t="n">
        <x:f>COUNTIFS('02_Slots_170'!$B$2:$B$171,$A6,'02_Slots_170'!$P$2:$P$171,"internal")+COUNTIFS('02_Slots_170'!$B$2:$B$171,$A6,'02_Slots_170'!$P$2:$P$171,"control_metadata")</x:f>
        <x:v>0</x:v>
      </x:c>
      <x:c r="N6" s="56" t="str">
        <x:v>Aclaración condicional | Selección múltiple | Selección única | Texto libre</x:v>
      </x:c>
      <x:c r="O6" s="70" t="n">
        <x:f>IF(F6=0,0,COUNTIFS('01_Interacciones_60'!$C$2:$C$61,$A6,'01_Interacciones_60'!$X$2:$X$61,"Implementado")/F6)</x:f>
        <x:v>0</x:v>
      </x:c>
      <x:c r="P6" s="70" t="n">
        <x:f>IF(F6=0,0,COUNTIFS('05_QA_60'!$B$2:$B$61,$A6,'05_QA_60'!$R$2:$R$61,"Conforme")/F6)</x:f>
        <x:v>0</x:v>
      </x:c>
      <x:c r="Q6" s="68" t="str">
        <x:f>IF(COUNTIFS('01_Interacciones_60'!$C$2:$C$61,$A6,'01_Interacciones_60'!$AB$2:$AB$61,"Bloqueado")+COUNTIFS('01_Interacciones_60'!$C$2:$C$61,$A6,'01_Interacciones_60'!$AB$2:$AB$61,"No conforme")&gt;0,"Bloqueado",IF(COUNTIFS('01_Interacciones_60'!$C$2:$C$61,$A6,'01_Interacciones_60'!$AB$2:$AB$61,"Conforme")=F6,"Conforme",IF(COUNTIFS('01_Interacciones_60'!$C$2:$C$61,$A6,'01_Interacciones_60'!$AB$2:$AB$61,"No evaluado")=F6,"No evaluado","Parcial")))</x:f>
        <x:v>Parcial</x:v>
      </x:c>
      <x:c r="R6" s="66" t="str"/>
      <x:c r="S6" s="56" t="str">
        <x:v>Renderer → pantalla específica → slot_ref → submit → ResponseIngest → Qn+1</x:v>
      </x:c>
    </x:row>
    <x:row r="7" ht="55" customHeight="1">
      <x:c r="A7" s="56" t="str">
        <x:v>4</x:v>
      </x:c>
      <x:c r="B7" s="56" t="str">
        <x:v>Pantalla específica Bloque 4</x:v>
      </x:c>
      <x:c r="C7" s="66" t="str">
        <x:v>En desarrollo</x:v>
      </x:c>
      <x:c r="D7" s="66" t="str"/>
      <x:c r="E7" s="66" t="str"/>
      <x:c r="F7" s="56" t="n">
        <x:f>COUNTIF('01_Interacciones_60'!$C$2:$C$61,$A7)</x:f>
        <x:v>10</x:v>
      </x:c>
      <x:c r="G7" s="56" t="n">
        <x:f>COUNTIFS('01_Interacciones_60'!$C$2:$C$61,$A7,'01_Interacciones_60'!$B$2:$B$61,"base_40")</x:f>
        <x:v>6</x:v>
      </x:c>
      <x:c r="H7" s="56" t="n">
        <x:f>COUNTIFS('01_Interacciones_60'!$C$2:$C$61,$A7,'01_Interacciones_60'!$B$2:$B$61,"causal_20")</x:f>
        <x:v>4</x:v>
      </x:c>
      <x:c r="I7" s="56" t="n">
        <x:f>COUNTIF('02_Slots_170'!$B$2:$B$171,$A7)</x:f>
        <x:v>21</x:v>
      </x:c>
      <x:c r="J7" s="56" t="n">
        <x:f>COUNTIFS('02_Slots_170'!$B$2:$B$171,$A7,'02_Slots_170'!$P$2:$P$171,"visible_capture")</x:f>
        <x:v>18</x:v>
      </x:c>
      <x:c r="K7" s="56" t="n">
        <x:f>COUNTIFS('02_Slots_170'!$B$2:$B$171,$A7,'02_Slots_170'!$P$2:$P$171,"conditional_clarification")</x:f>
        <x:v>3</x:v>
      </x:c>
      <x:c r="L7" s="56" t="n">
        <x:f>COUNTIFS('02_Slots_170'!$B$2:$B$171,$A7,'02_Slots_170'!$P$2:$P$171,"confirmation_or_correction")</x:f>
        <x:v>0</x:v>
      </x:c>
      <x:c r="M7" s="56" t="n">
        <x:f>COUNTIFS('02_Slots_170'!$B$2:$B$171,$A7,'02_Slots_170'!$P$2:$P$171,"internal")+COUNTIFS('02_Slots_170'!$B$2:$B$171,$A7,'02_Slots_170'!$P$2:$P$171,"control_metadata")</x:f>
        <x:v>0</x:v>
      </x:c>
      <x:c r="N7" s="56" t="str">
        <x:v>Decisión binaria/cerrada + texto | Selección múltiple | Selección única | Texto libre</x:v>
      </x:c>
      <x:c r="O7" s="70" t="n">
        <x:f>IF(F7=0,0,COUNTIFS('01_Interacciones_60'!$C$2:$C$61,$A7,'01_Interacciones_60'!$X$2:$X$61,"Implementado")/F7)</x:f>
        <x:v>0</x:v>
      </x:c>
      <x:c r="P7" s="70" t="n">
        <x:f>IF(F7=0,0,COUNTIFS('05_QA_60'!$B$2:$B$61,$A7,'05_QA_60'!$R$2:$R$61,"Conforme")/F7)</x:f>
        <x:v>0</x:v>
      </x:c>
      <x:c r="Q7" s="68" t="str">
        <x:f>IF(COUNTIFS('01_Interacciones_60'!$C$2:$C$61,$A7,'01_Interacciones_60'!$AB$2:$AB$61,"Bloqueado")+COUNTIFS('01_Interacciones_60'!$C$2:$C$61,$A7,'01_Interacciones_60'!$AB$2:$AB$61,"No conforme")&gt;0,"Bloqueado",IF(COUNTIFS('01_Interacciones_60'!$C$2:$C$61,$A7,'01_Interacciones_60'!$AB$2:$AB$61,"Conforme")=F7,"Conforme",IF(COUNTIFS('01_Interacciones_60'!$C$2:$C$61,$A7,'01_Interacciones_60'!$AB$2:$AB$61,"No evaluado")=F7,"No evaluado","Parcial")))</x:f>
        <x:v>Parcial</x:v>
      </x:c>
      <x:c r="R7" s="66" t="str"/>
      <x:c r="S7" s="56" t="str">
        <x:v>Renderer → pantalla específica → slot_ref → submit → ResponseIngest → Qn+1</x:v>
      </x:c>
    </x:row>
    <x:row r="8" ht="55" customHeight="1">
      <x:c r="A8" s="56" t="str">
        <x:v>5</x:v>
      </x:c>
      <x:c r="B8" s="56" t="str">
        <x:v>Pantalla específica Bloque 5</x:v>
      </x:c>
      <x:c r="C8" s="66" t="str">
        <x:v>En desarrollo</x:v>
      </x:c>
      <x:c r="D8" s="66" t="str"/>
      <x:c r="E8" s="66" t="str"/>
      <x:c r="F8" s="56" t="n">
        <x:f>COUNTIF('01_Interacciones_60'!$C$2:$C$61,$A8)</x:f>
        <x:v>6</x:v>
      </x:c>
      <x:c r="G8" s="56" t="n">
        <x:f>COUNTIFS('01_Interacciones_60'!$C$2:$C$61,$A8,'01_Interacciones_60'!$B$2:$B$61,"base_40")</x:f>
        <x:v>5</x:v>
      </x:c>
      <x:c r="H8" s="56" t="n">
        <x:f>COUNTIFS('01_Interacciones_60'!$C$2:$C$61,$A8,'01_Interacciones_60'!$B$2:$B$61,"causal_20")</x:f>
        <x:v>1</x:v>
      </x:c>
      <x:c r="I8" s="56" t="n">
        <x:f>COUNTIF('02_Slots_170'!$B$2:$B$171,$A8)</x:f>
        <x:v>20</x:v>
      </x:c>
      <x:c r="J8" s="56" t="n">
        <x:f>COUNTIFS('02_Slots_170'!$B$2:$B$171,$A8,'02_Slots_170'!$P$2:$P$171,"visible_capture")</x:f>
        <x:v>15</x:v>
      </x:c>
      <x:c r="K8" s="56" t="n">
        <x:f>COUNTIFS('02_Slots_170'!$B$2:$B$171,$A8,'02_Slots_170'!$P$2:$P$171,"conditional_clarification")</x:f>
        <x:v>3</x:v>
      </x:c>
      <x:c r="L8" s="56" t="n">
        <x:f>COUNTIFS('02_Slots_170'!$B$2:$B$171,$A8,'02_Slots_170'!$P$2:$P$171,"confirmation_or_correction")</x:f>
        <x:v>0</x:v>
      </x:c>
      <x:c r="M8" s="56" t="n">
        <x:f>COUNTIFS('02_Slots_170'!$B$2:$B$171,$A8,'02_Slots_170'!$P$2:$P$171,"internal")+COUNTIFS('02_Slots_170'!$B$2:$B$171,$A8,'02_Slots_170'!$P$2:$P$171,"control_metadata")</x:f>
        <x:v>2</x:v>
      </x:c>
      <x:c r="N8" s="56" t="str">
        <x:v>Aclaración condicional | Control dinámico según catálogo | Selección múltiple | Selección única | Sin control visible / lógica interna</x:v>
      </x:c>
      <x:c r="O8" s="70" t="n">
        <x:f>IF(F8=0,0,COUNTIFS('01_Interacciones_60'!$C$2:$C$61,$A8,'01_Interacciones_60'!$X$2:$X$61,"Implementado")/F8)</x:f>
        <x:v>0</x:v>
      </x:c>
      <x:c r="P8" s="70" t="n">
        <x:f>IF(F8=0,0,COUNTIFS('05_QA_60'!$B$2:$B$61,$A8,'05_QA_60'!$R$2:$R$61,"Conforme")/F8)</x:f>
        <x:v>0</x:v>
      </x:c>
      <x:c r="Q8" s="68" t="str">
        <x:f>IF(COUNTIFS('01_Interacciones_60'!$C$2:$C$61,$A8,'01_Interacciones_60'!$AB$2:$AB$61,"Bloqueado")+COUNTIFS('01_Interacciones_60'!$C$2:$C$61,$A8,'01_Interacciones_60'!$AB$2:$AB$61,"No conforme")&gt;0,"Bloqueado",IF(COUNTIFS('01_Interacciones_60'!$C$2:$C$61,$A8,'01_Interacciones_60'!$AB$2:$AB$61,"Conforme")=F8,"Conforme",IF(COUNTIFS('01_Interacciones_60'!$C$2:$C$61,$A8,'01_Interacciones_60'!$AB$2:$AB$61,"No evaluado")=F8,"No evaluado","Parcial")))</x:f>
        <x:v>Parcial</x:v>
      </x:c>
      <x:c r="R8" s="66" t="str"/>
      <x:c r="S8" s="56" t="str">
        <x:v>Renderer → pantalla específica → slot_ref → submit → ResponseIngest → Qn+1</x:v>
      </x:c>
    </x:row>
    <x:row r="9" ht="55" customHeight="1">
      <x:c r="A9" s="56" t="str">
        <x:v>6</x:v>
      </x:c>
      <x:c r="B9" s="56" t="str">
        <x:v>Pantalla específica Bloque 6</x:v>
      </x:c>
      <x:c r="C9" s="66" t="str">
        <x:v>En desarrollo</x:v>
      </x:c>
      <x:c r="D9" s="66" t="str"/>
      <x:c r="E9" s="66" t="str"/>
      <x:c r="F9" s="56" t="n">
        <x:f>COUNTIF('01_Interacciones_60'!$C$2:$C$61,$A9)</x:f>
        <x:v>9</x:v>
      </x:c>
      <x:c r="G9" s="56" t="n">
        <x:f>COUNTIFS('01_Interacciones_60'!$C$2:$C$61,$A9,'01_Interacciones_60'!$B$2:$B$61,"base_40")</x:f>
        <x:v>5</x:v>
      </x:c>
      <x:c r="H9" s="56" t="n">
        <x:f>COUNTIFS('01_Interacciones_60'!$C$2:$C$61,$A9,'01_Interacciones_60'!$B$2:$B$61,"causal_20")</x:f>
        <x:v>4</x:v>
      </x:c>
      <x:c r="I9" s="56" t="n">
        <x:f>COUNTIF('02_Slots_170'!$B$2:$B$171,$A9)</x:f>
        <x:v>29</x:v>
      </x:c>
      <x:c r="J9" s="56" t="n">
        <x:f>COUNTIFS('02_Slots_170'!$B$2:$B$171,$A9,'02_Slots_170'!$P$2:$P$171,"visible_capture")</x:f>
        <x:v>26</x:v>
      </x:c>
      <x:c r="K9" s="56" t="n">
        <x:f>COUNTIFS('02_Slots_170'!$B$2:$B$171,$A9,'02_Slots_170'!$P$2:$P$171,"conditional_clarification")</x:f>
        <x:v>3</x:v>
      </x:c>
      <x:c r="L9" s="56" t="n">
        <x:f>COUNTIFS('02_Slots_170'!$B$2:$B$171,$A9,'02_Slots_170'!$P$2:$P$171,"confirmation_or_correction")</x:f>
        <x:v>0</x:v>
      </x:c>
      <x:c r="M9" s="56" t="n">
        <x:f>COUNTIFS('02_Slots_170'!$B$2:$B$171,$A9,'02_Slots_170'!$P$2:$P$171,"internal")+COUNTIFS('02_Slots_170'!$B$2:$B$171,$A9,'02_Slots_170'!$P$2:$P$171,"control_metadata")</x:f>
        <x:v>0</x:v>
      </x:c>
      <x:c r="N9" s="56" t="str">
        <x:v>Escala + texto | Selección + texto complementario | Selección múltiple | Selección única | Texto libre</x:v>
      </x:c>
      <x:c r="O9" s="70" t="n">
        <x:f>IF(F9=0,0,COUNTIFS('01_Interacciones_60'!$C$2:$C$61,$A9,'01_Interacciones_60'!$X$2:$X$61,"Implementado")/F9)</x:f>
        <x:v>0</x:v>
      </x:c>
      <x:c r="P9" s="70" t="n">
        <x:f>IF(F9=0,0,COUNTIFS('05_QA_60'!$B$2:$B$61,$A9,'05_QA_60'!$R$2:$R$61,"Conforme")/F9)</x:f>
        <x:v>0</x:v>
      </x:c>
      <x:c r="Q9" s="68" t="str">
        <x:f>IF(COUNTIFS('01_Interacciones_60'!$C$2:$C$61,$A9,'01_Interacciones_60'!$AB$2:$AB$61,"Bloqueado")+COUNTIFS('01_Interacciones_60'!$C$2:$C$61,$A9,'01_Interacciones_60'!$AB$2:$AB$61,"No conforme")&gt;0,"Bloqueado",IF(COUNTIFS('01_Interacciones_60'!$C$2:$C$61,$A9,'01_Interacciones_60'!$AB$2:$AB$61,"Conforme")=F9,"Conforme",IF(COUNTIFS('01_Interacciones_60'!$C$2:$C$61,$A9,'01_Interacciones_60'!$AB$2:$AB$61,"No evaluado")=F9,"No evaluado","Parcial")))</x:f>
        <x:v>Parcial</x:v>
      </x:c>
      <x:c r="R9" s="66" t="str"/>
      <x:c r="S9" s="56" t="str">
        <x:v>Renderer → pantalla específica → slot_ref → submit → ResponseIngest → Qn+1</x:v>
      </x:c>
    </x:row>
    <x:row r="10" ht="55" customHeight="1">
      <x:c r="A10" s="56" t="str">
        <x:v>7</x:v>
      </x:c>
      <x:c r="B10" s="56" t="str">
        <x:v>Pantalla específica Bloque 7</x:v>
      </x:c>
      <x:c r="C10" s="66" t="str">
        <x:v>En desarrollo</x:v>
      </x:c>
      <x:c r="D10" s="66" t="str"/>
      <x:c r="E10" s="66" t="str"/>
      <x:c r="F10" s="56" t="n">
        <x:f>COUNTIF('01_Interacciones_60'!$C$2:$C$61,$A10)</x:f>
        <x:v>3</x:v>
      </x:c>
      <x:c r="G10" s="56" t="n">
        <x:f>COUNTIFS('01_Interacciones_60'!$C$2:$C$61,$A10,'01_Interacciones_60'!$B$2:$B$61,"base_40")</x:f>
        <x:v>2</x:v>
      </x:c>
      <x:c r="H10" s="56" t="n">
        <x:f>COUNTIFS('01_Interacciones_60'!$C$2:$C$61,$A10,'01_Interacciones_60'!$B$2:$B$61,"causal_20")</x:f>
        <x:v>1</x:v>
      </x:c>
      <x:c r="I10" s="56" t="n">
        <x:f>COUNTIF('02_Slots_170'!$B$2:$B$171,$A10)</x:f>
        <x:v>14</x:v>
      </x:c>
      <x:c r="J10" s="56" t="n">
        <x:f>COUNTIFS('02_Slots_170'!$B$2:$B$171,$A10,'02_Slots_170'!$P$2:$P$171,"visible_capture")</x:f>
        <x:v>10</x:v>
      </x:c>
      <x:c r="K10" s="56" t="n">
        <x:f>COUNTIFS('02_Slots_170'!$B$2:$B$171,$A10,'02_Slots_170'!$P$2:$P$171,"conditional_clarification")</x:f>
        <x:v>0</x:v>
      </x:c>
      <x:c r="L10" s="56" t="n">
        <x:f>COUNTIFS('02_Slots_170'!$B$2:$B$171,$A10,'02_Slots_170'!$P$2:$P$171,"confirmation_or_correction")</x:f>
        <x:v>0</x:v>
      </x:c>
      <x:c r="M10" s="56" t="n">
        <x:f>COUNTIFS('02_Slots_170'!$B$2:$B$171,$A10,'02_Slots_170'!$P$2:$P$171,"internal")+COUNTIFS('02_Slots_170'!$B$2:$B$171,$A10,'02_Slots_170'!$P$2:$P$171,"control_metadata")</x:f>
        <x:v>4</x:v>
      </x:c>
      <x:c r="N10" s="56" t="str">
        <x:v>Selección + texto complementario | Selección única | Sin control visible / lógica interna | Texto libre</x:v>
      </x:c>
      <x:c r="O10" s="70" t="n">
        <x:f>IF(F10=0,0,COUNTIFS('01_Interacciones_60'!$C$2:$C$61,$A10,'01_Interacciones_60'!$X$2:$X$61,"Implementado")/F10)</x:f>
        <x:v>0</x:v>
      </x:c>
      <x:c r="P10" s="70" t="n">
        <x:f>IF(F10=0,0,COUNTIFS('05_QA_60'!$B$2:$B$61,$A10,'05_QA_60'!$R$2:$R$61,"Conforme")/F10)</x:f>
        <x:v>0</x:v>
      </x:c>
      <x:c r="Q10" s="68" t="str">
        <x:f>IF(COUNTIFS('01_Interacciones_60'!$C$2:$C$61,$A10,'01_Interacciones_60'!$AB$2:$AB$61,"Bloqueado")+COUNTIFS('01_Interacciones_60'!$C$2:$C$61,$A10,'01_Interacciones_60'!$AB$2:$AB$61,"No conforme")&gt;0,"Bloqueado",IF(COUNTIFS('01_Interacciones_60'!$C$2:$C$61,$A10,'01_Interacciones_60'!$AB$2:$AB$61,"Conforme")=F10,"Conforme",IF(COUNTIFS('01_Interacciones_60'!$C$2:$C$61,$A10,'01_Interacciones_60'!$AB$2:$AB$61,"No evaluado")=F10,"No evaluado","Parcial")))</x:f>
        <x:v>Parcial</x:v>
      </x:c>
      <x:c r="R10" s="66" t="str"/>
      <x:c r="S10" s="56" t="str">
        <x:v>Renderer → pantalla específica → slot_ref → submit → ResponseIngest → Qn+1</x:v>
      </x:c>
    </x:row>
  </x:sheetData>
  <x:conditionalFormatting sqref="Q2:Q10">
    <x:cfRule type="expression" dxfId="8" priority="1">
      <x:formula>Q2="Conforme"</x:formula>
    </x:cfRule>
    <x:cfRule type="expression" dxfId="9" priority="2">
      <x:formula>Q2="Parcial"</x:formula>
    </x:cfRule>
    <x:cfRule type="expression" dxfId="10" priority="3">
      <x:formula>OR(Q2="No conforme",Q2="Bloqueado")</x:formula>
    </x:cfRule>
    <x:cfRule type="expression" dxfId="11" priority="4">
      <x:formula>Q2="No evaluado"</x:formula>
    </x:cfRule>
  </x:conditionalFormatting>
  <x:conditionalFormatting sqref="O2:O10">
    <x:cfRule type="dataBar" priority="5">
      <x:dataBar>
        <x:cfvo type="min"/>
        <x:cfvo type="max"/>
        <x:color rgb="FFA02B93"/>
      </x:dataBar>
      <x:extLst>
        <x:ext xmlns:x14="http://schemas.microsoft.com/office/spreadsheetml/2009/9/main" uri="{B025F937-C7B1-47D3-B67F-A62EFF666E3E}">
          <x14:id>{BEE90361-202D-F743-1580-6CFA0305D988}</x14:id>
        </x:ext>
      </x:extLst>
    </x:cfRule>
  </x:conditionalFormatting>
  <x:conditionalFormatting sqref="P2:P10">
    <x:cfRule type="dataBar" priority="6">
      <x:dataBar>
        <x:cfvo type="min"/>
        <x:cfvo type="max"/>
        <x:color rgb="FF4EA72E"/>
      </x:dataBar>
      <x:extLst>
        <x:ext xmlns:x14="http://schemas.microsoft.com/office/spreadsheetml/2009/9/main" uri="{B025F937-C7B1-47D3-B67F-A62EFF666E3E}">
          <x14:id>{A332E864-0D9F-6F02-F7D9-274EA474C2EA}</x14:id>
        </x:ext>
      </x:extLst>
    </x:cfRule>
  </x:conditionalFormatting>
  <x:dataValidations count="1">
    <x:dataValidation type="list" sqref="C2:C10">
      <x:formula1>"No evaluado,En diseño,En desarrollo,Implementado,Bloqueado,No aplica,Existente / por verificar"</x:formula1>
    </x:dataValidation>
  </x:dataValidations>
  <x:pageMargins left="0.7" right="0.7" top="0.75" bottom="0.75" header="0.3" footer="0.3"/>
  <x:tableParts count="1">
    <x:tablePart xmlns:r="http://schemas.openxmlformats.org/officeDocument/2006/relationships" r:id="R4d2ba8e49c2e4265"/>
  </x:tableParts>
  <x:extLst>
    <x:ext xmlns:x14="http://schemas.microsoft.com/office/spreadsheetml/2009/9/main" xmlns:xm="http://schemas.microsoft.com/office/excel/2006/main" uri="{78C0D931-6437-407d-A8EE-F0AAD7539E65}">
      <x14:conditionalFormattings>
        <x14:conditionalFormatting>
          <x14:cfRule type="dataBar" priority="5" id="{BEE90361-202D-F743-1580-6CFA0305D988}">
            <x14:dataBar gradient="1">
              <x14:cfvo type="min"/>
              <x14:cfvo type="max"/>
              <x14:fillColor rgb="FFA02B93"/>
            </x14:dataBar>
          </x14:cfRule>
          <xm:sqref>O2:O10</xm:sqref>
        </x14:conditionalFormatting>
        <x14:conditionalFormatting>
          <x14:cfRule type="dataBar" priority="6" id="{A332E864-0D9F-6F02-F7D9-274EA474C2EA}">
            <x14:dataBar gradient="1">
              <x14:cfvo type="min"/>
              <x14:cfvo type="max"/>
              <x14:fillColor rgb="FF4EA72E"/>
            </x14:dataBar>
          </x14:cfRule>
          <xm:sqref>P2:P10</xm:sqref>
        </x14:conditionalFormatting>
      </x14:conditionalFormattings>
    </x:ext>
  </x:extLst>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10" hidden="0" customWidth="1"/>
    <x:col min="5" max="5" width="34" hidden="0" customWidth="1"/>
    <x:col min="6" max="6" width="48" hidden="0" customWidth="1"/>
    <x:col min="7" max="7" width="34" hidden="0" customWidth="1"/>
    <x:col min="8" max="8" width="36" hidden="0" customWidth="1"/>
    <x:col min="9" max="9" width="44" hidden="0" customWidth="1"/>
    <x:col min="10" max="10" width="28" hidden="0" customWidth="1"/>
    <x:col min="11" max="11" width="22" hidden="0" customWidth="1"/>
    <x:col min="12" max="12" width="30" hidden="0" customWidth="1"/>
    <x:col min="13" max="13" width="50" hidden="0" customWidth="1"/>
  </x:cols>
  <x:sheetData>
    <x:row r="1" ht="32" customHeight="1">
      <x:c r="A1" s="49" t="str">
        <x:v>field_type</x:v>
      </x:c>
      <x:c r="B1" s="49" t="str">
        <x:v>answer_mode</x:v>
      </x:c>
      <x:c r="C1" s="49" t="str">
        <x:v>capture_slot_kind</x:v>
      </x:c>
      <x:c r="D1" s="49" t="str">
        <x:v>slot_count</x:v>
      </x:c>
      <x:c r="E1" s="49" t="str">
        <x:v>control_family</x:v>
      </x:c>
      <x:c r="F1" s="49" t="str">
        <x:v>ui_behavior_required</x:v>
      </x:c>
      <x:c r="G1" s="49" t="str">
        <x:v>payload_value_shape</x:v>
      </x:c>
      <x:c r="H1" s="49" t="str">
        <x:v>options_authority</x:v>
      </x:c>
      <x:c r="I1" s="49" t="str">
        <x:v>binding_rule</x:v>
      </x:c>
      <x:c r="J1" s="49" t="str">
        <x:v>control_mapping_status</x:v>
      </x:c>
      <x:c r="K1" s="49" t="str">
        <x:v>compatibilidad_runner_R3AT</x:v>
      </x:c>
      <x:c r="L1" s="49" t="str">
        <x:v>example_source_codes</x:v>
      </x:c>
      <x:c r="M1" s="49" t="str">
        <x:v>no_inference_rule</x:v>
      </x:c>
    </x:row>
    <x:row r="2" ht="52" customHeight="1">
      <x:c r="A2" s="56" t="str">
        <x:v>clarification</x:v>
      </x:c>
      <x:c r="B2" s="56" t="str">
        <x:v>aclarada</x:v>
      </x:c>
      <x:c r="C2" s="56" t="str">
        <x:v>conditional_clarification</x:v>
      </x:c>
      <x:c r="D2" s="56" t="n">
        <x:v>4</x:v>
      </x:c>
      <x:c r="E2" s="56" t="str">
        <x:v>Aclaración condicional</x:v>
      </x:c>
      <x:c r="F2" s="56" t="str">
        <x:v>Mostrar solo cuando visibility/branching lo autoriza; capturar aclaración separada.</x:v>
      </x:c>
      <x:c r="G2" s="56" t="str">
        <x:v>scalar:string|null</x:v>
      </x:c>
      <x:c r="H2" s="56" t="str">
        <x:v>Opciones rectoras si existen; de lo contrario texto</x:v>
      </x:c>
      <x:c r="I2" s="56" t="str">
        <x:v>slot_ref condicional server-issued; no fusionar con respuesta base.</x:v>
      </x:c>
      <x:c r="J2" s="56" t="str">
        <x:v>EXPLICIT_CONDITIONAL</x:v>
      </x:c>
      <x:c r="K2" s="56" t="str">
        <x:v>Parcial</x:v>
      </x:c>
      <x:c r="L2" s="56" t="str">
        <x:v>0.D, 0.A, 0.C, 0.B</x:v>
      </x:c>
      <x:c r="M2" s="56" t="str">
        <x:v>No inferir control desde visible_text; no mapear por label/posición; usar metadata Renderer + slot_ref server-issued.</x:v>
      </x:c>
    </x:row>
    <x:row r="3" ht="52" customHeight="1">
      <x:c r="A3" s="56" t="str">
        <x:v>clarification</x:v>
      </x:c>
      <x:c r="B3" s="56" t="str">
        <x:v>clarification</x:v>
      </x:c>
      <x:c r="C3" s="56" t="str">
        <x:v>conditional_clarification</x:v>
      </x:c>
      <x:c r="D3" s="56" t="n">
        <x:v>9</x:v>
      </x:c>
      <x:c r="E3" s="56" t="str">
        <x:v>Aclaración condicional</x:v>
      </x:c>
      <x:c r="F3" s="56" t="str">
        <x:v>Mostrar solo cuando visibility/branching lo autoriza; capturar aclaración separada.</x:v>
      </x:c>
      <x:c r="G3" s="56" t="str">
        <x:v>scalar:string|null</x:v>
      </x:c>
      <x:c r="H3" s="56" t="str">
        <x:v>Opciones rectoras si existen; de lo contrario texto</x:v>
      </x:c>
      <x:c r="I3" s="56" t="str">
        <x:v>slot_ref condicional server-issued; no fusionar con respuesta base.</x:v>
      </x:c>
      <x:c r="J3" s="56" t="str">
        <x:v>EXPLICIT_CONDITIONAL</x:v>
      </x:c>
      <x:c r="K3" s="56" t="str">
        <x:v>Parcial</x:v>
      </x:c>
      <x:c r="L3" s="56" t="str">
        <x:v>0.5.B, 3.A, 3.B, 0.5.A, 0.5.C</x:v>
      </x:c>
      <x:c r="M3" s="56" t="str">
        <x:v>No inferir control desde visible_text; no mapear por label/posición; usar metadata Renderer + slot_ref server-issued.</x:v>
      </x:c>
    </x:row>
    <x:row r="4" ht="52" customHeight="1">
      <x:c r="A4" s="56" t="str">
        <x:v>dynamic</x:v>
      </x:c>
      <x:c r="B4" s="56" t="str">
        <x:v>dynamic_number_or_single_choice</x:v>
      </x:c>
      <x:c r="C4" s="56" t="str">
        <x:v>visible_capture</x:v>
      </x:c>
      <x:c r="D4" s="56" t="n">
        <x:v>2</x:v>
      </x:c>
      <x:c r="E4" s="56" t="str">
        <x:v>Control dinámico según catálogo</x:v>
      </x:c>
      <x:c r="F4" s="56" t="str">
        <x:v>Resolver server-side si es número/unidad o selector; no hardcodear alternativas.</x:v>
      </x:c>
      <x:c r="G4" s="56" t="str">
        <x:v>number|string + unit/enum según contrato</x:v>
      </x:c>
      <x:c r="H4" s="56" t="str">
        <x:v>Catálogo/shape dinámico rector</x:v>
      </x:c>
      <x:c r="I4" s="56" t="str">
        <x:v>slot_ref server-issued; metadata de control debe venir del Renderer.</x:v>
      </x:c>
      <x:c r="J4" s="56" t="str">
        <x:v>REQUIRES_RENDERER_METADATA</x:v>
      </x:c>
      <x:c r="K4" s="56" t="str">
        <x:v>No conforme</x:v>
      </x:c>
      <x:c r="L4" s="56" t="str">
        <x:v>5.1, 5.2</x:v>
      </x:c>
      <x:c r="M4" s="56" t="str">
        <x:v>No inferir control desde visible_text; no mapear por label/posición; usar metadata Renderer + slot_ref server-issued.</x:v>
      </x:c>
    </x:row>
    <x:row r="5" ht="52" customHeight="1">
      <x:c r="A5" s="56" t="str">
        <x:v>free_text</x:v>
      </x:c>
      <x:c r="B5" s="56" t="str">
        <x:v>clarification</x:v>
      </x:c>
      <x:c r="C5" s="56" t="str">
        <x:v>conditional_clarification</x:v>
      </x:c>
      <x:c r="D5" s="56" t="n">
        <x:v>11</x:v>
      </x:c>
      <x:c r="E5" s="56" t="str">
        <x:v>Texto libre</x:v>
      </x:c>
      <x:c r="F5" s="56" t="str">
        <x:v>Capturar texto literal sin clasificación semántica cliente.</x:v>
      </x:c>
      <x:c r="G5" s="56" t="str">
        <x:v>scalar:string</x:v>
      </x:c>
      <x:c r="H5" s="56" t="str">
        <x:v>No aplica</x:v>
      </x:c>
      <x:c r="I5" s="56" t="str">
        <x:v>slot_ref server-issued; valor humano únicamente.</x:v>
      </x:c>
      <x:c r="J5" s="56" t="str">
        <x:v>EXPLICIT_FIELD_TYPE</x:v>
      </x:c>
      <x:c r="K5" s="56" t="str">
        <x:v>Compatible</x:v>
      </x:c>
      <x:c r="L5" s="56" t="str">
        <x:v>4.A, 1.A, 1.B, 2.A, 2.B</x:v>
      </x:c>
      <x:c r="M5" s="56" t="str">
        <x:v>No inferir control desde visible_text; no mapear por label/posición; usar metadata Renderer + slot_ref server-issued.</x:v>
      </x:c>
    </x:row>
    <x:row r="6" ht="52" customHeight="1">
      <x:c r="A6" s="56" t="str">
        <x:v>free_text</x:v>
      </x:c>
      <x:c r="B6" s="56" t="str">
        <x:v>free_text</x:v>
      </x:c>
      <x:c r="C6" s="56" t="str">
        <x:v>visible_capture</x:v>
      </x:c>
      <x:c r="D6" s="56" t="n">
        <x:v>25</x:v>
      </x:c>
      <x:c r="E6" s="56" t="str">
        <x:v>Texto libre</x:v>
      </x:c>
      <x:c r="F6" s="56" t="str">
        <x:v>Capturar texto literal sin clasificación semántica cliente.</x:v>
      </x:c>
      <x:c r="G6" s="56" t="str">
        <x:v>scalar:string</x:v>
      </x:c>
      <x:c r="H6" s="56" t="str">
        <x:v>No aplica</x:v>
      </x:c>
      <x:c r="I6" s="56" t="str">
        <x:v>slot_ref server-issued; valor humano únicamente.</x:v>
      </x:c>
      <x:c r="J6" s="56" t="str">
        <x:v>EXPLICIT_FIELD_TYPE</x:v>
      </x:c>
      <x:c r="K6" s="56" t="str">
        <x:v>Compatible</x:v>
      </x:c>
      <x:c r="L6" s="56" t="str">
        <x:v>0.5.3, 1.6, 2.5, 2.6, 3.1</x:v>
      </x:c>
      <x:c r="M6" s="56" t="str">
        <x:v>No inferir control desde visible_text; no mapear por label/posición; usar metadata Renderer + slot_ref server-issued.</x:v>
      </x:c>
    </x:row>
    <x:row r="7" ht="52" customHeight="1">
      <x:c r="A7" s="56" t="str">
        <x:v>free_text</x:v>
      </x:c>
      <x:c r="B7" s="56" t="str">
        <x:v>libre</x:v>
      </x:c>
      <x:c r="C7" s="56" t="str">
        <x:v>visible_capture</x:v>
      </x:c>
      <x:c r="D7" s="56" t="n">
        <x:v>3</x:v>
      </x:c>
      <x:c r="E7" s="56" t="str">
        <x:v>Texto libre</x:v>
      </x:c>
      <x:c r="F7" s="56" t="str">
        <x:v>Capturar texto literal sin clasificación semántica cliente.</x:v>
      </x:c>
      <x:c r="G7" s="56" t="str">
        <x:v>scalar:string</x:v>
      </x:c>
      <x:c r="H7" s="56" t="str">
        <x:v>No aplica</x:v>
      </x:c>
      <x:c r="I7" s="56" t="str">
        <x:v>slot_ref server-issued; valor humano únicamente.</x:v>
      </x:c>
      <x:c r="J7" s="56" t="str">
        <x:v>EXPLICIT_FIELD_TYPE</x:v>
      </x:c>
      <x:c r="K7" s="56" t="str">
        <x:v>Compatible</x:v>
      </x:c>
      <x:c r="L7" s="56" t="str">
        <x:v>0.2, 0.4, 0.8a</x:v>
      </x:c>
      <x:c r="M7" s="56" t="str">
        <x:v>No inferir control desde visible_text; no mapear por label/posición; usar metadata Renderer + slot_ref server-issued.</x:v>
      </x:c>
    </x:row>
    <x:row r="8" ht="52" customHeight="1">
      <x:c r="A8" s="56" t="str">
        <x:v>free_text</x:v>
      </x:c>
      <x:c r="B8" s="56" t="str">
        <x:v>libre guiada</x:v>
      </x:c>
      <x:c r="C8" s="56" t="str">
        <x:v>visible_capture</x:v>
      </x:c>
      <x:c r="D8" s="56" t="n">
        <x:v>1</x:v>
      </x:c>
      <x:c r="E8" s="56" t="str">
        <x:v>Texto libre</x:v>
      </x:c>
      <x:c r="F8" s="56" t="str">
        <x:v>Capturar texto literal sin clasificación semántica cliente.</x:v>
      </x:c>
      <x:c r="G8" s="56" t="str">
        <x:v>scalar:string</x:v>
      </x:c>
      <x:c r="H8" s="56" t="str">
        <x:v>No aplica</x:v>
      </x:c>
      <x:c r="I8" s="56" t="str">
        <x:v>slot_ref server-issued; valor humano únicamente.</x:v>
      </x:c>
      <x:c r="J8" s="56" t="str">
        <x:v>EXPLICIT_FIELD_TYPE</x:v>
      </x:c>
      <x:c r="K8" s="56" t="str">
        <x:v>Compatible</x:v>
      </x:c>
      <x:c r="L8" s="56" t="str">
        <x:v>0.1a</x:v>
      </x:c>
      <x:c r="M8" s="56" t="str">
        <x:v>No inferir control desde visible_text; no mapear por label/posición; usar metadata Renderer + slot_ref server-issued.</x:v>
      </x:c>
    </x:row>
    <x:row r="9" ht="52" customHeight="1">
      <x:c r="A9" s="56" t="str">
        <x:v>free_text / generated_confirmed</x:v>
      </x:c>
      <x:c r="B9" s="56" t="str">
        <x:v>libre o confirmación editable</x:v>
      </x:c>
      <x:c r="C9" s="56" t="str">
        <x:v>confirmation_or_correction</x:v>
      </x:c>
      <x:c r="D9" s="56" t="n">
        <x:v>2</x:v>
      </x:c>
      <x:c r="E9" s="56" t="str">
        <x:v>Confirmación + corrección editable</x:v>
      </x:c>
      <x:c r="F9" s="56" t="str">
        <x:v>Mostrar contenido prellenado/sugerido; permitir confirmar o corregir; conservar ambos resultados.</x:v>
      </x:c>
      <x:c r="G9" s="56" t="str">
        <x:v>decision:string + correction:string|null</x:v>
      </x:c>
      <x:c r="H9" s="56" t="str">
        <x:v>Opciones literales del rector + texto de corrección cuando aplique</x:v>
      </x:c>
      <x:c r="I9" s="56" t="str">
        <x:v>Un slot_ref por decisión/corrección visible; servidor resuelve provenance.</x:v>
      </x:c>
      <x:c r="J9" s="56" t="str">
        <x:v>EXPLICIT_COMPOSITE</x:v>
      </x:c>
      <x:c r="K9" s="56" t="str">
        <x:v>No conforme</x:v>
      </x:c>
      <x:c r="L9" s="56" t="str">
        <x:v>0.6, 0.7</x:v>
      </x:c>
      <x:c r="M9" s="56" t="str">
        <x:v>No inferir control desde visible_text; no mapear por label/posición; usar metadata Renderer + slot_ref server-issued.</x:v>
      </x:c>
    </x:row>
    <x:row r="10" ht="52" customHeight="1">
      <x:c r="A10" s="56" t="str">
        <x:v>generated_confirmed</x:v>
      </x:c>
      <x:c r="B10" s="56" t="str">
        <x:v>confirmar / corregir</x:v>
      </x:c>
      <x:c r="C10" s="56" t="str">
        <x:v>confirmation_or_correction</x:v>
      </x:c>
      <x:c r="D10" s="56" t="n">
        <x:v>1</x:v>
      </x:c>
      <x:c r="E10" s="56" t="str">
        <x:v>Confirmación + corrección editable</x:v>
      </x:c>
      <x:c r="F10" s="56" t="str">
        <x:v>Mostrar contenido prellenado/sugerido; permitir confirmar o corregir; conservar ambos resultados.</x:v>
      </x:c>
      <x:c r="G10" s="56" t="str">
        <x:v>decision:string + correction:string|null</x:v>
      </x:c>
      <x:c r="H10" s="56" t="str">
        <x:v>Opciones literales del rector + texto de corrección cuando aplique</x:v>
      </x:c>
      <x:c r="I10" s="56" t="str">
        <x:v>Un slot_ref por decisión/corrección visible; servidor resuelve provenance.</x:v>
      </x:c>
      <x:c r="J10" s="56" t="str">
        <x:v>EXPLICIT_COMPOSITE</x:v>
      </x:c>
      <x:c r="K10" s="56" t="str">
        <x:v>No conforme</x:v>
      </x:c>
      <x:c r="L10" s="56" t="str">
        <x:v>0.1</x:v>
      </x:c>
      <x:c r="M10" s="56" t="str">
        <x:v>No inferir control desde visible_text; no mapear por label/posición; usar metadata Renderer + slot_ref server-issued.</x:v>
      </x:c>
    </x:row>
    <x:row r="11" ht="52" customHeight="1">
      <x:c r="A11" s="56" t="str">
        <x:v>generated_review</x:v>
      </x:c>
      <x:c r="B11" s="56" t="str">
        <x:v>internal_inference</x:v>
      </x:c>
      <x:c r="C11" s="56" t="str">
        <x:v>internal</x:v>
      </x:c>
      <x:c r="D11" s="56" t="n">
        <x:v>4</x:v>
      </x:c>
      <x:c r="E11" s="56" t="str">
        <x:v>Sin control visible / lógica interna</x:v>
      </x:c>
      <x:c r="F11" s="56" t="str">
        <x:v>No renderizar al usuario; resolver y auditar server-side.</x:v>
      </x:c>
      <x:c r="G11" s="56" t="str">
        <x:v>Sin valor de usuario</x:v>
      </x:c>
      <x:c r="H11" s="56" t="str">
        <x:v>No aplica</x:v>
      </x:c>
      <x:c r="I11" s="56" t="str">
        <x:v>Identidad interna por interaction/source tuple; no slot visible.</x:v>
      </x:c>
      <x:c r="J11" s="56" t="str">
        <x:v>EXPLICIT_INTERNAL</x:v>
      </x:c>
      <x:c r="K11" s="56" t="str">
        <x:v>No aplica</x:v>
      </x:c>
      <x:c r="L11" s="56" t="str">
        <x:v>7.0, 7.0a, 7.0, 7.0a</x:v>
      </x:c>
      <x:c r="M11" s="56" t="str">
        <x:v>No inferir control desde visible_text; no mapear por label/posición; usar metadata Renderer + slot_ref server-issued.</x:v>
      </x:c>
    </x:row>
    <x:row r="12" ht="52" customHeight="1">
      <x:c r="A12" s="56" t="str">
        <x:v>hybrid_choice_text</x:v>
      </x:c>
      <x:c r="B12" s="56" t="str">
        <x:v>clarification</x:v>
      </x:c>
      <x:c r="C12" s="56" t="str">
        <x:v>conditional_clarification</x:v>
      </x:c>
      <x:c r="D12" s="56" t="n">
        <x:v>1</x:v>
      </x:c>
      <x:c r="E12" s="56" t="str">
        <x:v>Selección + texto complementario</x:v>
      </x:c>
      <x:c r="F12" s="56" t="str">
        <x:v>Persistir choice y free_text por separado; activar texto según regla.</x:v>
      </x:c>
      <x:c r="G12" s="56" t="str">
        <x:v>choice:string|array + free_text:string|null</x:v>
      </x:c>
      <x:c r="H12" s="56" t="str">
        <x:v>Campo options rector / catálogo dinámico</x:v>
      </x:c>
      <x:c r="I12" s="56" t="str">
        <x:v>slot_ref para la unidad híbrida; servidor preserva partes separadas.</x:v>
      </x:c>
      <x:c r="J12" s="56" t="str">
        <x:v>EXPLICIT_COMPOSITE</x:v>
      </x:c>
      <x:c r="K12" s="56" t="str">
        <x:v>No conforme</x:v>
      </x:c>
      <x:c r="L12" s="56" t="str">
        <x:v>1.C</x:v>
      </x:c>
      <x:c r="M12" s="56" t="str">
        <x:v>No inferir control desde visible_text; no mapear por label/posición; usar metadata Renderer + slot_ref server-issued.</x:v>
      </x:c>
    </x:row>
    <x:row r="13" ht="52" customHeight="1">
      <x:c r="A13" s="56" t="str">
        <x:v>hybrid_choice_text</x:v>
      </x:c>
      <x:c r="B13" s="56" t="str">
        <x:v>hybrid_choice_text</x:v>
      </x:c>
      <x:c r="C13" s="56" t="str">
        <x:v>visible_capture</x:v>
      </x:c>
      <x:c r="D13" s="56" t="n">
        <x:v>12</x:v>
      </x:c>
      <x:c r="E13" s="56" t="str">
        <x:v>Selección + texto complementario</x:v>
      </x:c>
      <x:c r="F13" s="56" t="str">
        <x:v>Persistir choice y free_text por separado; activar texto según regla.</x:v>
      </x:c>
      <x:c r="G13" s="56" t="str">
        <x:v>choice:string|array + free_text:string|null</x:v>
      </x:c>
      <x:c r="H13" s="56" t="str">
        <x:v>Campo options rector / catálogo dinámico</x:v>
      </x:c>
      <x:c r="I13" s="56" t="str">
        <x:v>slot_ref para la unidad híbrida; servidor preserva partes separadas.</x:v>
      </x:c>
      <x:c r="J13" s="56" t="str">
        <x:v>EXPLICIT_COMPOSITE</x:v>
      </x:c>
      <x:c r="K13" s="56" t="str">
        <x:v>No conforme</x:v>
      </x:c>
      <x:c r="L13" s="56" t="str">
        <x:v>6.1, 6.3, 6.4, 6.6, 6.9</x:v>
      </x:c>
      <x:c r="M13" s="56" t="str">
        <x:v>No inferir control desde visible_text; no mapear por label/posición; usar metadata Renderer + slot_ref server-issued.</x:v>
      </x:c>
    </x:row>
    <x:row r="14" ht="52" customHeight="1">
      <x:c r="A14" s="56" t="str">
        <x:v>hybrid_choice_text</x:v>
      </x:c>
      <x:c r="B14" s="56" t="str">
        <x:v>híbrida</x:v>
      </x:c>
      <x:c r="C14" s="56" t="str">
        <x:v>visible_capture</x:v>
      </x:c>
      <x:c r="D14" s="56" t="n">
        <x:v>2</x:v>
      </x:c>
      <x:c r="E14" s="56" t="str">
        <x:v>Selección + texto complementario</x:v>
      </x:c>
      <x:c r="F14" s="56" t="str">
        <x:v>Persistir choice y free_text por separado; activar texto según regla.</x:v>
      </x:c>
      <x:c r="G14" s="56" t="str">
        <x:v>choice:string|array + free_text:string|null</x:v>
      </x:c>
      <x:c r="H14" s="56" t="str">
        <x:v>Campo options rector / catálogo dinámico</x:v>
      </x:c>
      <x:c r="I14" s="56" t="str">
        <x:v>slot_ref para la unidad híbrida; servidor preserva partes separadas.</x:v>
      </x:c>
      <x:c r="J14" s="56" t="str">
        <x:v>EXPLICIT_COMPOSITE</x:v>
      </x:c>
      <x:c r="K14" s="56" t="str">
        <x:v>No conforme</x:v>
      </x:c>
      <x:c r="L14" s="56" t="str">
        <x:v>0.5_actor_scope, 0.3a</x:v>
      </x:c>
      <x:c r="M14" s="56" t="str">
        <x:v>No inferir control desde visible_text; no mapear por label/posición; usar metadata Renderer + slot_ref server-issued.</x:v>
      </x:c>
    </x:row>
    <x:row r="15" ht="52" customHeight="1">
      <x:c r="A15" s="56" t="str">
        <x:v>internal_calculated</x:v>
      </x:c>
      <x:c r="B15" s="56" t="str">
        <x:v>internal_calculated</x:v>
      </x:c>
      <x:c r="C15" s="56" t="str">
        <x:v>internal</x:v>
      </x:c>
      <x:c r="D15" s="56" t="n">
        <x:v>1</x:v>
      </x:c>
      <x:c r="E15" s="56" t="str">
        <x:v>Sin control visible / lógica interna</x:v>
      </x:c>
      <x:c r="F15" s="56" t="str">
        <x:v>No renderizar al usuario; resolver y auditar server-side.</x:v>
      </x:c>
      <x:c r="G15" s="56" t="str">
        <x:v>Sin valor de usuario</x:v>
      </x:c>
      <x:c r="H15" s="56" t="str">
        <x:v>No aplica</x:v>
      </x:c>
      <x:c r="I15" s="56" t="str">
        <x:v>Identidad interna por interaction/source tuple; no slot visible.</x:v>
      </x:c>
      <x:c r="J15" s="56" t="str">
        <x:v>EXPLICIT_INTERNAL</x:v>
      </x:c>
      <x:c r="K15" s="56" t="str">
        <x:v>No aplica</x:v>
      </x:c>
      <x:c r="L15" s="56" t="str">
        <x:v>5.3</x:v>
      </x:c>
      <x:c r="M15" s="56" t="str">
        <x:v>No inferir control desde visible_text; no mapear por label/posición; usar metadata Renderer + slot_ref server-issued.</x:v>
      </x:c>
    </x:row>
    <x:row r="16" ht="52" customHeight="1">
      <x:c r="A16" s="56" t="str">
        <x:v>internal_control</x:v>
      </x:c>
      <x:c r="B16" s="56" t="str">
        <x:v>system</x:v>
      </x:c>
      <x:c r="C16" s="56" t="str">
        <x:v>control_metadata</x:v>
      </x:c>
      <x:c r="D16" s="56" t="n">
        <x:v>1</x:v>
      </x:c>
      <x:c r="E16" s="56" t="str">
        <x:v>Sin control visible / lógica interna</x:v>
      </x:c>
      <x:c r="F16" s="56" t="str">
        <x:v>No renderizar al usuario; resolver y auditar server-side.</x:v>
      </x:c>
      <x:c r="G16" s="56" t="str">
        <x:v>Sin valor de usuario</x:v>
      </x:c>
      <x:c r="H16" s="56" t="str">
        <x:v>No aplica</x:v>
      </x:c>
      <x:c r="I16" s="56" t="str">
        <x:v>Identidad interna por interaction/source tuple; no slot visible.</x:v>
      </x:c>
      <x:c r="J16" s="56" t="str">
        <x:v>EXPLICIT_INTERNAL</x:v>
      </x:c>
      <x:c r="K16" s="56" t="str">
        <x:v>No aplica</x:v>
      </x:c>
      <x:c r="L16" s="56" t="str">
        <x:v>block0_entry_control</x:v>
      </x:c>
      <x:c r="M16" s="56" t="str">
        <x:v>No inferir control desde visible_text; no mapear por label/posición; usar metadata Renderer + slot_ref server-issued.</x:v>
      </x:c>
    </x:row>
    <x:row r="17" ht="52" customHeight="1">
      <x:c r="A17" s="56" t="str">
        <x:v>internal_preload</x:v>
      </x:c>
      <x:c r="B17" s="56" t="str">
        <x:v>sistema</x:v>
      </x:c>
      <x:c r="C17" s="56" t="str">
        <x:v>internal</x:v>
      </x:c>
      <x:c r="D17" s="56" t="n">
        <x:v>1</x:v>
      </x:c>
      <x:c r="E17" s="56" t="str">
        <x:v>Sin control visible / lógica interna</x:v>
      </x:c>
      <x:c r="F17" s="56" t="str">
        <x:v>No renderizar al usuario; resolver y auditar server-side.</x:v>
      </x:c>
      <x:c r="G17" s="56" t="str">
        <x:v>Sin valor de usuario</x:v>
      </x:c>
      <x:c r="H17" s="56" t="str">
        <x:v>No aplica</x:v>
      </x:c>
      <x:c r="I17" s="56" t="str">
        <x:v>Identidad interna por interaction/source tuple; no slot visible.</x:v>
      </x:c>
      <x:c r="J17" s="56" t="str">
        <x:v>EXPLICIT_INTERNAL</x:v>
      </x:c>
      <x:c r="K17" s="56" t="str">
        <x:v>No aplica</x:v>
      </x:c>
      <x:c r="L17" s="56" t="str">
        <x:v>0.0</x:v>
      </x:c>
      <x:c r="M17" s="56" t="str">
        <x:v>No inferir control desde visible_text; no mapear por label/posición; usar metadata Renderer + slot_ref server-issued.</x:v>
      </x:c>
    </x:row>
    <x:row r="18" ht="52" customHeight="1">
      <x:c r="A18" s="56" t="str">
        <x:v>internal_rule</x:v>
      </x:c>
      <x:c r="B18" s="56" t="str">
        <x:v>internal_calculated</x:v>
      </x:c>
      <x:c r="C18" s="56" t="str">
        <x:v>internal</x:v>
      </x:c>
      <x:c r="D18" s="56" t="n">
        <x:v>1</x:v>
      </x:c>
      <x:c r="E18" s="56" t="str">
        <x:v>Sin control visible / lógica interna</x:v>
      </x:c>
      <x:c r="F18" s="56" t="str">
        <x:v>No renderizar al usuario; resolver y auditar server-side.</x:v>
      </x:c>
      <x:c r="G18" s="56" t="str">
        <x:v>Sin valor de usuario</x:v>
      </x:c>
      <x:c r="H18" s="56" t="str">
        <x:v>No aplica</x:v>
      </x:c>
      <x:c r="I18" s="56" t="str">
        <x:v>Identidad interna por interaction/source tuple; no slot visible.</x:v>
      </x:c>
      <x:c r="J18" s="56" t="str">
        <x:v>EXPLICIT_INTERNAL</x:v>
      </x:c>
      <x:c r="K18" s="56" t="str">
        <x:v>No aplica</x:v>
      </x:c>
      <x:c r="L18" s="56" t="str">
        <x:v>5.0_auto</x:v>
      </x:c>
      <x:c r="M18" s="56" t="str">
        <x:v>No inferir control desde visible_text; no mapear por label/posición; usar metadata Renderer + slot_ref server-issued.</x:v>
      </x:c>
    </x:row>
    <x:row r="19" ht="52" customHeight="1">
      <x:c r="A19" s="56" t="str">
        <x:v>multi_choice</x:v>
      </x:c>
      <x:c r="B19" s="56" t="str">
        <x:v>multi_choice</x:v>
      </x:c>
      <x:c r="C19" s="56" t="str">
        <x:v>visible_capture</x:v>
      </x:c>
      <x:c r="D19" s="56" t="n">
        <x:v>18</x:v>
      </x:c>
      <x:c r="E19" s="56" t="str">
        <x:v>Selección múltiple</x:v>
      </x:c>
      <x:c r="F19" s="56" t="str">
        <x:v>Mostrar opciones autorizadas; preservar conjunto exacto y exclusiones rectoras.</x:v>
      </x:c>
      <x:c r="G19" s="56" t="str">
        <x:v>array&lt;string&gt;</x:v>
      </x:c>
      <x:c r="H19" s="56" t="str">
        <x:v>Campo options rector</x:v>
      </x:c>
      <x:c r="I19" s="56" t="str">
        <x:v>slot_ref server-issued; cada selección conserva código literal.</x:v>
      </x:c>
      <x:c r="J19" s="56" t="str">
        <x:v>EXPLICIT_FIELD_TYPE</x:v>
      </x:c>
      <x:c r="K19" s="56" t="str">
        <x:v>No conforme</x:v>
      </x:c>
      <x:c r="L19" s="56" t="str">
        <x:v>1.5, 2.1, 2.2_obj, 2.2_suj, 2.2_acc</x:v>
      </x:c>
      <x:c r="M19" s="56" t="str">
        <x:v>No inferir control desde visible_text; no mapear por label/posición; usar metadata Renderer + slot_ref server-issued.</x:v>
      </x:c>
    </x:row>
    <x:row r="20" ht="52" customHeight="1">
      <x:c r="A20" s="56" t="str">
        <x:v>ranking</x:v>
      </x:c>
      <x:c r="B20" s="56" t="str">
        <x:v>ranking</x:v>
      </x:c>
      <x:c r="C20" s="56" t="str">
        <x:v>visible_capture</x:v>
      </x:c>
      <x:c r="D20" s="56" t="n">
        <x:v>1</x:v>
      </x:c>
      <x:c r="E20" s="56" t="str">
        <x:v>Ordenamiento / ranking</x:v>
      </x:c>
      <x:c r="F20" s="56" t="str">
        <x:v>Permitir ordenar todos los elementos autorizados; preservar secuencia.</x:v>
      </x:c>
      <x:c r="G20" s="56" t="str">
        <x:v>array&lt;string&gt; ordered</x:v>
      </x:c>
      <x:c r="H20" s="56" t="str">
        <x:v>Lista literal rectora</x:v>
      </x:c>
      <x:c r="I20" s="56" t="str">
        <x:v>slot_ref server-issued; no inferir orden por posición inicial.</x:v>
      </x:c>
      <x:c r="J20" s="56" t="str">
        <x:v>EXPLICIT_FIELD_TYPE</x:v>
      </x:c>
      <x:c r="K20" s="56" t="str">
        <x:v>No conforme</x:v>
      </x:c>
      <x:c r="L20" s="56" t="str">
        <x:v>2.1_ABC_Prioridad</x:v>
      </x:c>
      <x:c r="M20" s="56" t="str">
        <x:v>No inferir control desde visible_text; no mapear por label/posición; usar metadata Renderer + slot_ref server-issued.</x:v>
      </x:c>
    </x:row>
    <x:row r="21" ht="52" customHeight="1">
      <x:c r="A21" s="56" t="str">
        <x:v>scale + free_text</x:v>
      </x:c>
      <x:c r="B21" s="56" t="str">
        <x:v>scale</x:v>
      </x:c>
      <x:c r="C21" s="56" t="str">
        <x:v>visible_capture</x:v>
      </x:c>
      <x:c r="D21" s="56" t="n">
        <x:v>1</x:v>
      </x:c>
      <x:c r="E21" s="56" t="str">
        <x:v>Escala + texto</x:v>
      </x:c>
      <x:c r="F21" s="56" t="str">
        <x:v>Capturar valor de escala dentro de rango y nota separada.</x:v>
      </x:c>
      <x:c r="G21" s="56" t="str">
        <x:v>scale:number + free_text:string|null</x:v>
      </x:c>
      <x:c r="H21" s="56" t="str">
        <x:v>Rango literal rector</x:v>
      </x:c>
      <x:c r="I21" s="56" t="str">
        <x:v>slot_ref server-issued; validar rango server-side.</x:v>
      </x:c>
      <x:c r="J21" s="56" t="str">
        <x:v>EXPLICIT_COMPOSITE</x:v>
      </x:c>
      <x:c r="K21" s="56" t="str">
        <x:v>No conforme</x:v>
      </x:c>
      <x:c r="L21" s="56" t="str">
        <x:v>6.7</x:v>
      </x:c>
      <x:c r="M21" s="56" t="str">
        <x:v>No inferir control desde visible_text; no mapear por label/posición; usar metadata Renderer + slot_ref server-issued.</x:v>
      </x:c>
    </x:row>
    <x:row r="22" ht="52" customHeight="1">
      <x:c r="A22" s="56" t="str">
        <x:v>single_choice</x:v>
      </x:c>
      <x:c r="B22" s="56" t="str">
        <x:v>cerrada</x:v>
      </x:c>
      <x:c r="C22" s="56" t="str">
        <x:v>visible_capture</x:v>
      </x:c>
      <x:c r="D22" s="56" t="n">
        <x:v>2</x:v>
      </x:c>
      <x:c r="E22" s="56" t="str">
        <x:v>Selección única</x:v>
      </x:c>
      <x:c r="F22" s="56" t="str">
        <x:v>Mostrar opciones autorizadas; permitir una sola selección; opción literal preservada.</x:v>
      </x:c>
      <x:c r="G22" s="56" t="str">
        <x:v>scalar:string</x:v>
      </x:c>
      <x:c r="H22" s="56" t="str">
        <x:v>Campo options / catálogo dinámico rector</x:v>
      </x:c>
      <x:c r="I22" s="56" t="str">
        <x:v>slot_ref server-issued; no mapear por label ni posición.</x:v>
      </x:c>
      <x:c r="J22" s="56" t="str">
        <x:v>EXPLICIT_FIELD_TYPE</x:v>
      </x:c>
      <x:c r="K22" s="56" t="str">
        <x:v>No conforme</x:v>
      </x:c>
      <x:c r="L22" s="56" t="str">
        <x:v>0.3, 0.8</x:v>
      </x:c>
      <x:c r="M22" s="56" t="str">
        <x:v>No inferir control desde visible_text; no mapear por label/posición; usar metadata Renderer + slot_ref server-issued.</x:v>
      </x:c>
    </x:row>
    <x:row r="23" ht="52" customHeight="1">
      <x:c r="A23" s="56" t="str">
        <x:v>single_choice</x:v>
      </x:c>
      <x:c r="B23" s="56" t="str">
        <x:v>single_choice</x:v>
      </x:c>
      <x:c r="C23" s="56" t="str">
        <x:v>visible_capture</x:v>
      </x:c>
      <x:c r="D23" s="56" t="n">
        <x:v>65</x:v>
      </x:c>
      <x:c r="E23" s="56" t="str">
        <x:v>Selección única</x:v>
      </x:c>
      <x:c r="F23" s="56" t="str">
        <x:v>Mostrar opciones autorizadas; permitir una sola selección; opción literal preservada.</x:v>
      </x:c>
      <x:c r="G23" s="56" t="str">
        <x:v>scalar:string</x:v>
      </x:c>
      <x:c r="H23" s="56" t="str">
        <x:v>Campo options / catálogo dinámico rector</x:v>
      </x:c>
      <x:c r="I23" s="56" t="str">
        <x:v>slot_ref server-issued; no mapear por label ni posición.</x:v>
      </x:c>
      <x:c r="J23" s="56" t="str">
        <x:v>EXPLICIT_FIELD_TYPE</x:v>
      </x:c>
      <x:c r="K23" s="56" t="str">
        <x:v>No conforme</x:v>
      </x:c>
      <x:c r="L23" s="56" t="str">
        <x:v>0.5.1, 0.5.1a, 0.5.1_rel, 0.5.1c, 0.5.1d</x:v>
      </x:c>
      <x:c r="M23" s="56" t="str">
        <x:v>No inferir control desde visible_text; no mapear por label/posición; usar metadata Renderer + slot_ref server-issued.</x:v>
      </x:c>
    </x:row>
    <x:row r="24" ht="52" customHeight="1">
      <x:c r="A24" s="56" t="str">
        <x:v>single_choice_boolean_text</x:v>
      </x:c>
      <x:c r="B24" s="56" t="str">
        <x:v>hybrid_choice_text</x:v>
      </x:c>
      <x:c r="C24" s="56" t="str">
        <x:v>visible_capture</x:v>
      </x:c>
      <x:c r="D24" s="56" t="n">
        <x:v>2</x:v>
      </x:c>
      <x:c r="E24" s="56" t="str">
        <x:v>Decisión binaria/cerrada + texto</x:v>
      </x:c>
      <x:c r="F24" s="56" t="str">
        <x:v>Capturar decisión exacta y explicación separada cuando corresponda.</x:v>
      </x:c>
      <x:c r="G24" s="56" t="str">
        <x:v>decision:string|boolean + explanation:string|null</x:v>
      </x:c>
      <x:c r="H24" s="56" t="str">
        <x:v>Opciones rectoras</x:v>
      </x:c>
      <x:c r="I24" s="56" t="str">
        <x:v>slot_ref server-issued; no convertir texto no vacío en verdadero.</x:v>
      </x:c>
      <x:c r="J24" s="56" t="str">
        <x:v>EXPLICIT_COMPOSITE</x:v>
      </x:c>
      <x:c r="K24" s="56" t="str">
        <x:v>No conforme</x:v>
      </x:c>
      <x:c r="L24" s="56" t="str">
        <x:v>4.9, 4.10</x:v>
      </x:c>
      <x:c r="M24" s="56" t="str">
        <x:v>No inferir control desde visible_text; no mapear por label/posición; usar metadata Renderer + slot_ref server-issued.</x:v>
      </x:c>
    </x:row>
  </x:sheetData>
  <x:pageMargins left="0.7" right="0.7" top="0.75" bottom="0.75" header="0.3" footer="0.3"/>
  <x:tableParts count="1">
    <x:tablePart xmlns:r="http://schemas.openxmlformats.org/officeDocument/2006/relationships" r:id="Rdfb9b6433e8c4bf4"/>
  </x:tableParts>
</x:worksheet>
</file>

<file path=xl/worksheets/sheet6.xml><?xml version="1.0" encoding="utf-8"?>
<x:worksheet xmlns:x="http://schemas.openxmlformats.org/spreadsheetml/2006/main">
  <x:sheetFormatPr defaultRowHeight="15"/>
  <x:cols>
    <x:col min="1" max="1" width="16" hidden="0" customWidth="1"/>
    <x:col min="2" max="2" width="8" hidden="0" customWidth="1"/>
    <x:col min="3" max="3" width="46" hidden="0" customWidth="1"/>
    <x:col min="4" max="4" width="30"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36" hidden="0" customWidth="1"/>
    <x:col min="20" max="20" width="34" hidden="0" customWidth="1"/>
    <x:col min="21" max="21" width="18" hidden="0" customWidth="1"/>
  </x:cols>
  <x:sheetData>
    <x:row r="1" ht="32" customHeight="1">
      <x:c r="A1" s="49" t="str">
        <x:v>runtime_interaction_id</x:v>
      </x:c>
      <x:c r="B1" s="49" t="str">
        <x:v>block</x:v>
      </x:c>
      <x:c r="C1" s="49" t="str">
        <x:v>visible_text</x:v>
      </x:c>
      <x:c r="D1" s="49" t="str">
        <x:v>pantalla_objetivo</x:v>
      </x:c>
      <x:c r="E1" s="49" t="str">
        <x:v>ruta_componente_real</x:v>
      </x:c>
      <x:c r="F1" s="49" t="str">
        <x:v>renderer_entrega_interaccion</x:v>
      </x:c>
      <x:c r="G1" s="49" t="str">
        <x:v>control_preserva_semantica</x:v>
      </x:c>
      <x:c r="H1" s="49" t="str">
        <x:v>help_text_alineado</x:v>
      </x:c>
      <x:c r="I1" s="49" t="str">
        <x:v>required_visibility_respetados</x:v>
      </x:c>
      <x:c r="J1" s="49" t="str">
        <x:v>slot_ref_server_issued</x:v>
      </x:c>
      <x:c r="K1" s="49" t="str">
        <x:v>payload_solo_valores_humanos</x:v>
      </x:c>
      <x:c r="L1" s="49" t="str">
        <x:v>semantica_resuelta_server_side</x:v>
      </x:c>
      <x:c r="M1" s="49" t="str">
        <x:v>ingest_persiste_slots_exactos</x:v>
      </x:c>
      <x:c r="N1" s="49" t="str">
        <x:v>state_advance</x:v>
      </x:c>
      <x:c r="O1" s="49" t="str">
        <x:v>siguiente_interaccion_desde_runtime</x:v>
      </x:c>
      <x:c r="P1" s="49" t="str">
        <x:v>negativo_wrong_slot</x:v>
      </x:c>
      <x:c r="Q1" s="49" t="str">
        <x:v>idempotencia</x:v>
      </x:c>
      <x:c r="R1" s="49" t="str">
        <x:v>conformance_QA</x:v>
      </x:c>
      <x:c r="S1" s="49" t="str">
        <x:v>evidencia</x:v>
      </x:c>
      <x:c r="T1" s="49" t="str">
        <x:v>bloqueador</x:v>
      </x:c>
      <x:c r="U1" s="49" t="str">
        <x:v>responsable</x:v>
      </x:c>
    </x:row>
    <x:row r="2" ht="48" customHeight="1">
      <x:c r="A2" s="56" t="str">
        <x:v>B0-Q01</x:v>
      </x:c>
      <x:c r="B2" s="56" t="str">
        <x:v>0</x:v>
      </x:c>
      <x:c r="C2" s="56" t="str">
        <x:v>Esto es lo que entendimos de esta actividad. ¿Está correcto? Si no, corrígelo para que diga qué haces, sobre qué trabajas y qué queda listo.</x:v>
      </x:c>
      <x:c r="D2" s="56" t="str">
        <x:v>Pantalla específica Bloque 0</x:v>
      </x:c>
      <x:c r="E2" s="66" t="str"/>
      <x:c r="F2" s="66" t="str">
        <x:v>No ejecutado</x:v>
      </x:c>
      <x:c r="G2" s="66" t="str">
        <x:v>No ejecutado</x:v>
      </x:c>
      <x:c r="H2" s="66" t="str">
        <x:v>No ejecutado</x:v>
      </x:c>
      <x:c r="I2" s="66" t="str">
        <x:v>No ejecutado</x:v>
      </x:c>
      <x:c r="J2" s="66" t="str">
        <x:v>No ejecutado</x:v>
      </x:c>
      <x:c r="K2" s="66" t="str">
        <x:v>No ejecutado</x:v>
      </x:c>
      <x:c r="L2" s="66" t="str">
        <x:v>No ejecutado</x:v>
      </x:c>
      <x:c r="M2" s="66" t="str">
        <x:v>No ejecutado</x:v>
      </x:c>
      <x:c r="N2" s="66" t="str">
        <x:v>No ejecutado</x:v>
      </x:c>
      <x:c r="O2" s="66" t="str">
        <x:v>No ejecutado</x:v>
      </x:c>
      <x:c r="P2" s="66" t="str">
        <x:v>No ejecutado</x:v>
      </x:c>
      <x:c r="Q2" s="66" t="str">
        <x:v>No ejecutado</x:v>
      </x:c>
      <x:c r="R2" s="68" t="str">
        <x:f>IF(COUNTIF(F2:Q2,"Bloqueado")&gt;0,"Bloqueado",IF(COUNTIF(F2:Q2,"Falló")&gt;0,"No conforme",IF(COUNTIF(F2:Q2,"No ejecutado")=12,"No evaluado",IF(COUNTIF(F2:Q2,"Pasó")+COUNTIF(F2:Q2,"No aplica")=12,"Conforme","Parcial"))))</x:f>
        <x:v>No evaluado</x:v>
      </x:c>
      <x:c r="S2" s="66" t="str"/>
      <x:c r="T2" s="66" t="str"/>
      <x:c r="U2" s="66" t="str"/>
    </x:row>
    <x:row r="3" ht="48" customHeight="1">
      <x:c r="A3" s="56" t="str">
        <x:v>B0-Q02</x:v>
      </x:c>
      <x:c r="B3" s="56" t="str">
        <x:v>0</x:v>
      </x:c>
      <x:c r="C3" s="56" t="str">
        <x:v>En tus palabras, ¿qué ocurre cuando haces esta actividad?</x:v>
      </x:c>
      <x:c r="D3" s="56" t="str">
        <x:v>Pantalla específica Bloque 0</x:v>
      </x:c>
      <x:c r="E3" s="66" t="str"/>
      <x:c r="F3" s="66" t="str">
        <x:v>No ejecutado</x:v>
      </x:c>
      <x:c r="G3" s="66" t="str">
        <x:v>No ejecutado</x:v>
      </x:c>
      <x:c r="H3" s="66" t="str">
        <x:v>No ejecutado</x:v>
      </x:c>
      <x:c r="I3" s="66" t="str">
        <x:v>No ejecutado</x:v>
      </x:c>
      <x:c r="J3" s="66" t="str">
        <x:v>No ejecutado</x:v>
      </x:c>
      <x:c r="K3" s="66" t="str">
        <x:v>No ejecutado</x:v>
      </x:c>
      <x:c r="L3" s="66" t="str">
        <x:v>No ejecutado</x:v>
      </x:c>
      <x:c r="M3" s="66" t="str">
        <x:v>No ejecutado</x:v>
      </x:c>
      <x:c r="N3" s="66" t="str">
        <x:v>No ejecutado</x:v>
      </x:c>
      <x:c r="O3" s="66" t="str">
        <x:v>No ejecutado</x:v>
      </x:c>
      <x:c r="P3" s="66" t="str">
        <x:v>No ejecutado</x:v>
      </x:c>
      <x:c r="Q3" s="66" t="str">
        <x:v>No ejecutado</x:v>
      </x:c>
      <x:c r="R3" s="68" t="str">
        <x:f>IF(COUNTIF(F3:Q3,"Bloqueado")&gt;0,"Bloqueado",IF(COUNTIF(F3:Q3,"Falló")&gt;0,"No conforme",IF(COUNTIF(F3:Q3,"No ejecutado")=12,"No evaluado",IF(COUNTIF(F3:Q3,"Pasó")+COUNTIF(F3:Q3,"No aplica")=12,"Conforme","Parcial"))))</x:f>
        <x:v>No evaluado</x:v>
      </x:c>
      <x:c r="S3" s="66" t="str"/>
      <x:c r="T3" s="66" t="str"/>
      <x:c r="U3" s="66" t="str"/>
    </x:row>
    <x:row r="4" ht="48" customHeight="1">
      <x:c r="A4" s="56" t="str">
        <x:v>B0-Q03</x:v>
      </x:c>
      <x:c r="B4" s="56" t="str">
        <x:v>0</x:v>
      </x:c>
      <x:c r="C4" s="56" t="str">
        <x:v>¿Con qué frecuencia aparece, en qué situación suele ocurrir y sobre quién recae directamente?</x:v>
      </x:c>
      <x:c r="D4" s="56" t="str">
        <x:v>Pantalla específica Bloque 0</x:v>
      </x:c>
      <x:c r="E4" s="66" t="str"/>
      <x:c r="F4" s="66" t="str">
        <x:v>No ejecutado</x:v>
      </x:c>
      <x:c r="G4" s="66" t="str">
        <x:v>No ejecutado</x:v>
      </x:c>
      <x:c r="H4" s="66" t="str">
        <x:v>No ejecutado</x:v>
      </x:c>
      <x:c r="I4" s="66" t="str">
        <x:v>No ejecutado</x:v>
      </x:c>
      <x:c r="J4" s="66" t="str">
        <x:v>No ejecutado</x:v>
      </x:c>
      <x:c r="K4" s="66" t="str">
        <x:v>No ejecutado</x:v>
      </x:c>
      <x:c r="L4" s="66" t="str">
        <x:v>No ejecutado</x:v>
      </x:c>
      <x:c r="M4" s="66" t="str">
        <x:v>No ejecutado</x:v>
      </x:c>
      <x:c r="N4" s="66" t="str">
        <x:v>No ejecutado</x:v>
      </x:c>
      <x:c r="O4" s="66" t="str">
        <x:v>No ejecutado</x:v>
      </x:c>
      <x:c r="P4" s="66" t="str">
        <x:v>No ejecutado</x:v>
      </x:c>
      <x:c r="Q4" s="66" t="str">
        <x:v>No ejecutado</x:v>
      </x:c>
      <x:c r="R4" s="68" t="str">
        <x:f>IF(COUNTIF(F4:Q4,"Bloqueado")&gt;0,"Bloqueado",IF(COUNTIF(F4:Q4,"Falló")&gt;0,"No conforme",IF(COUNTIF(F4:Q4,"No ejecutado")=12,"No evaluado",IF(COUNTIF(F4:Q4,"Pasó")+COUNTIF(F4:Q4,"No aplica")=12,"Conforme","Parcial"))))</x:f>
        <x:v>No evaluado</x:v>
      </x:c>
      <x:c r="S4" s="66" t="str"/>
      <x:c r="T4" s="66" t="str"/>
      <x:c r="U4" s="66" t="str"/>
    </x:row>
    <x:row r="5" ht="48" customHeight="1">
      <x:c r="A5" s="56" t="str">
        <x:v>B0-Q04</x:v>
      </x:c>
      <x:c r="B5" s="56" t="str">
        <x:v>0</x:v>
      </x:c>
      <x:c r="C5" s="56" t="str">
        <x:v>¿Qué recibes, ves o necesitas para empezar, y qué queda listo para darla por terminada?</x:v>
      </x:c>
      <x:c r="D5" s="56" t="str">
        <x:v>Pantalla específica Bloque 0</x:v>
      </x:c>
      <x:c r="E5" s="66" t="str"/>
      <x:c r="F5" s="66" t="str">
        <x:v>No ejecutado</x:v>
      </x:c>
      <x:c r="G5" s="66" t="str">
        <x:v>No ejecutado</x:v>
      </x:c>
      <x:c r="H5" s="66" t="str">
        <x:v>No ejecutado</x:v>
      </x:c>
      <x:c r="I5" s="66" t="str">
        <x:v>No ejecutado</x:v>
      </x:c>
      <x:c r="J5" s="66" t="str">
        <x:v>No ejecutado</x:v>
      </x:c>
      <x:c r="K5" s="66" t="str">
        <x:v>No ejecutado</x:v>
      </x:c>
      <x:c r="L5" s="66" t="str">
        <x:v>No ejecutado</x:v>
      </x:c>
      <x:c r="M5" s="66" t="str">
        <x:v>No ejecutado</x:v>
      </x:c>
      <x:c r="N5" s="66" t="str">
        <x:v>No ejecutado</x:v>
      </x:c>
      <x:c r="O5" s="66" t="str">
        <x:v>No ejecutado</x:v>
      </x:c>
      <x:c r="P5" s="66" t="str">
        <x:v>No ejecutado</x:v>
      </x:c>
      <x:c r="Q5" s="66" t="str">
        <x:v>No ejecutado</x:v>
      </x:c>
      <x:c r="R5" s="68" t="str">
        <x:f>IF(COUNTIF(F5:Q5,"Bloqueado")&gt;0,"Bloqueado",IF(COUNTIF(F5:Q5,"Falló")&gt;0,"No conforme",IF(COUNTIF(F5:Q5,"No ejecutado")=12,"No evaluado",IF(COUNTIF(F5:Q5,"Pasó")+COUNTIF(F5:Q5,"No aplica")=12,"Conforme","Parcial"))))</x:f>
        <x:v>No evaluado</x:v>
      </x:c>
      <x:c r="S5" s="66" t="str"/>
      <x:c r="T5" s="66" t="str"/>
      <x:c r="U5" s="66" t="str"/>
    </x:row>
    <x:row r="6" ht="48" customHeight="1">
      <x:c r="A6" s="56" t="str">
        <x:v>B05-Q05</x:v>
      </x:c>
      <x:c r="B6" s="56" t="str">
        <x:v>0.5</x:v>
      </x:c>
      <x:c r="C6" s="56" t="str">
        <x:v>Independientemente de a quién entregues directamente, ¿quién se beneficia si sale bien y quién sufre si sale mal?</x:v>
      </x:c>
      <x:c r="D6" s="56" t="str">
        <x:v>Pantalla específica Bloque 0.5</x:v>
      </x:c>
      <x:c r="E6" s="66" t="str"/>
      <x:c r="F6" s="66" t="str">
        <x:v>No ejecutado</x:v>
      </x:c>
      <x:c r="G6" s="66" t="str">
        <x:v>No ejecutado</x:v>
      </x:c>
      <x:c r="H6" s="66" t="str">
        <x:v>No ejecutado</x:v>
      </x:c>
      <x:c r="I6" s="66" t="str">
        <x:v>No ejecutado</x:v>
      </x:c>
      <x:c r="J6" s="66" t="str">
        <x:v>No ejecutado</x:v>
      </x:c>
      <x:c r="K6" s="66" t="str">
        <x:v>No ejecutado</x:v>
      </x:c>
      <x:c r="L6" s="66" t="str">
        <x:v>No ejecutado</x:v>
      </x:c>
      <x:c r="M6" s="66" t="str">
        <x:v>No ejecutado</x:v>
      </x:c>
      <x:c r="N6" s="66" t="str">
        <x:v>No ejecutado</x:v>
      </x:c>
      <x:c r="O6" s="66" t="str">
        <x:v>No ejecutado</x:v>
      </x:c>
      <x:c r="P6" s="66" t="str">
        <x:v>No ejecutado</x:v>
      </x:c>
      <x:c r="Q6" s="66" t="str">
        <x:v>No ejecutado</x:v>
      </x:c>
      <x:c r="R6" s="68" t="str">
        <x:f>IF(COUNTIF(F6:Q6,"Bloqueado")&gt;0,"Bloqueado",IF(COUNTIF(F6:Q6,"Falló")&gt;0,"No conforme",IF(COUNTIF(F6:Q6,"No ejecutado")=12,"No evaluado",IF(COUNTIF(F6:Q6,"Pasó")+COUNTIF(F6:Q6,"No aplica")=12,"Conforme","Parcial"))))</x:f>
        <x:v>No evaluado</x:v>
      </x:c>
      <x:c r="S6" s="66" t="str"/>
      <x:c r="T6" s="66" t="str"/>
      <x:c r="U6" s="66" t="str"/>
    </x:row>
    <x:row r="7" ht="48" customHeight="1">
      <x:c r="A7" s="56" t="str">
        <x:v>B05-Q06</x:v>
      </x:c>
      <x:c r="B7" s="56" t="str">
        <x:v>0.5</x:v>
      </x:c>
      <x:c r="C7" s="56" t="str">
        <x:v>¿A qué gran proceso de la empresa pertenece esta actividad?</x:v>
      </x:c>
      <x:c r="D7" s="56" t="str">
        <x:v>Pantalla específica Bloque 0.5</x:v>
      </x:c>
      <x:c r="E7" s="66" t="str"/>
      <x:c r="F7" s="66" t="str">
        <x:v>No ejecutado</x:v>
      </x:c>
      <x:c r="G7" s="66" t="str">
        <x:v>No ejecutado</x:v>
      </x:c>
      <x:c r="H7" s="66" t="str">
        <x:v>No ejecutado</x:v>
      </x:c>
      <x:c r="I7" s="66" t="str">
        <x:v>No ejecutado</x:v>
      </x:c>
      <x:c r="J7" s="66" t="str">
        <x:v>No ejecutado</x:v>
      </x:c>
      <x:c r="K7" s="66" t="str">
        <x:v>No ejecutado</x:v>
      </x:c>
      <x:c r="L7" s="66" t="str">
        <x:v>No ejecutado</x:v>
      </x:c>
      <x:c r="M7" s="66" t="str">
        <x:v>No ejecutado</x:v>
      </x:c>
      <x:c r="N7" s="66" t="str">
        <x:v>No ejecutado</x:v>
      </x:c>
      <x:c r="O7" s="66" t="str">
        <x:v>No ejecutado</x:v>
      </x:c>
      <x:c r="P7" s="66" t="str">
        <x:v>No ejecutado</x:v>
      </x:c>
      <x:c r="Q7" s="66" t="str">
        <x:v>No ejecutado</x:v>
      </x:c>
      <x:c r="R7" s="68" t="str">
        <x:f>IF(COUNTIF(F7:Q7,"Bloqueado")&gt;0,"Bloqueado",IF(COUNTIF(F7:Q7,"Falló")&gt;0,"No conforme",IF(COUNTIF(F7:Q7,"No ejecutado")=12,"No evaluado",IF(COUNTIF(F7:Q7,"Pasó")+COUNTIF(F7:Q7,"No aplica")=12,"Conforme","Parcial"))))</x:f>
        <x:v>No evaluado</x:v>
      </x:c>
      <x:c r="S7" s="66" t="str"/>
      <x:c r="T7" s="66" t="str"/>
      <x:c r="U7" s="66" t="str"/>
    </x:row>
    <x:row r="8" ht="48" customHeight="1">
      <x:c r="A8" s="56" t="str">
        <x:v>B05-Q07</x:v>
      </x:c>
      <x:c r="B8" s="56" t="str">
        <x:v>0.5</x:v>
      </x:c>
      <x:c r="C8" s="56" t="str">
        <x:v>Cuando termina bien, ¿qué hito importante se desbloquea y quién o qué define su prioridad?</x:v>
      </x:c>
      <x:c r="D8" s="56" t="str">
        <x:v>Pantalla específica Bloque 0.5</x:v>
      </x:c>
      <x:c r="E8" s="66" t="str"/>
      <x:c r="F8" s="66" t="str">
        <x:v>No ejecutado</x:v>
      </x:c>
      <x:c r="G8" s="66" t="str">
        <x:v>No ejecutado</x:v>
      </x:c>
      <x:c r="H8" s="66" t="str">
        <x:v>No ejecutado</x:v>
      </x:c>
      <x:c r="I8" s="66" t="str">
        <x:v>No ejecutado</x:v>
      </x:c>
      <x:c r="J8" s="66" t="str">
        <x:v>No ejecutado</x:v>
      </x:c>
      <x:c r="K8" s="66" t="str">
        <x:v>No ejecutado</x:v>
      </x:c>
      <x:c r="L8" s="66" t="str">
        <x:v>No ejecutado</x:v>
      </x:c>
      <x:c r="M8" s="66" t="str">
        <x:v>No ejecutado</x:v>
      </x:c>
      <x:c r="N8" s="66" t="str">
        <x:v>No ejecutado</x:v>
      </x:c>
      <x:c r="O8" s="66" t="str">
        <x:v>No ejecutado</x:v>
      </x:c>
      <x:c r="P8" s="66" t="str">
        <x:v>No ejecutado</x:v>
      </x:c>
      <x:c r="Q8" s="66" t="str">
        <x:v>No ejecutado</x:v>
      </x:c>
      <x:c r="R8" s="68" t="str">
        <x:f>IF(COUNTIF(F8:Q8,"Bloqueado")&gt;0,"Bloqueado",IF(COUNTIF(F8:Q8,"Falló")&gt;0,"No conforme",IF(COUNTIF(F8:Q8,"No ejecutado")=12,"No evaluado",IF(COUNTIF(F8:Q8,"Pasó")+COUNTIF(F8:Q8,"No aplica")=12,"Conforme","Parcial"))))</x:f>
        <x:v>No evaluado</x:v>
      </x:c>
      <x:c r="S8" s="66" t="str"/>
      <x:c r="T8" s="66" t="str"/>
      <x:c r="U8" s="66" t="str"/>
    </x:row>
    <x:row r="9" ht="48" customHeight="1">
      <x:c r="A9" s="56" t="str">
        <x:v>B1-Q08</x:v>
      </x:c>
      <x:c r="B9" s="56" t="str">
        <x:v>1</x:v>
      </x:c>
      <x:c r="C9" s="56" t="str">
        <x:v>¿De dónde viene normalmente la señal para empezar y por qué medio llega?</x:v>
      </x:c>
      <x:c r="D9" s="56" t="str">
        <x:v>Pantalla específica Bloque 1</x:v>
      </x:c>
      <x:c r="E9" s="66" t="str"/>
      <x:c r="F9" s="66" t="str">
        <x:v>No ejecutado</x:v>
      </x:c>
      <x:c r="G9" s="66" t="str">
        <x:v>No ejecutado</x:v>
      </x:c>
      <x:c r="H9" s="66" t="str">
        <x:v>No ejecutado</x:v>
      </x:c>
      <x:c r="I9" s="66" t="str">
        <x:v>No ejecutado</x:v>
      </x:c>
      <x:c r="J9" s="66" t="str">
        <x:v>No ejecutado</x:v>
      </x:c>
      <x:c r="K9" s="66" t="str">
        <x:v>No ejecutado</x:v>
      </x:c>
      <x:c r="L9" s="66" t="str">
        <x:v>No ejecutado</x:v>
      </x:c>
      <x:c r="M9" s="66" t="str">
        <x:v>No ejecutado</x:v>
      </x:c>
      <x:c r="N9" s="66" t="str">
        <x:v>No ejecutado</x:v>
      </x:c>
      <x:c r="O9" s="66" t="str">
        <x:v>No ejecutado</x:v>
      </x:c>
      <x:c r="P9" s="66" t="str">
        <x:v>No ejecutado</x:v>
      </x:c>
      <x:c r="Q9" s="66" t="str">
        <x:v>No ejecutado</x:v>
      </x:c>
      <x:c r="R9" s="68" t="str">
        <x:f>IF(COUNTIF(F9:Q9,"Bloqueado")&gt;0,"Bloqueado",IF(COUNTIF(F9:Q9,"Falló")&gt;0,"No conforme",IF(COUNTIF(F9:Q9,"No ejecutado")=12,"No evaluado",IF(COUNTIF(F9:Q9,"Pasó")+COUNTIF(F9:Q9,"No aplica")=12,"Conforme","Parcial"))))</x:f>
        <x:v>No evaluado</x:v>
      </x:c>
      <x:c r="S9" s="66" t="str"/>
      <x:c r="T9" s="66" t="str"/>
      <x:c r="U9" s="66" t="str"/>
    </x:row>
    <x:row r="10" ht="48" customHeight="1">
      <x:c r="A10" s="56" t="str">
        <x:v>B1-Q09</x:v>
      </x:c>
      <x:c r="B10" s="56" t="str">
        <x:v>1</x:v>
      </x:c>
      <x:c r="C10" s="56" t="str">
        <x:v>Cuando comienza, ¿es algo esperado o sorpresivo, y está claro que debes empezar?</x:v>
      </x:c>
      <x:c r="D10" s="56" t="str">
        <x:v>Pantalla específica Bloque 1</x:v>
      </x:c>
      <x:c r="E10" s="66" t="str"/>
      <x:c r="F10" s="66" t="str">
        <x:v>No ejecutado</x:v>
      </x:c>
      <x:c r="G10" s="66" t="str">
        <x:v>No ejecutado</x:v>
      </x:c>
      <x:c r="H10" s="66" t="str">
        <x:v>No ejecutado</x:v>
      </x:c>
      <x:c r="I10" s="66" t="str">
        <x:v>No ejecutado</x:v>
      </x:c>
      <x:c r="J10" s="66" t="str">
        <x:v>No ejecutado</x:v>
      </x:c>
      <x:c r="K10" s="66" t="str">
        <x:v>No ejecutado</x:v>
      </x:c>
      <x:c r="L10" s="66" t="str">
        <x:v>No ejecutado</x:v>
      </x:c>
      <x:c r="M10" s="66" t="str">
        <x:v>No ejecutado</x:v>
      </x:c>
      <x:c r="N10" s="66" t="str">
        <x:v>No ejecutado</x:v>
      </x:c>
      <x:c r="O10" s="66" t="str">
        <x:v>No ejecutado</x:v>
      </x:c>
      <x:c r="P10" s="66" t="str">
        <x:v>No ejecutado</x:v>
      </x:c>
      <x:c r="Q10" s="66" t="str">
        <x:v>No ejecutado</x:v>
      </x:c>
      <x:c r="R10" s="68" t="str">
        <x:f>IF(COUNTIF(F10:Q10,"Bloqueado")&gt;0,"Bloqueado",IF(COUNTIF(F10:Q10,"Falló")&gt;0,"No conforme",IF(COUNTIF(F10:Q10,"No ejecutado")=12,"No evaluado",IF(COUNTIF(F10:Q10,"Pasó")+COUNTIF(F10:Q10,"No aplica")=12,"Conforme","Parcial"))))</x:f>
        <x:v>No evaluado</x:v>
      </x:c>
      <x:c r="S10" s="66" t="str"/>
      <x:c r="T10" s="66" t="str"/>
      <x:c r="U10" s="66" t="str"/>
    </x:row>
    <x:row r="11" ht="48" customHeight="1">
      <x:c r="A11" s="56" t="str">
        <x:v>B1-Q10</x:v>
      </x:c>
      <x:c r="B11" s="56" t="str">
        <x:v>1</x:v>
      </x:c>
      <x:c r="C11" s="56" t="str">
        <x:v>¿Con qué frecuencia ocurre el disparador y hay un patrón predecible?</x:v>
      </x:c>
      <x:c r="D11" s="56" t="str">
        <x:v>Pantalla específica Bloque 1</x:v>
      </x:c>
      <x:c r="E11" s="66" t="str"/>
      <x:c r="F11" s="66" t="str">
        <x:v>No ejecutado</x:v>
      </x:c>
      <x:c r="G11" s="66" t="str">
        <x:v>No ejecutado</x:v>
      </x:c>
      <x:c r="H11" s="66" t="str">
        <x:v>No ejecutado</x:v>
      </x:c>
      <x:c r="I11" s="66" t="str">
        <x:v>No ejecutado</x:v>
      </x:c>
      <x:c r="J11" s="66" t="str">
        <x:v>No ejecutado</x:v>
      </x:c>
      <x:c r="K11" s="66" t="str">
        <x:v>No ejecutado</x:v>
      </x:c>
      <x:c r="L11" s="66" t="str">
        <x:v>No ejecutado</x:v>
      </x:c>
      <x:c r="M11" s="66" t="str">
        <x:v>No ejecutado</x:v>
      </x:c>
      <x:c r="N11" s="66" t="str">
        <x:v>No ejecutado</x:v>
      </x:c>
      <x:c r="O11" s="66" t="str">
        <x:v>No ejecutado</x:v>
      </x:c>
      <x:c r="P11" s="66" t="str">
        <x:v>No ejecutado</x:v>
      </x:c>
      <x:c r="Q11" s="66" t="str">
        <x:v>No ejecutado</x:v>
      </x:c>
      <x:c r="R11" s="68" t="str">
        <x:f>IF(COUNTIF(F11:Q11,"Bloqueado")&gt;0,"Bloqueado",IF(COUNTIF(F11:Q11,"Falló")&gt;0,"No conforme",IF(COUNTIF(F11:Q11,"No ejecutado")=12,"No evaluado",IF(COUNTIF(F11:Q11,"Pasó")+COUNTIF(F11:Q11,"No aplica")=12,"Conforme","Parcial"))))</x:f>
        <x:v>No evaluado</x:v>
      </x:c>
      <x:c r="S11" s="66" t="str"/>
      <x:c r="T11" s="66" t="str"/>
      <x:c r="U11" s="66" t="str"/>
    </x:row>
    <x:row r="12" ht="48" customHeight="1">
      <x:c r="A12" s="56" t="str">
        <x:v>B1-Q11</x:v>
      </x:c>
      <x:c r="B12" s="56" t="str">
        <x:v>1</x:v>
      </x:c>
      <x:c r="C12" s="56" t="str">
        <x:v>Para que el disparador ocurra, ¿qué debe haber pasado antes? ¿Hay momentos en que debería comenzar pero no comienza?</x:v>
      </x:c>
      <x:c r="D12" s="56" t="str">
        <x:v>Pantalla específica Bloque 1</x:v>
      </x:c>
      <x:c r="E12" s="66" t="str"/>
      <x:c r="F12" s="66" t="str">
        <x:v>No ejecutado</x:v>
      </x:c>
      <x:c r="G12" s="66" t="str">
        <x:v>No ejecutado</x:v>
      </x:c>
      <x:c r="H12" s="66" t="str">
        <x:v>No ejecutado</x:v>
      </x:c>
      <x:c r="I12" s="66" t="str">
        <x:v>No ejecutado</x:v>
      </x:c>
      <x:c r="J12" s="66" t="str">
        <x:v>No ejecutado</x:v>
      </x:c>
      <x:c r="K12" s="66" t="str">
        <x:v>No ejecutado</x:v>
      </x:c>
      <x:c r="L12" s="66" t="str">
        <x:v>No ejecutado</x:v>
      </x:c>
      <x:c r="M12" s="66" t="str">
        <x:v>No ejecutado</x:v>
      </x:c>
      <x:c r="N12" s="66" t="str">
        <x:v>No ejecutado</x:v>
      </x:c>
      <x:c r="O12" s="66" t="str">
        <x:v>No ejecutado</x:v>
      </x:c>
      <x:c r="P12" s="66" t="str">
        <x:v>No ejecutado</x:v>
      </x:c>
      <x:c r="Q12" s="66" t="str">
        <x:v>No ejecutado</x:v>
      </x:c>
      <x:c r="R12" s="68" t="str">
        <x:f>IF(COUNTIF(F12:Q12,"Bloqueado")&gt;0,"Bloqueado",IF(COUNTIF(F12:Q12,"Falló")&gt;0,"No conforme",IF(COUNTIF(F12:Q12,"No ejecutado")=12,"No evaluado",IF(COUNTIF(F12:Q12,"Pasó")+COUNTIF(F12:Q12,"No aplica")=12,"Conforme","Parcial"))))</x:f>
        <x:v>No evaluado</x:v>
      </x:c>
      <x:c r="S12" s="66" t="str"/>
      <x:c r="T12" s="66" t="str"/>
      <x:c r="U12" s="66" t="str"/>
    </x:row>
    <x:row r="13" ht="48" customHeight="1">
      <x:c r="A13" s="56" t="str">
        <x:v>B2-Q12</x:v>
      </x:c>
      <x:c r="B13" s="56" t="str">
        <x:v>2</x:v>
      </x:c>
      <x:c r="C13" s="56" t="str">
        <x:v>¿Qué es lo principal que creas, cambias o afectas: objeto, sujeto, acción o combinación? ¿Cuál es concretamente?</x:v>
      </x:c>
      <x:c r="D13" s="56" t="str">
        <x:v>Pantalla específica Bloque 2</x:v>
      </x:c>
      <x:c r="E13" s="66" t="str"/>
      <x:c r="F13" s="66" t="str">
        <x:v>No ejecutado</x:v>
      </x:c>
      <x:c r="G13" s="66" t="str">
        <x:v>No ejecutado</x:v>
      </x:c>
      <x:c r="H13" s="66" t="str">
        <x:v>No ejecutado</x:v>
      </x:c>
      <x:c r="I13" s="66" t="str">
        <x:v>No ejecutado</x:v>
      </x:c>
      <x:c r="J13" s="66" t="str">
        <x:v>No ejecutado</x:v>
      </x:c>
      <x:c r="K13" s="66" t="str">
        <x:v>No ejecutado</x:v>
      </x:c>
      <x:c r="L13" s="66" t="str">
        <x:v>No ejecutado</x:v>
      </x:c>
      <x:c r="M13" s="66" t="str">
        <x:v>No ejecutado</x:v>
      </x:c>
      <x:c r="N13" s="66" t="str">
        <x:v>No ejecutado</x:v>
      </x:c>
      <x:c r="O13" s="66" t="str">
        <x:v>No ejecutado</x:v>
      </x:c>
      <x:c r="P13" s="66" t="str">
        <x:v>No ejecutado</x:v>
      </x:c>
      <x:c r="Q13" s="66" t="str">
        <x:v>No ejecutado</x:v>
      </x:c>
      <x:c r="R13" s="68" t="str">
        <x:f>IF(COUNTIF(F13:Q13,"Bloqueado")&gt;0,"Bloqueado",IF(COUNTIF(F13:Q13,"Falló")&gt;0,"No conforme",IF(COUNTIF(F13:Q13,"No ejecutado")=12,"No evaluado",IF(COUNTIF(F13:Q13,"Pasó")+COUNTIF(F13:Q13,"No aplica")=12,"Conforme","Parcial"))))</x:f>
        <x:v>No evaluado</x:v>
      </x:c>
      <x:c r="S13" s="66" t="str"/>
      <x:c r="T13" s="66" t="str"/>
      <x:c r="U13" s="66" t="str"/>
    </x:row>
    <x:row r="14" ht="48" customHeight="1">
      <x:c r="A14" s="56" t="str">
        <x:v>B2-Q13</x:v>
      </x:c>
      <x:c r="B14" s="56" t="str">
        <x:v>2</x:v>
      </x:c>
      <x:c r="C14" s="56" t="str">
        <x:v>De lo principal identificado, ¿qué propiedades, características o condiciones cambian?</x:v>
      </x:c>
      <x:c r="D14" s="56" t="str">
        <x:v>Pantalla específica Bloque 2</x:v>
      </x:c>
      <x:c r="E14" s="66" t="str"/>
      <x:c r="F14" s="66" t="str">
        <x:v>No ejecutado</x:v>
      </x:c>
      <x:c r="G14" s="66" t="str">
        <x:v>No ejecutado</x:v>
      </x:c>
      <x:c r="H14" s="66" t="str">
        <x:v>No ejecutado</x:v>
      </x:c>
      <x:c r="I14" s="66" t="str">
        <x:v>No ejecutado</x:v>
      </x:c>
      <x:c r="J14" s="66" t="str">
        <x:v>No ejecutado</x:v>
      </x:c>
      <x:c r="K14" s="66" t="str">
        <x:v>No ejecutado</x:v>
      </x:c>
      <x:c r="L14" s="66" t="str">
        <x:v>No ejecutado</x:v>
      </x:c>
      <x:c r="M14" s="66" t="str">
        <x:v>No ejecutado</x:v>
      </x:c>
      <x:c r="N14" s="66" t="str">
        <x:v>No ejecutado</x:v>
      </x:c>
      <x:c r="O14" s="66" t="str">
        <x:v>No ejecutado</x:v>
      </x:c>
      <x:c r="P14" s="66" t="str">
        <x:v>No ejecutado</x:v>
      </x:c>
      <x:c r="Q14" s="66" t="str">
        <x:v>No ejecutado</x:v>
      </x:c>
      <x:c r="R14" s="68" t="str">
        <x:f>IF(COUNTIF(F14:Q14,"Bloqueado")&gt;0,"Bloqueado",IF(COUNTIF(F14:Q14,"Falló")&gt;0,"No conforme",IF(COUNTIF(F14:Q14,"No ejecutado")=12,"No evaluado",IF(COUNTIF(F14:Q14,"Pasó")+COUNTIF(F14:Q14,"No aplica")=12,"Conforme","Parcial"))))</x:f>
        <x:v>No evaluado</x:v>
      </x:c>
      <x:c r="S14" s="66" t="str"/>
      <x:c r="T14" s="66" t="str"/>
      <x:c r="U14" s="66" t="str"/>
    </x:row>
    <x:row r="15" ht="48" customHeight="1">
      <x:c r="A15" s="56" t="str">
        <x:v>B2-Q14</x:v>
      </x:c>
      <x:c r="B15" s="56" t="str">
        <x:v>2</x:v>
      </x:c>
      <x:c r="C15" s="56" t="str">
        <x:v>¿Qué acción o cambio haces directamente y qué provoca normalmente que lo hagas?</x:v>
      </x:c>
      <x:c r="D15" s="56" t="str">
        <x:v>Pantalla específica Bloque 2</x:v>
      </x:c>
      <x:c r="E15" s="66" t="str"/>
      <x:c r="F15" s="66" t="str">
        <x:v>No ejecutado</x:v>
      </x:c>
      <x:c r="G15" s="66" t="str">
        <x:v>No ejecutado</x:v>
      </x:c>
      <x:c r="H15" s="66" t="str">
        <x:v>No ejecutado</x:v>
      </x:c>
      <x:c r="I15" s="66" t="str">
        <x:v>No ejecutado</x:v>
      </x:c>
      <x:c r="J15" s="66" t="str">
        <x:v>No ejecutado</x:v>
      </x:c>
      <x:c r="K15" s="66" t="str">
        <x:v>No ejecutado</x:v>
      </x:c>
      <x:c r="L15" s="66" t="str">
        <x:v>No ejecutado</x:v>
      </x:c>
      <x:c r="M15" s="66" t="str">
        <x:v>No ejecutado</x:v>
      </x:c>
      <x:c r="N15" s="66" t="str">
        <x:v>No ejecutado</x:v>
      </x:c>
      <x:c r="O15" s="66" t="str">
        <x:v>No ejecutado</x:v>
      </x:c>
      <x:c r="P15" s="66" t="str">
        <x:v>No ejecutado</x:v>
      </x:c>
      <x:c r="Q15" s="66" t="str">
        <x:v>No ejecutado</x:v>
      </x:c>
      <x:c r="R15" s="68" t="str">
        <x:f>IF(COUNTIF(F15:Q15,"Bloqueado")&gt;0,"Bloqueado",IF(COUNTIF(F15:Q15,"Falló")&gt;0,"No conforme",IF(COUNTIF(F15:Q15,"No ejecutado")=12,"No evaluado",IF(COUNTIF(F15:Q15,"Pasó")+COUNTIF(F15:Q15,"No aplica")=12,"Conforme","Parcial"))))</x:f>
        <x:v>No evaluado</x:v>
      </x:c>
      <x:c r="S15" s="66" t="str"/>
      <x:c r="T15" s="66" t="str"/>
      <x:c r="U15" s="66" t="str"/>
    </x:row>
    <x:row r="16" ht="48" customHeight="1">
      <x:c r="A16" s="56" t="str">
        <x:v>B2-Q15</x:v>
      </x:c>
      <x:c r="B16" s="56" t="str">
        <x:v>2</x:v>
      </x:c>
      <x:c r="C16" s="56" t="str">
        <x:v>Justo antes de empezar, ¿en qué estado llega lo principal? Después de terminar, ¿en qué estado queda?</x:v>
      </x:c>
      <x:c r="D16" s="56" t="str">
        <x:v>Pantalla específica Bloque 2</x:v>
      </x:c>
      <x:c r="E16" s="66" t="str"/>
      <x:c r="F16" s="66" t="str">
        <x:v>No ejecutado</x:v>
      </x:c>
      <x:c r="G16" s="66" t="str">
        <x:v>No ejecutado</x:v>
      </x:c>
      <x:c r="H16" s="66" t="str">
        <x:v>No ejecutado</x:v>
      </x:c>
      <x:c r="I16" s="66" t="str">
        <x:v>No ejecutado</x:v>
      </x:c>
      <x:c r="J16" s="66" t="str">
        <x:v>No ejecutado</x:v>
      </x:c>
      <x:c r="K16" s="66" t="str">
        <x:v>No ejecutado</x:v>
      </x:c>
      <x:c r="L16" s="66" t="str">
        <x:v>No ejecutado</x:v>
      </x:c>
      <x:c r="M16" s="66" t="str">
        <x:v>No ejecutado</x:v>
      </x:c>
      <x:c r="N16" s="66" t="str">
        <x:v>No ejecutado</x:v>
      </x:c>
      <x:c r="O16" s="66" t="str">
        <x:v>No ejecutado</x:v>
      </x:c>
      <x:c r="P16" s="66" t="str">
        <x:v>No ejecutado</x:v>
      </x:c>
      <x:c r="Q16" s="66" t="str">
        <x:v>No ejecutado</x:v>
      </x:c>
      <x:c r="R16" s="68" t="str">
        <x:f>IF(COUNTIF(F16:Q16,"Bloqueado")&gt;0,"Bloqueado",IF(COUNTIF(F16:Q16,"Falló")&gt;0,"No conforme",IF(COUNTIF(F16:Q16,"No ejecutado")=12,"No evaluado",IF(COUNTIF(F16:Q16,"Pasó")+COUNTIF(F16:Q16,"No aplica")=12,"Conforme","Parcial"))))</x:f>
        <x:v>No evaluado</x:v>
      </x:c>
      <x:c r="S16" s="66" t="str"/>
      <x:c r="T16" s="66" t="str"/>
      <x:c r="U16" s="66" t="str"/>
    </x:row>
    <x:row r="17" ht="48" customHeight="1">
      <x:c r="A17" s="56" t="str">
        <x:v>B2-Q16</x:v>
      </x:c>
      <x:c r="B17" s="56" t="str">
        <x:v>2</x:v>
      </x:c>
      <x:c r="C17" s="56" t="str">
        <x:v>¿Qué tanto cambia lo principal y ocurre una sola vez o en varios ciclos?</x:v>
      </x:c>
      <x:c r="D17" s="56" t="str">
        <x:v>Pantalla específica Bloque 2</x:v>
      </x:c>
      <x:c r="E17" s="66" t="str"/>
      <x:c r="F17" s="66" t="str">
        <x:v>No ejecutado</x:v>
      </x:c>
      <x:c r="G17" s="66" t="str">
        <x:v>No ejecutado</x:v>
      </x:c>
      <x:c r="H17" s="66" t="str">
        <x:v>No ejecutado</x:v>
      </x:c>
      <x:c r="I17" s="66" t="str">
        <x:v>No ejecutado</x:v>
      </x:c>
      <x:c r="J17" s="66" t="str">
        <x:v>No ejecutado</x:v>
      </x:c>
      <x:c r="K17" s="66" t="str">
        <x:v>No ejecutado</x:v>
      </x:c>
      <x:c r="L17" s="66" t="str">
        <x:v>No ejecutado</x:v>
      </x:c>
      <x:c r="M17" s="66" t="str">
        <x:v>No ejecutado</x:v>
      </x:c>
      <x:c r="N17" s="66" t="str">
        <x:v>No ejecutado</x:v>
      </x:c>
      <x:c r="O17" s="66" t="str">
        <x:v>No ejecutado</x:v>
      </x:c>
      <x:c r="P17" s="66" t="str">
        <x:v>No ejecutado</x:v>
      </x:c>
      <x:c r="Q17" s="66" t="str">
        <x:v>No ejecutado</x:v>
      </x:c>
      <x:c r="R17" s="68" t="str">
        <x:f>IF(COUNTIF(F17:Q17,"Bloqueado")&gt;0,"Bloqueado",IF(COUNTIF(F17:Q17,"Falló")&gt;0,"No conforme",IF(COUNTIF(F17:Q17,"No ejecutado")=12,"No evaluado",IF(COUNTIF(F17:Q17,"Pasó")+COUNTIF(F17:Q17,"No aplica")=12,"Conforme","Parcial"))))</x:f>
        <x:v>No evaluado</x:v>
      </x:c>
      <x:c r="S17" s="66" t="str"/>
      <x:c r="T17" s="66" t="str"/>
      <x:c r="U17" s="66" t="str"/>
    </x:row>
    <x:row r="18" ht="48" customHeight="1">
      <x:c r="A18" s="56" t="str">
        <x:v>B2-Q17</x:v>
      </x:c>
      <x:c r="B18" s="56" t="str">
        <x:v>2</x:v>
      </x:c>
      <x:c r="C18" s="56" t="str">
        <x:v>¿Hay momentos en que no se transforma aunque debería, se transforma mal o cambia fuera de lo oficial?</x:v>
      </x:c>
      <x:c r="D18" s="56" t="str">
        <x:v>Pantalla específica Bloque 2</x:v>
      </x:c>
      <x:c r="E18" s="66" t="str"/>
      <x:c r="F18" s="66" t="str">
        <x:v>No ejecutado</x:v>
      </x:c>
      <x:c r="G18" s="66" t="str">
        <x:v>No ejecutado</x:v>
      </x:c>
      <x:c r="H18" s="66" t="str">
        <x:v>No ejecutado</x:v>
      </x:c>
      <x:c r="I18" s="66" t="str">
        <x:v>No ejecutado</x:v>
      </x:c>
      <x:c r="J18" s="66" t="str">
        <x:v>No ejecutado</x:v>
      </x:c>
      <x:c r="K18" s="66" t="str">
        <x:v>No ejecutado</x:v>
      </x:c>
      <x:c r="L18" s="66" t="str">
        <x:v>No ejecutado</x:v>
      </x:c>
      <x:c r="M18" s="66" t="str">
        <x:v>No ejecutado</x:v>
      </x:c>
      <x:c r="N18" s="66" t="str">
        <x:v>No ejecutado</x:v>
      </x:c>
      <x:c r="O18" s="66" t="str">
        <x:v>No ejecutado</x:v>
      </x:c>
      <x:c r="P18" s="66" t="str">
        <x:v>No ejecutado</x:v>
      </x:c>
      <x:c r="Q18" s="66" t="str">
        <x:v>No ejecutado</x:v>
      </x:c>
      <x:c r="R18" s="68" t="str">
        <x:f>IF(COUNTIF(F18:Q18,"Bloqueado")&gt;0,"Bloqueado",IF(COUNTIF(F18:Q18,"Falló")&gt;0,"No conforme",IF(COUNTIF(F18:Q18,"No ejecutado")=12,"No evaluado",IF(COUNTIF(F18:Q18,"Pasó")+COUNTIF(F18:Q18,"No aplica")=12,"Conforme","Parcial"))))</x:f>
        <x:v>No evaluado</x:v>
      </x:c>
      <x:c r="S18" s="66" t="str"/>
      <x:c r="T18" s="66" t="str"/>
      <x:c r="U18" s="66" t="str"/>
    </x:row>
    <x:row r="19" ht="48" customHeight="1">
      <x:c r="A19" s="56" t="str">
        <x:v>B3-Q18</x:v>
      </x:c>
      <x:c r="B19" s="56" t="str">
        <x:v>3</x:v>
      </x:c>
      <x:c r="C19" s="56" t="str">
        <x:v>¿Qué entregas o pones a disposición al terminar, y quién lo recibe primero?</x:v>
      </x:c>
      <x:c r="D19" s="56" t="str">
        <x:v>Pantalla específica Bloque 3</x:v>
      </x:c>
      <x:c r="E19" s="66" t="str"/>
      <x:c r="F19" s="66" t="str">
        <x:v>No ejecutado</x:v>
      </x:c>
      <x:c r="G19" s="66" t="str">
        <x:v>No ejecutado</x:v>
      </x:c>
      <x:c r="H19" s="66" t="str">
        <x:v>No ejecutado</x:v>
      </x:c>
      <x:c r="I19" s="66" t="str">
        <x:v>No ejecutado</x:v>
      </x:c>
      <x:c r="J19" s="66" t="str">
        <x:v>No ejecutado</x:v>
      </x:c>
      <x:c r="K19" s="66" t="str">
        <x:v>No ejecutado</x:v>
      </x:c>
      <x:c r="L19" s="66" t="str">
        <x:v>No ejecutado</x:v>
      </x:c>
      <x:c r="M19" s="66" t="str">
        <x:v>No ejecutado</x:v>
      </x:c>
      <x:c r="N19" s="66" t="str">
        <x:v>No ejecutado</x:v>
      </x:c>
      <x:c r="O19" s="66" t="str">
        <x:v>No ejecutado</x:v>
      </x:c>
      <x:c r="P19" s="66" t="str">
        <x:v>No ejecutado</x:v>
      </x:c>
      <x:c r="Q19" s="66" t="str">
        <x:v>No ejecutado</x:v>
      </x:c>
      <x:c r="R19" s="68" t="str">
        <x:f>IF(COUNTIF(F19:Q19,"Bloqueado")&gt;0,"Bloqueado",IF(COUNTIF(F19:Q19,"Falló")&gt;0,"No conforme",IF(COUNTIF(F19:Q19,"No ejecutado")=12,"No evaluado",IF(COUNTIF(F19:Q19,"Pasó")+COUNTIF(F19:Q19,"No aplica")=12,"Conforme","Parcial"))))</x:f>
        <x:v>No evaluado</x:v>
      </x:c>
      <x:c r="S19" s="66" t="str"/>
      <x:c r="T19" s="66" t="str"/>
      <x:c r="U19" s="66" t="str"/>
    </x:row>
    <x:row r="20" ht="48" customHeight="1">
      <x:c r="A20" s="56" t="str">
        <x:v>B3-Q19</x:v>
      </x:c>
      <x:c r="B20" s="56" t="str">
        <x:v>3</x:v>
      </x:c>
      <x:c r="C20" s="56" t="str">
        <x:v>¿Qué tipo de receptor es, qué hace con lo entregado y qué pasa con su trabajo si no lo recibe a tiempo?</x:v>
      </x:c>
      <x:c r="D20" s="56" t="str">
        <x:v>Pantalla específica Bloque 3</x:v>
      </x:c>
      <x:c r="E20" s="66" t="str"/>
      <x:c r="F20" s="66" t="str">
        <x:v>No ejecutado</x:v>
      </x:c>
      <x:c r="G20" s="66" t="str">
        <x:v>No ejecutado</x:v>
      </x:c>
      <x:c r="H20" s="66" t="str">
        <x:v>No ejecutado</x:v>
      </x:c>
      <x:c r="I20" s="66" t="str">
        <x:v>No ejecutado</x:v>
      </x:c>
      <x:c r="J20" s="66" t="str">
        <x:v>No ejecutado</x:v>
      </x:c>
      <x:c r="K20" s="66" t="str">
        <x:v>No ejecutado</x:v>
      </x:c>
      <x:c r="L20" s="66" t="str">
        <x:v>No ejecutado</x:v>
      </x:c>
      <x:c r="M20" s="66" t="str">
        <x:v>No ejecutado</x:v>
      </x:c>
      <x:c r="N20" s="66" t="str">
        <x:v>No ejecutado</x:v>
      </x:c>
      <x:c r="O20" s="66" t="str">
        <x:v>No ejecutado</x:v>
      </x:c>
      <x:c r="P20" s="66" t="str">
        <x:v>No ejecutado</x:v>
      </x:c>
      <x:c r="Q20" s="66" t="str">
        <x:v>No ejecutado</x:v>
      </x:c>
      <x:c r="R20" s="68" t="str">
        <x:f>IF(COUNTIF(F20:Q20,"Bloqueado")&gt;0,"Bloqueado",IF(COUNTIF(F20:Q20,"Falló")&gt;0,"No conforme",IF(COUNTIF(F20:Q20,"No ejecutado")=12,"No evaluado",IF(COUNTIF(F20:Q20,"Pasó")+COUNTIF(F20:Q20,"No aplica")=12,"Conforme","Parcial"))))</x:f>
        <x:v>No evaluado</x:v>
      </x:c>
      <x:c r="S20" s="66" t="str"/>
      <x:c r="T20" s="66" t="str"/>
      <x:c r="U20" s="66" t="str"/>
    </x:row>
    <x:row r="21" ht="48" customHeight="1">
      <x:c r="A21" s="56" t="str">
        <x:v>B3-Q20</x:v>
      </x:c>
      <x:c r="B21" s="56" t="str">
        <x:v>3</x:v>
      </x:c>
      <x:c r="C21" s="56" t="str">
        <x:v>¿Qué debe cumplir la salida para ser aceptada, cómo se entrega y con qué frecuencia?</x:v>
      </x:c>
      <x:c r="D21" s="56" t="str">
        <x:v>Pantalla específica Bloque 3</x:v>
      </x:c>
      <x:c r="E21" s="66" t="str"/>
      <x:c r="F21" s="66" t="str">
        <x:v>No ejecutado</x:v>
      </x:c>
      <x:c r="G21" s="66" t="str">
        <x:v>No ejecutado</x:v>
      </x:c>
      <x:c r="H21" s="66" t="str">
        <x:v>No ejecutado</x:v>
      </x:c>
      <x:c r="I21" s="66" t="str">
        <x:v>No ejecutado</x:v>
      </x:c>
      <x:c r="J21" s="66" t="str">
        <x:v>No ejecutado</x:v>
      </x:c>
      <x:c r="K21" s="66" t="str">
        <x:v>No ejecutado</x:v>
      </x:c>
      <x:c r="L21" s="66" t="str">
        <x:v>No ejecutado</x:v>
      </x:c>
      <x:c r="M21" s="66" t="str">
        <x:v>No ejecutado</x:v>
      </x:c>
      <x:c r="N21" s="66" t="str">
        <x:v>No ejecutado</x:v>
      </x:c>
      <x:c r="O21" s="66" t="str">
        <x:v>No ejecutado</x:v>
      </x:c>
      <x:c r="P21" s="66" t="str">
        <x:v>No ejecutado</x:v>
      </x:c>
      <x:c r="Q21" s="66" t="str">
        <x:v>No ejecutado</x:v>
      </x:c>
      <x:c r="R21" s="68" t="str">
        <x:f>IF(COUNTIF(F21:Q21,"Bloqueado")&gt;0,"Bloqueado",IF(COUNTIF(F21:Q21,"Falló")&gt;0,"No conforme",IF(COUNTIF(F21:Q21,"No ejecutado")=12,"No evaluado",IF(COUNTIF(F21:Q21,"Pasó")+COUNTIF(F21:Q21,"No aplica")=12,"Conforme","Parcial"))))</x:f>
        <x:v>No evaluado</x:v>
      </x:c>
      <x:c r="S21" s="66" t="str"/>
      <x:c r="T21" s="66" t="str"/>
      <x:c r="U21" s="66" t="str"/>
    </x:row>
    <x:row r="22" ht="48" customHeight="1">
      <x:c r="A22" s="56" t="str">
        <x:v>B3-Q21</x:v>
      </x:c>
      <x:c r="B22" s="56" t="str">
        <x:v>3</x:v>
      </x:c>
      <x:c r="C22" s="56" t="str">
        <x:v>¿Hay momentos en que lo entregado no cumple lo esperado o no llega al receptor?</x:v>
      </x:c>
      <x:c r="D22" s="56" t="str">
        <x:v>Pantalla específica Bloque 3</x:v>
      </x:c>
      <x:c r="E22" s="66" t="str"/>
      <x:c r="F22" s="66" t="str">
        <x:v>No ejecutado</x:v>
      </x:c>
      <x:c r="G22" s="66" t="str">
        <x:v>No ejecutado</x:v>
      </x:c>
      <x:c r="H22" s="66" t="str">
        <x:v>No ejecutado</x:v>
      </x:c>
      <x:c r="I22" s="66" t="str">
        <x:v>No ejecutado</x:v>
      </x:c>
      <x:c r="J22" s="66" t="str">
        <x:v>No ejecutado</x:v>
      </x:c>
      <x:c r="K22" s="66" t="str">
        <x:v>No ejecutado</x:v>
      </x:c>
      <x:c r="L22" s="66" t="str">
        <x:v>No ejecutado</x:v>
      </x:c>
      <x:c r="M22" s="66" t="str">
        <x:v>No ejecutado</x:v>
      </x:c>
      <x:c r="N22" s="66" t="str">
        <x:v>No ejecutado</x:v>
      </x:c>
      <x:c r="O22" s="66" t="str">
        <x:v>No ejecutado</x:v>
      </x:c>
      <x:c r="P22" s="66" t="str">
        <x:v>No ejecutado</x:v>
      </x:c>
      <x:c r="Q22" s="66" t="str">
        <x:v>No ejecutado</x:v>
      </x:c>
      <x:c r="R22" s="68" t="str">
        <x:f>IF(COUNTIF(F22:Q22,"Bloqueado")&gt;0,"Bloqueado",IF(COUNTIF(F22:Q22,"Falló")&gt;0,"No conforme",IF(COUNTIF(F22:Q22,"No ejecutado")=12,"No evaluado",IF(COUNTIF(F22:Q22,"Pasó")+COUNTIF(F22:Q22,"No aplica")=12,"Conforme","Parcial"))))</x:f>
        <x:v>No evaluado</x:v>
      </x:c>
      <x:c r="S22" s="66" t="str"/>
      <x:c r="T22" s="66" t="str"/>
      <x:c r="U22" s="66" t="str"/>
    </x:row>
    <x:row r="23" ht="48" customHeight="1">
      <x:c r="A23" s="56" t="str">
        <x:v>B3-Q22</x:v>
      </x:c>
      <x:c r="B23" s="56" t="str">
        <x:v>3</x:v>
      </x:c>
      <x:c r="C23" s="56" t="str">
        <x:v>Cuando entregas, ¿normalmente se acepta como suficiente, se acepta con observaciones o no se acepta? ¿Ha cambiado algo en criterios, receptor o canal?</x:v>
      </x:c>
      <x:c r="D23" s="56" t="str">
        <x:v>Pantalla específica Bloque 3</x:v>
      </x:c>
      <x:c r="E23" s="66" t="str"/>
      <x:c r="F23" s="66" t="str">
        <x:v>No ejecutado</x:v>
      </x:c>
      <x:c r="G23" s="66" t="str">
        <x:v>No ejecutado</x:v>
      </x:c>
      <x:c r="H23" s="66" t="str">
        <x:v>No ejecutado</x:v>
      </x:c>
      <x:c r="I23" s="66" t="str">
        <x:v>No ejecutado</x:v>
      </x:c>
      <x:c r="J23" s="66" t="str">
        <x:v>No ejecutado</x:v>
      </x:c>
      <x:c r="K23" s="66" t="str">
        <x:v>No ejecutado</x:v>
      </x:c>
      <x:c r="L23" s="66" t="str">
        <x:v>No ejecutado</x:v>
      </x:c>
      <x:c r="M23" s="66" t="str">
        <x:v>No ejecutado</x:v>
      </x:c>
      <x:c r="N23" s="66" t="str">
        <x:v>No ejecutado</x:v>
      </x:c>
      <x:c r="O23" s="66" t="str">
        <x:v>No ejecutado</x:v>
      </x:c>
      <x:c r="P23" s="66" t="str">
        <x:v>No ejecutado</x:v>
      </x:c>
      <x:c r="Q23" s="66" t="str">
        <x:v>No ejecutado</x:v>
      </x:c>
      <x:c r="R23" s="68" t="str">
        <x:f>IF(COUNTIF(F23:Q23,"Bloqueado")&gt;0,"Bloqueado",IF(COUNTIF(F23:Q23,"Falló")&gt;0,"No conforme",IF(COUNTIF(F23:Q23,"No ejecutado")=12,"No evaluado",IF(COUNTIF(F23:Q23,"Pasó")+COUNTIF(F23:Q23,"No aplica")=12,"Conforme","Parcial"))))</x:f>
        <x:v>No evaluado</x:v>
      </x:c>
      <x:c r="S23" s="66" t="str"/>
      <x:c r="T23" s="66" t="str"/>
      <x:c r="U23" s="66" t="str"/>
    </x:row>
    <x:row r="24" ht="48" customHeight="1">
      <x:c r="A24" s="56" t="str">
        <x:v>B4-Q23</x:v>
      </x:c>
      <x:c r="B24" s="56" t="str">
        <x:v>4</x:v>
      </x:c>
      <x:c r="C24" s="56" t="str">
        <x:v>Antes de iniciar, ¿qué tiene que estar listo? Si no terminas, ¿quién o qué queda detenido?</x:v>
      </x:c>
      <x:c r="D24" s="56" t="str">
        <x:v>Pantalla específica Bloque 4</x:v>
      </x:c>
      <x:c r="E24" s="66" t="str"/>
      <x:c r="F24" s="66" t="str">
        <x:v>No ejecutado</x:v>
      </x:c>
      <x:c r="G24" s="66" t="str">
        <x:v>No ejecutado</x:v>
      </x:c>
      <x:c r="H24" s="66" t="str">
        <x:v>No ejecutado</x:v>
      </x:c>
      <x:c r="I24" s="66" t="str">
        <x:v>No ejecutado</x:v>
      </x:c>
      <x:c r="J24" s="66" t="str">
        <x:v>No ejecutado</x:v>
      </x:c>
      <x:c r="K24" s="66" t="str">
        <x:v>No ejecutado</x:v>
      </x:c>
      <x:c r="L24" s="66" t="str">
        <x:v>No ejecutado</x:v>
      </x:c>
      <x:c r="M24" s="66" t="str">
        <x:v>No ejecutado</x:v>
      </x:c>
      <x:c r="N24" s="66" t="str">
        <x:v>No ejecutado</x:v>
      </x:c>
      <x:c r="O24" s="66" t="str">
        <x:v>No ejecutado</x:v>
      </x:c>
      <x:c r="P24" s="66" t="str">
        <x:v>No ejecutado</x:v>
      </x:c>
      <x:c r="Q24" s="66" t="str">
        <x:v>No ejecutado</x:v>
      </x:c>
      <x:c r="R24" s="68" t="str">
        <x:f>IF(COUNTIF(F24:Q24,"Bloqueado")&gt;0,"Bloqueado",IF(COUNTIF(F24:Q24,"Falló")&gt;0,"No conforme",IF(COUNTIF(F24:Q24,"No ejecutado")=12,"No evaluado",IF(COUNTIF(F24:Q24,"Pasó")+COUNTIF(F24:Q24,"No aplica")=12,"Conforme","Parcial"))))</x:f>
        <x:v>No evaluado</x:v>
      </x:c>
      <x:c r="S24" s="66" t="str"/>
      <x:c r="T24" s="66" t="str"/>
      <x:c r="U24" s="66" t="str"/>
    </x:row>
    <x:row r="25" ht="48" customHeight="1">
      <x:c r="A25" s="56" t="str">
        <x:v>B4-Q24</x:v>
      </x:c>
      <x:c r="B25" s="56" t="str">
        <x:v>4</x:v>
      </x:c>
      <x:c r="C25" s="56" t="str">
        <x:v>En la realidad, ¿cuánto se espera entre pasos? ¿Hay fecha/hora/frecuencia que obligue? ¿Puede quedar bloqueada esperando algo?</x:v>
      </x:c>
      <x:c r="D25" s="56" t="str">
        <x:v>Pantalla específica Bloque 4</x:v>
      </x:c>
      <x:c r="E25" s="66" t="str"/>
      <x:c r="F25" s="66" t="str">
        <x:v>No ejecutado</x:v>
      </x:c>
      <x:c r="G25" s="66" t="str">
        <x:v>No ejecutado</x:v>
      </x:c>
      <x:c r="H25" s="66" t="str">
        <x:v>No ejecutado</x:v>
      </x:c>
      <x:c r="I25" s="66" t="str">
        <x:v>No ejecutado</x:v>
      </x:c>
      <x:c r="J25" s="66" t="str">
        <x:v>No ejecutado</x:v>
      </x:c>
      <x:c r="K25" s="66" t="str">
        <x:v>No ejecutado</x:v>
      </x:c>
      <x:c r="L25" s="66" t="str">
        <x:v>No ejecutado</x:v>
      </x:c>
      <x:c r="M25" s="66" t="str">
        <x:v>No ejecutado</x:v>
      </x:c>
      <x:c r="N25" s="66" t="str">
        <x:v>No ejecutado</x:v>
      </x:c>
      <x:c r="O25" s="66" t="str">
        <x:v>No ejecutado</x:v>
      </x:c>
      <x:c r="P25" s="66" t="str">
        <x:v>No ejecutado</x:v>
      </x:c>
      <x:c r="Q25" s="66" t="str">
        <x:v>No ejecutado</x:v>
      </x:c>
      <x:c r="R25" s="68" t="str">
        <x:f>IF(COUNTIF(F25:Q25,"Bloqueado")&gt;0,"Bloqueado",IF(COUNTIF(F25:Q25,"Falló")&gt;0,"No conforme",IF(COUNTIF(F25:Q25,"No ejecutado")=12,"No evaluado",IF(COUNTIF(F25:Q25,"Pasó")+COUNTIF(F25:Q25,"No aplica")=12,"Conforme","Parcial"))))</x:f>
        <x:v>No evaluado</x:v>
      </x:c>
      <x:c r="S25" s="66" t="str"/>
      <x:c r="T25" s="66" t="str"/>
      <x:c r="U25" s="66" t="str"/>
    </x:row>
    <x:row r="26" ht="48" customHeight="1">
      <x:c r="A26" s="56" t="str">
        <x:v>B4-Q25</x:v>
      </x:c>
      <x:c r="B26" s="56" t="str">
        <x:v>4</x:v>
      </x:c>
      <x:c r="C26" s="56" t="str">
        <x:v>¿Esta actividad se repite en ciclos dentro del mismo caso?</x:v>
      </x:c>
      <x:c r="D26" s="56" t="str">
        <x:v>Pantalla específica Bloque 4</x:v>
      </x:c>
      <x:c r="E26" s="66" t="str"/>
      <x:c r="F26" s="66" t="str">
        <x:v>No ejecutado</x:v>
      </x:c>
      <x:c r="G26" s="66" t="str">
        <x:v>No ejecutado</x:v>
      </x:c>
      <x:c r="H26" s="66" t="str">
        <x:v>No ejecutado</x:v>
      </x:c>
      <x:c r="I26" s="66" t="str">
        <x:v>No ejecutado</x:v>
      </x:c>
      <x:c r="J26" s="66" t="str">
        <x:v>No ejecutado</x:v>
      </x:c>
      <x:c r="K26" s="66" t="str">
        <x:v>No ejecutado</x:v>
      </x:c>
      <x:c r="L26" s="66" t="str">
        <x:v>No ejecutado</x:v>
      </x:c>
      <x:c r="M26" s="66" t="str">
        <x:v>No ejecutado</x:v>
      </x:c>
      <x:c r="N26" s="66" t="str">
        <x:v>No ejecutado</x:v>
      </x:c>
      <x:c r="O26" s="66" t="str">
        <x:v>No ejecutado</x:v>
      </x:c>
      <x:c r="P26" s="66" t="str">
        <x:v>No ejecutado</x:v>
      </x:c>
      <x:c r="Q26" s="66" t="str">
        <x:v>No ejecutado</x:v>
      </x:c>
      <x:c r="R26" s="68" t="str">
        <x:f>IF(COUNTIF(F26:Q26,"Bloqueado")&gt;0,"Bloqueado",IF(COUNTIF(F26:Q26,"Falló")&gt;0,"No conforme",IF(COUNTIF(F26:Q26,"No ejecutado")=12,"No evaluado",IF(COUNTIF(F26:Q26,"Pasó")+COUNTIF(F26:Q26,"No aplica")=12,"Conforme","Parcial"))))</x:f>
        <x:v>No evaluado</x:v>
      </x:c>
      <x:c r="S26" s="66" t="str"/>
      <x:c r="T26" s="66" t="str"/>
      <x:c r="U26" s="66" t="str"/>
    </x:row>
    <x:row r="27" ht="48" customHeight="1">
      <x:c r="A27" s="56" t="str">
        <x:v>B4-Q26</x:v>
      </x:c>
      <x:c r="B27" s="56" t="str">
        <x:v>4</x:v>
      </x:c>
      <x:c r="C27" s="56" t="str">
        <x:v>¿Hay decisiones donde el proceso toma caminos diferentes según la situación?</x:v>
      </x:c>
      <x:c r="D27" s="56" t="str">
        <x:v>Pantalla específica Bloque 4</x:v>
      </x:c>
      <x:c r="E27" s="66" t="str"/>
      <x:c r="F27" s="66" t="str">
        <x:v>No ejecutado</x:v>
      </x:c>
      <x:c r="G27" s="66" t="str">
        <x:v>No ejecutado</x:v>
      </x:c>
      <x:c r="H27" s="66" t="str">
        <x:v>No ejecutado</x:v>
      </x:c>
      <x:c r="I27" s="66" t="str">
        <x:v>No ejecutado</x:v>
      </x:c>
      <x:c r="J27" s="66" t="str">
        <x:v>No ejecutado</x:v>
      </x:c>
      <x:c r="K27" s="66" t="str">
        <x:v>No ejecutado</x:v>
      </x:c>
      <x:c r="L27" s="66" t="str">
        <x:v>No ejecutado</x:v>
      </x:c>
      <x:c r="M27" s="66" t="str">
        <x:v>No ejecutado</x:v>
      </x:c>
      <x:c r="N27" s="66" t="str">
        <x:v>No ejecutado</x:v>
      </x:c>
      <x:c r="O27" s="66" t="str">
        <x:v>No ejecutado</x:v>
      </x:c>
      <x:c r="P27" s="66" t="str">
        <x:v>No ejecutado</x:v>
      </x:c>
      <x:c r="Q27" s="66" t="str">
        <x:v>No ejecutado</x:v>
      </x:c>
      <x:c r="R27" s="68" t="str">
        <x:f>IF(COUNTIF(F27:Q27,"Bloqueado")&gt;0,"Bloqueado",IF(COUNTIF(F27:Q27,"Falló")&gt;0,"No conforme",IF(COUNTIF(F27:Q27,"No ejecutado")=12,"No evaluado",IF(COUNTIF(F27:Q27,"Pasó")+COUNTIF(F27:Q27,"No aplica")=12,"Conforme","Parcial"))))</x:f>
        <x:v>No evaluado</x:v>
      </x:c>
      <x:c r="S27" s="66" t="str"/>
      <x:c r="T27" s="66" t="str"/>
      <x:c r="U27" s="66" t="str"/>
    </x:row>
    <x:row r="28" ht="48" customHeight="1">
      <x:c r="A28" s="56" t="str">
        <x:v>B4-Q27</x:v>
      </x:c>
      <x:c r="B28" s="56" t="str">
        <x:v>4</x:v>
      </x:c>
      <x:c r="C28" s="56" t="str">
        <x:v>Mientras haces esta actividad, ¿qué ocurre en paralelo? ¿Haces pasos que no están en el manual?</x:v>
      </x:c>
      <x:c r="D28" s="56" t="str">
        <x:v>Pantalla específica Bloque 4</x:v>
      </x:c>
      <x:c r="E28" s="66" t="str"/>
      <x:c r="F28" s="66" t="str">
        <x:v>No ejecutado</x:v>
      </x:c>
      <x:c r="G28" s="66" t="str">
        <x:v>No ejecutado</x:v>
      </x:c>
      <x:c r="H28" s="66" t="str">
        <x:v>No ejecutado</x:v>
      </x:c>
      <x:c r="I28" s="66" t="str">
        <x:v>No ejecutado</x:v>
      </x:c>
      <x:c r="J28" s="66" t="str">
        <x:v>No ejecutado</x:v>
      </x:c>
      <x:c r="K28" s="66" t="str">
        <x:v>No ejecutado</x:v>
      </x:c>
      <x:c r="L28" s="66" t="str">
        <x:v>No ejecutado</x:v>
      </x:c>
      <x:c r="M28" s="66" t="str">
        <x:v>No ejecutado</x:v>
      </x:c>
      <x:c r="N28" s="66" t="str">
        <x:v>No ejecutado</x:v>
      </x:c>
      <x:c r="O28" s="66" t="str">
        <x:v>No ejecutado</x:v>
      </x:c>
      <x:c r="P28" s="66" t="str">
        <x:v>No ejecutado</x:v>
      </x:c>
      <x:c r="Q28" s="66" t="str">
        <x:v>No ejecutado</x:v>
      </x:c>
      <x:c r="R28" s="68" t="str">
        <x:f>IF(COUNTIF(F28:Q28,"Bloqueado")&gt;0,"Bloqueado",IF(COUNTIF(F28:Q28,"Falló")&gt;0,"No conforme",IF(COUNTIF(F28:Q28,"No ejecutado")=12,"No evaluado",IF(COUNTIF(F28:Q28,"Pasó")+COUNTIF(F28:Q28,"No aplica")=12,"Conforme","Parcial"))))</x:f>
        <x:v>No evaluado</x:v>
      </x:c>
      <x:c r="S28" s="66" t="str"/>
      <x:c r="T28" s="66" t="str"/>
      <x:c r="U28" s="66" t="str"/>
    </x:row>
    <x:row r="29" ht="48" customHeight="1">
      <x:c r="A29" s="56" t="str">
        <x:v>B4-Q28</x:v>
      </x:c>
      <x:c r="B29" s="56" t="str">
        <x:v>4</x:v>
      </x:c>
      <x:c r="C29" s="56" t="str">
        <x:v>¿El orden real difiere del oficial? Cuando se bloquea, ¿qué se rompe primero y dónde se atasca con más frecuencia?</x:v>
      </x:c>
      <x:c r="D29" s="56" t="str">
        <x:v>Pantalla específica Bloque 4</x:v>
      </x:c>
      <x:c r="E29" s="66" t="str"/>
      <x:c r="F29" s="66" t="str">
        <x:v>No ejecutado</x:v>
      </x:c>
      <x:c r="G29" s="66" t="str">
        <x:v>No ejecutado</x:v>
      </x:c>
      <x:c r="H29" s="66" t="str">
        <x:v>No ejecutado</x:v>
      </x:c>
      <x:c r="I29" s="66" t="str">
        <x:v>No ejecutado</x:v>
      </x:c>
      <x:c r="J29" s="66" t="str">
        <x:v>No ejecutado</x:v>
      </x:c>
      <x:c r="K29" s="66" t="str">
        <x:v>No ejecutado</x:v>
      </x:c>
      <x:c r="L29" s="66" t="str">
        <x:v>No ejecutado</x:v>
      </x:c>
      <x:c r="M29" s="66" t="str">
        <x:v>No ejecutado</x:v>
      </x:c>
      <x:c r="N29" s="66" t="str">
        <x:v>No ejecutado</x:v>
      </x:c>
      <x:c r="O29" s="66" t="str">
        <x:v>No ejecutado</x:v>
      </x:c>
      <x:c r="P29" s="66" t="str">
        <x:v>No ejecutado</x:v>
      </x:c>
      <x:c r="Q29" s="66" t="str">
        <x:v>No ejecutado</x:v>
      </x:c>
      <x:c r="R29" s="68" t="str">
        <x:f>IF(COUNTIF(F29:Q29,"Bloqueado")&gt;0,"Bloqueado",IF(COUNTIF(F29:Q29,"Falló")&gt;0,"No conforme",IF(COUNTIF(F29:Q29,"No ejecutado")=12,"No evaluado",IF(COUNTIF(F29:Q29,"Pasó")+COUNTIF(F29:Q29,"No aplica")=12,"Conforme","Parcial"))))</x:f>
        <x:v>No evaluado</x:v>
      </x:c>
      <x:c r="S29" s="66" t="str"/>
      <x:c r="T29" s="66" t="str"/>
      <x:c r="U29" s="66" t="str"/>
    </x:row>
    <x:row r="30" ht="48" customHeight="1">
      <x:c r="A30" s="56" t="str">
        <x:v>B5-Q29</x:v>
      </x:c>
      <x:c r="B30" s="56" t="str">
        <x:v>5</x:v>
      </x:c>
      <x:c r="C30" s="56" t="str">
        <x:v>Según lo que realmente limita la actividad, ¿cuál es la capacidad nominal y cuál es la capacidad real?</x:v>
      </x:c>
      <x:c r="D30" s="56" t="str">
        <x:v>Pantalla específica Bloque 5</x:v>
      </x:c>
      <x:c r="E30" s="66" t="str"/>
      <x:c r="F30" s="66" t="str">
        <x:v>No ejecutado</x:v>
      </x:c>
      <x:c r="G30" s="66" t="str">
        <x:v>No ejecutado</x:v>
      </x:c>
      <x:c r="H30" s="66" t="str">
        <x:v>No ejecutado</x:v>
      </x:c>
      <x:c r="I30" s="66" t="str">
        <x:v>No ejecutado</x:v>
      </x:c>
      <x:c r="J30" s="66" t="str">
        <x:v>No ejecutado</x:v>
      </x:c>
      <x:c r="K30" s="66" t="str">
        <x:v>No ejecutado</x:v>
      </x:c>
      <x:c r="L30" s="66" t="str">
        <x:v>No ejecutado</x:v>
      </x:c>
      <x:c r="M30" s="66" t="str">
        <x:v>No ejecutado</x:v>
      </x:c>
      <x:c r="N30" s="66" t="str">
        <x:v>No ejecutado</x:v>
      </x:c>
      <x:c r="O30" s="66" t="str">
        <x:v>No ejecutado</x:v>
      </x:c>
      <x:c r="P30" s="66" t="str">
        <x:v>No ejecutado</x:v>
      </x:c>
      <x:c r="Q30" s="66" t="str">
        <x:v>No ejecutado</x:v>
      </x:c>
      <x:c r="R30" s="68" t="str">
        <x:f>IF(COUNTIF(F30:Q30,"Bloqueado")&gt;0,"Bloqueado",IF(COUNTIF(F30:Q30,"Falló")&gt;0,"No conforme",IF(COUNTIF(F30:Q30,"No ejecutado")=12,"No evaluado",IF(COUNTIF(F30:Q30,"Pasó")+COUNTIF(F30:Q30,"No aplica")=12,"Conforme","Parcial"))))</x:f>
        <x:v>No evaluado</x:v>
      </x:c>
      <x:c r="S30" s="66" t="str"/>
      <x:c r="T30" s="66" t="str"/>
      <x:c r="U30" s="66" t="str"/>
    </x:row>
    <x:row r="31" ht="48" customHeight="1">
      <x:c r="A31" s="56" t="str">
        <x:v>B5-Q30</x:v>
      </x:c>
      <x:c r="B31" s="56" t="str">
        <x:v>5</x:v>
      </x:c>
      <x:c r="C31" s="56" t="str">
        <x:v>¿Con cuántas personas, sistemas/herramientas y tiempo oficial cuentas realmente?</x:v>
      </x:c>
      <x:c r="D31" s="56" t="str">
        <x:v>Pantalla específica Bloque 5</x:v>
      </x:c>
      <x:c r="E31" s="66" t="str"/>
      <x:c r="F31" s="66" t="str">
        <x:v>No ejecutado</x:v>
      </x:c>
      <x:c r="G31" s="66" t="str">
        <x:v>No ejecutado</x:v>
      </x:c>
      <x:c r="H31" s="66" t="str">
        <x:v>No ejecutado</x:v>
      </x:c>
      <x:c r="I31" s="66" t="str">
        <x:v>No ejecutado</x:v>
      </x:c>
      <x:c r="J31" s="66" t="str">
        <x:v>No ejecutado</x:v>
      </x:c>
      <x:c r="K31" s="66" t="str">
        <x:v>No ejecutado</x:v>
      </x:c>
      <x:c r="L31" s="66" t="str">
        <x:v>No ejecutado</x:v>
      </x:c>
      <x:c r="M31" s="66" t="str">
        <x:v>No ejecutado</x:v>
      </x:c>
      <x:c r="N31" s="66" t="str">
        <x:v>No ejecutado</x:v>
      </x:c>
      <x:c r="O31" s="66" t="str">
        <x:v>No ejecutado</x:v>
      </x:c>
      <x:c r="P31" s="66" t="str">
        <x:v>No ejecutado</x:v>
      </x:c>
      <x:c r="Q31" s="66" t="str">
        <x:v>No ejecutado</x:v>
      </x:c>
      <x:c r="R31" s="68" t="str">
        <x:f>IF(COUNTIF(F31:Q31,"Bloqueado")&gt;0,"Bloqueado",IF(COUNTIF(F31:Q31,"Falló")&gt;0,"No conforme",IF(COUNTIF(F31:Q31,"No ejecutado")=12,"No evaluado",IF(COUNTIF(F31:Q31,"Pasó")+COUNTIF(F31:Q31,"No aplica")=12,"Conforme","Parcial"))))</x:f>
        <x:v>No evaluado</x:v>
      </x:c>
      <x:c r="S31" s="66" t="str"/>
      <x:c r="T31" s="66" t="str"/>
      <x:c r="U31" s="66" t="str"/>
    </x:row>
    <x:row r="32" ht="48" customHeight="1">
      <x:c r="A32" s="56" t="str">
        <x:v>B5-Q31</x:v>
      </x:c>
      <x:c r="B32" s="56" t="str">
        <x:v>5</x:v>
      </x:c>
      <x:c r="C32" s="56" t="str">
        <x:v>Para hacerlo bien y sin sacrificios recurrentes, ¿qué personas o tiempo necesitarías realmente?</x:v>
      </x:c>
      <x:c r="D32" s="56" t="str">
        <x:v>Pantalla específica Bloque 5</x:v>
      </x:c>
      <x:c r="E32" s="66" t="str"/>
      <x:c r="F32" s="66" t="str">
        <x:v>No ejecutado</x:v>
      </x:c>
      <x:c r="G32" s="66" t="str">
        <x:v>No ejecutado</x:v>
      </x:c>
      <x:c r="H32" s="66" t="str">
        <x:v>No ejecutado</x:v>
      </x:c>
      <x:c r="I32" s="66" t="str">
        <x:v>No ejecutado</x:v>
      </x:c>
      <x:c r="J32" s="66" t="str">
        <x:v>No ejecutado</x:v>
      </x:c>
      <x:c r="K32" s="66" t="str">
        <x:v>No ejecutado</x:v>
      </x:c>
      <x:c r="L32" s="66" t="str">
        <x:v>No ejecutado</x:v>
      </x:c>
      <x:c r="M32" s="66" t="str">
        <x:v>No ejecutado</x:v>
      </x:c>
      <x:c r="N32" s="66" t="str">
        <x:v>No ejecutado</x:v>
      </x:c>
      <x:c r="O32" s="66" t="str">
        <x:v>No ejecutado</x:v>
      </x:c>
      <x:c r="P32" s="66" t="str">
        <x:v>No ejecutado</x:v>
      </x:c>
      <x:c r="Q32" s="66" t="str">
        <x:v>No ejecutado</x:v>
      </x:c>
      <x:c r="R32" s="68" t="str">
        <x:f>IF(COUNTIF(F32:Q32,"Bloqueado")&gt;0,"Bloqueado",IF(COUNTIF(F32:Q32,"Falló")&gt;0,"No conforme",IF(COUNTIF(F32:Q32,"No ejecutado")=12,"No evaluado",IF(COUNTIF(F32:Q32,"Pasó")+COUNTIF(F32:Q32,"No aplica")=12,"Conforme","Parcial"))))</x:f>
        <x:v>No evaluado</x:v>
      </x:c>
      <x:c r="S32" s="66" t="str"/>
      <x:c r="T32" s="66" t="str"/>
      <x:c r="U32" s="66" t="str"/>
    </x:row>
    <x:row r="33" ht="48" customHeight="1">
      <x:c r="A33" s="56" t="str">
        <x:v>B5-Q32</x:v>
      </x:c>
      <x:c r="B33" s="56" t="str">
        <x:v>5</x:v>
      </x:c>
      <x:c r="C33" s="56" t="str">
        <x:v>¿En qué decisiones tienes libertad y qué límites no puedes cruzar?</x:v>
      </x:c>
      <x:c r="D33" s="56" t="str">
        <x:v>Pantalla específica Bloque 5</x:v>
      </x:c>
      <x:c r="E33" s="66" t="str"/>
      <x:c r="F33" s="66" t="str">
        <x:v>No ejecutado</x:v>
      </x:c>
      <x:c r="G33" s="66" t="str">
        <x:v>No ejecutado</x:v>
      </x:c>
      <x:c r="H33" s="66" t="str">
        <x:v>No ejecutado</x:v>
      </x:c>
      <x:c r="I33" s="66" t="str">
        <x:v>No ejecutado</x:v>
      </x:c>
      <x:c r="J33" s="66" t="str">
        <x:v>No ejecutado</x:v>
      </x:c>
      <x:c r="K33" s="66" t="str">
        <x:v>No ejecutado</x:v>
      </x:c>
      <x:c r="L33" s="66" t="str">
        <x:v>No ejecutado</x:v>
      </x:c>
      <x:c r="M33" s="66" t="str">
        <x:v>No ejecutado</x:v>
      </x:c>
      <x:c r="N33" s="66" t="str">
        <x:v>No ejecutado</x:v>
      </x:c>
      <x:c r="O33" s="66" t="str">
        <x:v>No ejecutado</x:v>
      </x:c>
      <x:c r="P33" s="66" t="str">
        <x:v>No ejecutado</x:v>
      </x:c>
      <x:c r="Q33" s="66" t="str">
        <x:v>No ejecutado</x:v>
      </x:c>
      <x:c r="R33" s="68" t="str">
        <x:f>IF(COUNTIF(F33:Q33,"Bloqueado")&gt;0,"Bloqueado",IF(COUNTIF(F33:Q33,"Falló")&gt;0,"No conforme",IF(COUNTIF(F33:Q33,"No ejecutado")=12,"No evaluado",IF(COUNTIF(F33:Q33,"Pasó")+COUNTIF(F33:Q33,"No aplica")=12,"Conforme","Parcial"))))</x:f>
        <x:v>No evaluado</x:v>
      </x:c>
      <x:c r="S33" s="66" t="str"/>
      <x:c r="T33" s="66" t="str"/>
      <x:c r="U33" s="66" t="str"/>
    </x:row>
    <x:row r="34" ht="48" customHeight="1">
      <x:c r="A34" s="56" t="str">
        <x:v>B5-Q33</x:v>
      </x:c>
      <x:c r="B34" s="56" t="str">
        <x:v>5</x:v>
      </x:c>
      <x:c r="C34" s="56" t="str">
        <x:v>Para cumplir con los límites actuales, ¿qué sacrificas, qué casos no puedes absorber y qué tan sostenible es?</x:v>
      </x:c>
      <x:c r="D34" s="56" t="str">
        <x:v>Pantalla específica Bloque 5</x:v>
      </x:c>
      <x:c r="E34" s="66" t="str"/>
      <x:c r="F34" s="66" t="str">
        <x:v>No ejecutado</x:v>
      </x:c>
      <x:c r="G34" s="66" t="str">
        <x:v>No ejecutado</x:v>
      </x:c>
      <x:c r="H34" s="66" t="str">
        <x:v>No ejecutado</x:v>
      </x:c>
      <x:c r="I34" s="66" t="str">
        <x:v>No ejecutado</x:v>
      </x:c>
      <x:c r="J34" s="66" t="str">
        <x:v>No ejecutado</x:v>
      </x:c>
      <x:c r="K34" s="66" t="str">
        <x:v>No ejecutado</x:v>
      </x:c>
      <x:c r="L34" s="66" t="str">
        <x:v>No ejecutado</x:v>
      </x:c>
      <x:c r="M34" s="66" t="str">
        <x:v>No ejecutado</x:v>
      </x:c>
      <x:c r="N34" s="66" t="str">
        <x:v>No ejecutado</x:v>
      </x:c>
      <x:c r="O34" s="66" t="str">
        <x:v>No ejecutado</x:v>
      </x:c>
      <x:c r="P34" s="66" t="str">
        <x:v>No ejecutado</x:v>
      </x:c>
      <x:c r="Q34" s="66" t="str">
        <x:v>No ejecutado</x:v>
      </x:c>
      <x:c r="R34" s="68" t="str">
        <x:f>IF(COUNTIF(F34:Q34,"Bloqueado")&gt;0,"Bloqueado",IF(COUNTIF(F34:Q34,"Falló")&gt;0,"No conforme",IF(COUNTIF(F34:Q34,"No ejecutado")=12,"No evaluado",IF(COUNTIF(F34:Q34,"Pasó")+COUNTIF(F34:Q34,"No aplica")=12,"Conforme","Parcial"))))</x:f>
        <x:v>No evaluado</x:v>
      </x:c>
      <x:c r="S34" s="66" t="str"/>
      <x:c r="T34" s="66" t="str"/>
      <x:c r="U34" s="66" t="str"/>
    </x:row>
    <x:row r="35" ht="48" customHeight="1">
      <x:c r="A35" s="56" t="str">
        <x:v>B6-Q34</x:v>
      </x:c>
      <x:c r="B35" s="56" t="str">
        <x:v>6</x:v>
      </x:c>
      <x:c r="C35" s="56" t="str">
        <x:v>Cuando esto no sale como debería, ¿qué haces tú para que no se caiga?</x:v>
      </x:c>
      <x:c r="D35" s="56" t="str">
        <x:v>Pantalla específica Bloque 6</x:v>
      </x:c>
      <x:c r="E35" s="66" t="str"/>
      <x:c r="F35" s="66" t="str">
        <x:v>No ejecutado</x:v>
      </x:c>
      <x:c r="G35" s="66" t="str">
        <x:v>No ejecutado</x:v>
      </x:c>
      <x:c r="H35" s="66" t="str">
        <x:v>No ejecutado</x:v>
      </x:c>
      <x:c r="I35" s="66" t="str">
        <x:v>No ejecutado</x:v>
      </x:c>
      <x:c r="J35" s="66" t="str">
        <x:v>No ejecutado</x:v>
      </x:c>
      <x:c r="K35" s="66" t="str">
        <x:v>No ejecutado</x:v>
      </x:c>
      <x:c r="L35" s="66" t="str">
        <x:v>No ejecutado</x:v>
      </x:c>
      <x:c r="M35" s="66" t="str">
        <x:v>No ejecutado</x:v>
      </x:c>
      <x:c r="N35" s="66" t="str">
        <x:v>No ejecutado</x:v>
      </x:c>
      <x:c r="O35" s="66" t="str">
        <x:v>No ejecutado</x:v>
      </x:c>
      <x:c r="P35" s="66" t="str">
        <x:v>No ejecutado</x:v>
      </x:c>
      <x:c r="Q35" s="66" t="str">
        <x:v>No ejecutado</x:v>
      </x:c>
      <x:c r="R35" s="68" t="str">
        <x:f>IF(COUNTIF(F35:Q35,"Bloqueado")&gt;0,"Bloqueado",IF(COUNTIF(F35:Q35,"Falló")&gt;0,"No conforme",IF(COUNTIF(F35:Q35,"No ejecutado")=12,"No evaluado",IF(COUNTIF(F35:Q35,"Pasó")+COUNTIF(F35:Q35,"No aplica")=12,"Conforme","Parcial"))))</x:f>
        <x:v>No evaluado</x:v>
      </x:c>
      <x:c r="S35" s="66" t="str"/>
      <x:c r="T35" s="66" t="str"/>
      <x:c r="U35" s="66" t="str"/>
    </x:row>
    <x:row r="36" ht="48" customHeight="1">
      <x:c r="A36" s="56" t="str">
        <x:v>B6-Q35</x:v>
      </x:c>
      <x:c r="B36" s="56" t="str">
        <x:v>6</x:v>
      </x:c>
      <x:c r="C36" s="56" t="str">
        <x:v>¿Hay trabajo que tengas que hacer más de una vez, algo que regresa o hay que corregir?</x:v>
      </x:c>
      <x:c r="D36" s="56" t="str">
        <x:v>Pantalla específica Bloque 6</x:v>
      </x:c>
      <x:c r="E36" s="66" t="str"/>
      <x:c r="F36" s="66" t="str">
        <x:v>No ejecutado</x:v>
      </x:c>
      <x:c r="G36" s="66" t="str">
        <x:v>No ejecutado</x:v>
      </x:c>
      <x:c r="H36" s="66" t="str">
        <x:v>No ejecutado</x:v>
      </x:c>
      <x:c r="I36" s="66" t="str">
        <x:v>No ejecutado</x:v>
      </x:c>
      <x:c r="J36" s="66" t="str">
        <x:v>No ejecutado</x:v>
      </x:c>
      <x:c r="K36" s="66" t="str">
        <x:v>No ejecutado</x:v>
      </x:c>
      <x:c r="L36" s="66" t="str">
        <x:v>No ejecutado</x:v>
      </x:c>
      <x:c r="M36" s="66" t="str">
        <x:v>No ejecutado</x:v>
      </x:c>
      <x:c r="N36" s="66" t="str">
        <x:v>No ejecutado</x:v>
      </x:c>
      <x:c r="O36" s="66" t="str">
        <x:v>No ejecutado</x:v>
      </x:c>
      <x:c r="P36" s="66" t="str">
        <x:v>No ejecutado</x:v>
      </x:c>
      <x:c r="Q36" s="66" t="str">
        <x:v>No ejecutado</x:v>
      </x:c>
      <x:c r="R36" s="68" t="str">
        <x:f>IF(COUNTIF(F36:Q36,"Bloqueado")&gt;0,"Bloqueado",IF(COUNTIF(F36:Q36,"Falló")&gt;0,"No conforme",IF(COUNTIF(F36:Q36,"No ejecutado")=12,"No evaluado",IF(COUNTIF(F36:Q36,"Pasó")+COUNTIF(F36:Q36,"No aplica")=12,"Conforme","Parcial"))))</x:f>
        <x:v>No evaluado</x:v>
      </x:c>
      <x:c r="S36" s="66" t="str"/>
      <x:c r="T36" s="66" t="str"/>
      <x:c r="U36" s="66" t="str"/>
    </x:row>
    <x:row r="37" ht="48" customHeight="1">
      <x:c r="A37" s="56" t="str">
        <x:v>B6-Q36</x:v>
      </x:c>
      <x:c r="B37" s="56" t="str">
        <x:v>6</x:v>
      </x:c>
      <x:c r="C37" s="56" t="str">
        <x:v>¿Hay información/aprobación/claridad que no llega cuando se necesita, o algo que haces fuera del procedimiento porque es la única forma?</x:v>
      </x:c>
      <x:c r="D37" s="56" t="str">
        <x:v>Pantalla específica Bloque 6</x:v>
      </x:c>
      <x:c r="E37" s="66" t="str"/>
      <x:c r="F37" s="66" t="str">
        <x:v>No ejecutado</x:v>
      </x:c>
      <x:c r="G37" s="66" t="str">
        <x:v>No ejecutado</x:v>
      </x:c>
      <x:c r="H37" s="66" t="str">
        <x:v>No ejecutado</x:v>
      </x:c>
      <x:c r="I37" s="66" t="str">
        <x:v>No ejecutado</x:v>
      </x:c>
      <x:c r="J37" s="66" t="str">
        <x:v>No ejecutado</x:v>
      </x:c>
      <x:c r="K37" s="66" t="str">
        <x:v>No ejecutado</x:v>
      </x:c>
      <x:c r="L37" s="66" t="str">
        <x:v>No ejecutado</x:v>
      </x:c>
      <x:c r="M37" s="66" t="str">
        <x:v>No ejecutado</x:v>
      </x:c>
      <x:c r="N37" s="66" t="str">
        <x:v>No ejecutado</x:v>
      </x:c>
      <x:c r="O37" s="66" t="str">
        <x:v>No ejecutado</x:v>
      </x:c>
      <x:c r="P37" s="66" t="str">
        <x:v>No ejecutado</x:v>
      </x:c>
      <x:c r="Q37" s="66" t="str">
        <x:v>No ejecutado</x:v>
      </x:c>
      <x:c r="R37" s="68" t="str">
        <x:f>IF(COUNTIF(F37:Q37,"Bloqueado")&gt;0,"Bloqueado",IF(COUNTIF(F37:Q37,"Falló")&gt;0,"No conforme",IF(COUNTIF(F37:Q37,"No ejecutado")=12,"No evaluado",IF(COUNTIF(F37:Q37,"Pasó")+COUNTIF(F37:Q37,"No aplica")=12,"Conforme","Parcial"))))</x:f>
        <x:v>No evaluado</x:v>
      </x:c>
      <x:c r="S37" s="66" t="str"/>
      <x:c r="T37" s="66" t="str"/>
      <x:c r="U37" s="66" t="str"/>
    </x:row>
    <x:row r="38" ht="48" customHeight="1">
      <x:c r="A38" s="56" t="str">
        <x:v>B6-Q37</x:v>
      </x:c>
      <x:c r="B38" s="56" t="str">
        <x:v>6</x:v>
      </x:c>
      <x:c r="C38" s="56" t="str">
        <x:v>¿Qué sacrificas para que funcione, cómo te afecta con el tiempo y cuánto esfuerzo cuesta hacerlo bien?</x:v>
      </x:c>
      <x:c r="D38" s="56" t="str">
        <x:v>Pantalla específica Bloque 6</x:v>
      </x:c>
      <x:c r="E38" s="66" t="str"/>
      <x:c r="F38" s="66" t="str">
        <x:v>No ejecutado</x:v>
      </x:c>
      <x:c r="G38" s="66" t="str">
        <x:v>No ejecutado</x:v>
      </x:c>
      <x:c r="H38" s="66" t="str">
        <x:v>No ejecutado</x:v>
      </x:c>
      <x:c r="I38" s="66" t="str">
        <x:v>No ejecutado</x:v>
      </x:c>
      <x:c r="J38" s="66" t="str">
        <x:v>No ejecutado</x:v>
      </x:c>
      <x:c r="K38" s="66" t="str">
        <x:v>No ejecutado</x:v>
      </x:c>
      <x:c r="L38" s="66" t="str">
        <x:v>No ejecutado</x:v>
      </x:c>
      <x:c r="M38" s="66" t="str">
        <x:v>No ejecutado</x:v>
      </x:c>
      <x:c r="N38" s="66" t="str">
        <x:v>No ejecutado</x:v>
      </x:c>
      <x:c r="O38" s="66" t="str">
        <x:v>No ejecutado</x:v>
      </x:c>
      <x:c r="P38" s="66" t="str">
        <x:v>No ejecutado</x:v>
      </x:c>
      <x:c r="Q38" s="66" t="str">
        <x:v>No ejecutado</x:v>
      </x:c>
      <x:c r="R38" s="68" t="str">
        <x:f>IF(COUNTIF(F38:Q38,"Bloqueado")&gt;0,"Bloqueado",IF(COUNTIF(F38:Q38,"Falló")&gt;0,"No conforme",IF(COUNTIF(F38:Q38,"No ejecutado")=12,"No evaluado",IF(COUNTIF(F38:Q38,"Pasó")+COUNTIF(F38:Q38,"No aplica")=12,"Conforme","Parcial"))))</x:f>
        <x:v>No evaluado</x:v>
      </x:c>
      <x:c r="S38" s="66" t="str"/>
      <x:c r="T38" s="66" t="str"/>
      <x:c r="U38" s="66" t="str"/>
    </x:row>
    <x:row r="39" ht="48" customHeight="1">
      <x:c r="A39" s="56" t="str">
        <x:v>B6-Q38</x:v>
      </x:c>
      <x:c r="B39" s="56" t="str">
        <x:v>6</x:v>
      </x:c>
      <x:c r="C39" s="56" t="str">
        <x:v>¿Hay algo que siempre falla bajo las mismas circunstancias, qué trabajo extra absorbes y cuál es tu mecanismo principal para sostenerlo?</x:v>
      </x:c>
      <x:c r="D39" s="56" t="str">
        <x:v>Pantalla específica Bloque 6</x:v>
      </x:c>
      <x:c r="E39" s="66" t="str"/>
      <x:c r="F39" s="66" t="str">
        <x:v>No ejecutado</x:v>
      </x:c>
      <x:c r="G39" s="66" t="str">
        <x:v>No ejecutado</x:v>
      </x:c>
      <x:c r="H39" s="66" t="str">
        <x:v>No ejecutado</x:v>
      </x:c>
      <x:c r="I39" s="66" t="str">
        <x:v>No ejecutado</x:v>
      </x:c>
      <x:c r="J39" s="66" t="str">
        <x:v>No ejecutado</x:v>
      </x:c>
      <x:c r="K39" s="66" t="str">
        <x:v>No ejecutado</x:v>
      </x:c>
      <x:c r="L39" s="66" t="str">
        <x:v>No ejecutado</x:v>
      </x:c>
      <x:c r="M39" s="66" t="str">
        <x:v>No ejecutado</x:v>
      </x:c>
      <x:c r="N39" s="66" t="str">
        <x:v>No ejecutado</x:v>
      </x:c>
      <x:c r="O39" s="66" t="str">
        <x:v>No ejecutado</x:v>
      </x:c>
      <x:c r="P39" s="66" t="str">
        <x:v>No ejecutado</x:v>
      </x:c>
      <x:c r="Q39" s="66" t="str">
        <x:v>No ejecutado</x:v>
      </x:c>
      <x:c r="R39" s="68" t="str">
        <x:f>IF(COUNTIF(F39:Q39,"Bloqueado")&gt;0,"Bloqueado",IF(COUNTIF(F39:Q39,"Falló")&gt;0,"No conforme",IF(COUNTIF(F39:Q39,"No ejecutado")=12,"No evaluado",IF(COUNTIF(F39:Q39,"Pasó")+COUNTIF(F39:Q39,"No aplica")=12,"Conforme","Parcial"))))</x:f>
        <x:v>No evaluado</x:v>
      </x:c>
      <x:c r="S39" s="66" t="str"/>
      <x:c r="T39" s="66" t="str"/>
      <x:c r="U39" s="66" t="str"/>
    </x:row>
    <x:row r="40" ht="48" customHeight="1">
      <x:c r="A40" s="56" t="str">
        <x:v>B7-Q39</x:v>
      </x:c>
      <x:c r="B40" s="56" t="str">
        <x:v>7</x:v>
      </x:c>
      <x:c r="C40" s="56" t="str">
        <x:v>La lectura preliminar sugiere que esto es principalmente [tipo sugerido] y que su misión es [misión sugerida]. ¿Es correcto o lo cambiarías?</x:v>
      </x:c>
      <x:c r="D40" s="56" t="str">
        <x:v>Pantalla específica Bloque 7</x:v>
      </x:c>
      <x:c r="E40" s="66" t="str"/>
      <x:c r="F40" s="66" t="str">
        <x:v>No ejecutado</x:v>
      </x:c>
      <x:c r="G40" s="66" t="str">
        <x:v>No ejecutado</x:v>
      </x:c>
      <x:c r="H40" s="66" t="str">
        <x:v>No ejecutado</x:v>
      </x:c>
      <x:c r="I40" s="66" t="str">
        <x:v>No ejecutado</x:v>
      </x:c>
      <x:c r="J40" s="66" t="str">
        <x:v>No ejecutado</x:v>
      </x:c>
      <x:c r="K40" s="66" t="str">
        <x:v>No ejecutado</x:v>
      </x:c>
      <x:c r="L40" s="66" t="str">
        <x:v>No ejecutado</x:v>
      </x:c>
      <x:c r="M40" s="66" t="str">
        <x:v>No ejecutado</x:v>
      </x:c>
      <x:c r="N40" s="66" t="str">
        <x:v>No ejecutado</x:v>
      </x:c>
      <x:c r="O40" s="66" t="str">
        <x:v>No ejecutado</x:v>
      </x:c>
      <x:c r="P40" s="66" t="str">
        <x:v>No ejecutado</x:v>
      </x:c>
      <x:c r="Q40" s="66" t="str">
        <x:v>No ejecutado</x:v>
      </x:c>
      <x:c r="R40" s="68" t="str">
        <x:f>IF(COUNTIF(F40:Q40,"Bloqueado")&gt;0,"Bloqueado",IF(COUNTIF(F40:Q40,"Falló")&gt;0,"No conforme",IF(COUNTIF(F40:Q40,"No ejecutado")=12,"No evaluado",IF(COUNTIF(F40:Q40,"Pasó")+COUNTIF(F40:Q40,"No aplica")=12,"Conforme","Parcial"))))</x:f>
        <x:v>No evaluado</x:v>
      </x:c>
      <x:c r="S40" s="66" t="str"/>
      <x:c r="T40" s="66" t="str"/>
      <x:c r="U40" s="66" t="str"/>
    </x:row>
    <x:row r="41" ht="48" customHeight="1">
      <x:c r="A41" s="56" t="str">
        <x:v>B7-Q40</x:v>
      </x:c>
      <x:c r="B41" s="56" t="str">
        <x:v>7</x:v>
      </x:c>
      <x:c r="C41" s="56" t="str">
        <x:v>En el flujo, ¿esto opera como primer paso, paso intermedio o cierre? Si además ves tensión entre áreas/personas, ¿es parte relevante del trabajo?</x:v>
      </x:c>
      <x:c r="D41" s="56" t="str">
        <x:v>Pantalla específica Bloque 7</x:v>
      </x:c>
      <x:c r="E41" s="66" t="str"/>
      <x:c r="F41" s="66" t="str">
        <x:v>No ejecutado</x:v>
      </x:c>
      <x:c r="G41" s="66" t="str">
        <x:v>No ejecutado</x:v>
      </x:c>
      <x:c r="H41" s="66" t="str">
        <x:v>No ejecutado</x:v>
      </x:c>
      <x:c r="I41" s="66" t="str">
        <x:v>No ejecutado</x:v>
      </x:c>
      <x:c r="J41" s="66" t="str">
        <x:v>No ejecutado</x:v>
      </x:c>
      <x:c r="K41" s="66" t="str">
        <x:v>No ejecutado</x:v>
      </x:c>
      <x:c r="L41" s="66" t="str">
        <x:v>No ejecutado</x:v>
      </x:c>
      <x:c r="M41" s="66" t="str">
        <x:v>No ejecutado</x:v>
      </x:c>
      <x:c r="N41" s="66" t="str">
        <x:v>No ejecutado</x:v>
      </x:c>
      <x:c r="O41" s="66" t="str">
        <x:v>No ejecutado</x:v>
      </x:c>
      <x:c r="P41" s="66" t="str">
        <x:v>No ejecutado</x:v>
      </x:c>
      <x:c r="Q41" s="66" t="str">
        <x:v>No ejecutado</x:v>
      </x:c>
      <x:c r="R41" s="68" t="str">
        <x:f>IF(COUNTIF(F41:Q41,"Bloqueado")&gt;0,"Bloqueado",IF(COUNTIF(F41:Q41,"Falló")&gt;0,"No conforme",IF(COUNTIF(F41:Q41,"No ejecutado")=12,"No evaluado",IF(COUNTIF(F41:Q41,"Pasó")+COUNTIF(F41:Q41,"No aplica")=12,"Conforme","Parcial"))))</x:f>
        <x:v>No evaluado</x:v>
      </x:c>
      <x:c r="S41" s="66" t="str"/>
      <x:c r="T41" s="66" t="str"/>
      <x:c r="U41" s="66" t="str"/>
    </x:row>
    <x:row r="42" ht="48" customHeight="1">
      <x:c r="A42" s="56" t="str">
        <x:v>C01</x:v>
      </x:c>
      <x:c r="B42" s="56" t="str">
        <x:v>0</x:v>
      </x:c>
      <x:c r="C42" s="56" t="str">
        <x:v>Si cambia la frecuencia o la forma de hacerla, ¿qué lo provoca y cuál es el caso especial más común?</x:v>
      </x:c>
      <x:c r="D42" s="56" t="str">
        <x:v>Pantalla específica Bloque 0</x:v>
      </x:c>
      <x:c r="E42" s="66" t="str"/>
      <x:c r="F42" s="66" t="str">
        <x:v>No ejecutado</x:v>
      </x:c>
      <x:c r="G42" s="66" t="str">
        <x:v>No ejecutado</x:v>
      </x:c>
      <x:c r="H42" s="66" t="str">
        <x:v>No ejecutado</x:v>
      </x:c>
      <x:c r="I42" s="66" t="str">
        <x:v>No ejecutado</x:v>
      </x:c>
      <x:c r="J42" s="66" t="str">
        <x:v>No ejecutado</x:v>
      </x:c>
      <x:c r="K42" s="66" t="str">
        <x:v>No ejecutado</x:v>
      </x:c>
      <x:c r="L42" s="66" t="str">
        <x:v>No ejecutado</x:v>
      </x:c>
      <x:c r="M42" s="66" t="str">
        <x:v>No ejecutado</x:v>
      </x:c>
      <x:c r="N42" s="66" t="str">
        <x:v>No ejecutado</x:v>
      </x:c>
      <x:c r="O42" s="66" t="str">
        <x:v>No ejecutado</x:v>
      </x:c>
      <x:c r="P42" s="66" t="str">
        <x:v>No ejecutado</x:v>
      </x:c>
      <x:c r="Q42" s="66" t="str">
        <x:v>No ejecutado</x:v>
      </x:c>
      <x:c r="R42" s="68" t="str">
        <x:f>IF(COUNTIF(F42:Q42,"Bloqueado")&gt;0,"Bloqueado",IF(COUNTIF(F42:Q42,"Falló")&gt;0,"No conforme",IF(COUNTIF(F42:Q42,"No ejecutado")=12,"No evaluado",IF(COUNTIF(F42:Q42,"Pasó")+COUNTIF(F42:Q42,"No aplica")=12,"Conforme","Parcial"))))</x:f>
        <x:v>No evaluado</x:v>
      </x:c>
      <x:c r="S42" s="66" t="str"/>
      <x:c r="T42" s="66" t="str"/>
      <x:c r="U42" s="66" t="str"/>
    </x:row>
    <x:row r="43" ht="48" customHeight="1">
      <x:c r="A43" s="56" t="str">
        <x:v>C02</x:v>
      </x:c>
      <x:c r="B43" s="56" t="str">
        <x:v>0.5</x:v>
      </x:c>
      <x:c r="C43" s="56" t="str">
        <x:v>Si quien se beneficia y quien sufre son distintos, ¿quién recibe primero beneficio y quién absorbe primero daño? ¿Qué hito real se desbloquea?</x:v>
      </x:c>
      <x:c r="D43" s="56" t="str">
        <x:v>Pantalla específica Bloque 0.5</x:v>
      </x:c>
      <x:c r="E43" s="66" t="str"/>
      <x:c r="F43" s="66" t="str">
        <x:v>No ejecutado</x:v>
      </x:c>
      <x:c r="G43" s="66" t="str">
        <x:v>No ejecutado</x:v>
      </x:c>
      <x:c r="H43" s="66" t="str">
        <x:v>No ejecutado</x:v>
      </x:c>
      <x:c r="I43" s="66" t="str">
        <x:v>No ejecutado</x:v>
      </x:c>
      <x:c r="J43" s="66" t="str">
        <x:v>No ejecutado</x:v>
      </x:c>
      <x:c r="K43" s="66" t="str">
        <x:v>No ejecutado</x:v>
      </x:c>
      <x:c r="L43" s="66" t="str">
        <x:v>No ejecutado</x:v>
      </x:c>
      <x:c r="M43" s="66" t="str">
        <x:v>No ejecutado</x:v>
      </x:c>
      <x:c r="N43" s="66" t="str">
        <x:v>No ejecutado</x:v>
      </x:c>
      <x:c r="O43" s="66" t="str">
        <x:v>No ejecutado</x:v>
      </x:c>
      <x:c r="P43" s="66" t="str">
        <x:v>No ejecutado</x:v>
      </x:c>
      <x:c r="Q43" s="66" t="str">
        <x:v>No ejecutado</x:v>
      </x:c>
      <x:c r="R43" s="68" t="str">
        <x:f>IF(COUNTIF(F43:Q43,"Bloqueado")&gt;0,"Bloqueado",IF(COUNTIF(F43:Q43,"Falló")&gt;0,"No conforme",IF(COUNTIF(F43:Q43,"No ejecutado")=12,"No evaluado",IF(COUNTIF(F43:Q43,"Pasó")+COUNTIF(F43:Q43,"No aplica")=12,"Conforme","Parcial"))))</x:f>
        <x:v>No evaluado</x:v>
      </x:c>
      <x:c r="S43" s="66" t="str"/>
      <x:c r="T43" s="66" t="str"/>
      <x:c r="U43" s="66" t="str"/>
    </x:row>
    <x:row r="44" ht="48" customHeight="1">
      <x:c r="A44" s="56" t="str">
        <x:v>C03</x:v>
      </x:c>
      <x:c r="B44" s="56" t="str">
        <x:v>1</x:v>
      </x:c>
      <x:c r="C44" s="56" t="str">
        <x:v>Si debería comenzar y no comienza, ¿qué ocurre y cuál es la primera señal? Si la señal es ambigua o contradictoria, ¿qué manda realmente?</x:v>
      </x:c>
      <x:c r="D44" s="56" t="str">
        <x:v>Pantalla específica Bloque 1</x:v>
      </x:c>
      <x:c r="E44" s="66" t="str"/>
      <x:c r="F44" s="66" t="str">
        <x:v>No ejecutado</x:v>
      </x:c>
      <x:c r="G44" s="66" t="str">
        <x:v>No ejecutado</x:v>
      </x:c>
      <x:c r="H44" s="66" t="str">
        <x:v>No ejecutado</x:v>
      </x:c>
      <x:c r="I44" s="66" t="str">
        <x:v>No ejecutado</x:v>
      </x:c>
      <x:c r="J44" s="66" t="str">
        <x:v>No ejecutado</x:v>
      </x:c>
      <x:c r="K44" s="66" t="str">
        <x:v>No ejecutado</x:v>
      </x:c>
      <x:c r="L44" s="66" t="str">
        <x:v>No ejecutado</x:v>
      </x:c>
      <x:c r="M44" s="66" t="str">
        <x:v>No ejecutado</x:v>
      </x:c>
      <x:c r="N44" s="66" t="str">
        <x:v>No ejecutado</x:v>
      </x:c>
      <x:c r="O44" s="66" t="str">
        <x:v>No ejecutado</x:v>
      </x:c>
      <x:c r="P44" s="66" t="str">
        <x:v>No ejecutado</x:v>
      </x:c>
      <x:c r="Q44" s="66" t="str">
        <x:v>No ejecutado</x:v>
      </x:c>
      <x:c r="R44" s="68" t="str">
        <x:f>IF(COUNTIF(F44:Q44,"Bloqueado")&gt;0,"Bloqueado",IF(COUNTIF(F44:Q44,"Falló")&gt;0,"No conforme",IF(COUNTIF(F44:Q44,"No ejecutado")=12,"No evaluado",IF(COUNTIF(F44:Q44,"Pasó")+COUNTIF(F44:Q44,"No aplica")=12,"Conforme","Parcial"))))</x:f>
        <x:v>No evaluado</x:v>
      </x:c>
      <x:c r="S44" s="66" t="str"/>
      <x:c r="T44" s="66" t="str"/>
      <x:c r="U44" s="66" t="str"/>
    </x:row>
    <x:row r="45" ht="48" customHeight="1">
      <x:c r="A45" s="56" t="str">
        <x:v>C04</x:v>
      </x:c>
      <x:c r="B45" s="56" t="str">
        <x:v>2</x:v>
      </x:c>
      <x:c r="C45" s="56" t="str">
        <x:v>Si hay objeto, sujeto y acción mezclados, ¿cuál limita realmente la transformación y en qué orden importan?</x:v>
      </x:c>
      <x:c r="D45" s="56" t="str">
        <x:v>Pantalla específica Bloque 2</x:v>
      </x:c>
      <x:c r="E45" s="66" t="str"/>
      <x:c r="F45" s="66" t="str">
        <x:v>No ejecutado</x:v>
      </x:c>
      <x:c r="G45" s="66" t="str">
        <x:v>No ejecutado</x:v>
      </x:c>
      <x:c r="H45" s="66" t="str">
        <x:v>No ejecutado</x:v>
      </x:c>
      <x:c r="I45" s="66" t="str">
        <x:v>No ejecutado</x:v>
      </x:c>
      <x:c r="J45" s="66" t="str">
        <x:v>No ejecutado</x:v>
      </x:c>
      <x:c r="K45" s="66" t="str">
        <x:v>No ejecutado</x:v>
      </x:c>
      <x:c r="L45" s="66" t="str">
        <x:v>No ejecutado</x:v>
      </x:c>
      <x:c r="M45" s="66" t="str">
        <x:v>No ejecutado</x:v>
      </x:c>
      <x:c r="N45" s="66" t="str">
        <x:v>No ejecutado</x:v>
      </x:c>
      <x:c r="O45" s="66" t="str">
        <x:v>No ejecutado</x:v>
      </x:c>
      <x:c r="P45" s="66" t="str">
        <x:v>No ejecutado</x:v>
      </x:c>
      <x:c r="Q45" s="66" t="str">
        <x:v>No ejecutado</x:v>
      </x:c>
      <x:c r="R45" s="68" t="str">
        <x:f>IF(COUNTIF(F45:Q45,"Bloqueado")&gt;0,"Bloqueado",IF(COUNTIF(F45:Q45,"Falló")&gt;0,"No conforme",IF(COUNTIF(F45:Q45,"No ejecutado")=12,"No evaluado",IF(COUNTIF(F45:Q45,"Pasó")+COUNTIF(F45:Q45,"No aplica")=12,"Conforme","Parcial"))))</x:f>
        <x:v>No evaluado</x:v>
      </x:c>
      <x:c r="S45" s="66" t="str"/>
      <x:c r="T45" s="66" t="str"/>
      <x:c r="U45" s="66" t="str"/>
    </x:row>
    <x:row r="46" ht="48" customHeight="1">
      <x:c r="A46" s="56" t="str">
        <x:v>C05</x:v>
      </x:c>
      <x:c r="B46" s="56" t="str">
        <x:v>2</x:v>
      </x:c>
      <x:c r="C46" s="56" t="str">
        <x:v>Si hay falla de transformación, ¿cómo falla exactamente y qué es lo primero que sale mal?</x:v>
      </x:c>
      <x:c r="D46" s="56" t="str">
        <x:v>Pantalla específica Bloque 2</x:v>
      </x:c>
      <x:c r="E46" s="66" t="str"/>
      <x:c r="F46" s="66" t="str">
        <x:v>No ejecutado</x:v>
      </x:c>
      <x:c r="G46" s="66" t="str">
        <x:v>No ejecutado</x:v>
      </x:c>
      <x:c r="H46" s="66" t="str">
        <x:v>No ejecutado</x:v>
      </x:c>
      <x:c r="I46" s="66" t="str">
        <x:v>No ejecutado</x:v>
      </x:c>
      <x:c r="J46" s="66" t="str">
        <x:v>No ejecutado</x:v>
      </x:c>
      <x:c r="K46" s="66" t="str">
        <x:v>No ejecutado</x:v>
      </x:c>
      <x:c r="L46" s="66" t="str">
        <x:v>No ejecutado</x:v>
      </x:c>
      <x:c r="M46" s="66" t="str">
        <x:v>No ejecutado</x:v>
      </x:c>
      <x:c r="N46" s="66" t="str">
        <x:v>No ejecutado</x:v>
      </x:c>
      <x:c r="O46" s="66" t="str">
        <x:v>No ejecutado</x:v>
      </x:c>
      <x:c r="P46" s="66" t="str">
        <x:v>No ejecutado</x:v>
      </x:c>
      <x:c r="Q46" s="66" t="str">
        <x:v>No ejecutado</x:v>
      </x:c>
      <x:c r="R46" s="68" t="str">
        <x:f>IF(COUNTIF(F46:Q46,"Bloqueado")&gt;0,"Bloqueado",IF(COUNTIF(F46:Q46,"Falló")&gt;0,"No conforme",IF(COUNTIF(F46:Q46,"No ejecutado")=12,"No evaluado",IF(COUNTIF(F46:Q46,"Pasó")+COUNTIF(F46:Q46,"No aplica")=12,"Conforme","Parcial"))))</x:f>
        <x:v>No evaluado</x:v>
      </x:c>
      <x:c r="S46" s="66" t="str"/>
      <x:c r="T46" s="66" t="str"/>
      <x:c r="U46" s="66" t="str"/>
    </x:row>
    <x:row r="47" ht="48" customHeight="1">
      <x:c r="A47" s="56" t="str">
        <x:v>C06</x:v>
      </x:c>
      <x:c r="B47" s="56" t="str">
        <x:v>2</x:v>
      </x:c>
      <x:c r="C47" s="56" t="str">
        <x:v>Si hay cambios no oficiales, ¿cuáles son, quién los hace y desde dónde ocurren?</x:v>
      </x:c>
      <x:c r="D47" s="56" t="str">
        <x:v>Pantalla específica Bloque 2</x:v>
      </x:c>
      <x:c r="E47" s="66" t="str"/>
      <x:c r="F47" s="66" t="str">
        <x:v>No ejecutado</x:v>
      </x:c>
      <x:c r="G47" s="66" t="str">
        <x:v>No ejecutado</x:v>
      </x:c>
      <x:c r="H47" s="66" t="str">
        <x:v>No ejecutado</x:v>
      </x:c>
      <x:c r="I47" s="66" t="str">
        <x:v>No ejecutado</x:v>
      </x:c>
      <x:c r="J47" s="66" t="str">
        <x:v>No ejecutado</x:v>
      </x:c>
      <x:c r="K47" s="66" t="str">
        <x:v>No ejecutado</x:v>
      </x:c>
      <x:c r="L47" s="66" t="str">
        <x:v>No ejecutado</x:v>
      </x:c>
      <x:c r="M47" s="66" t="str">
        <x:v>No ejecutado</x:v>
      </x:c>
      <x:c r="N47" s="66" t="str">
        <x:v>No ejecutado</x:v>
      </x:c>
      <x:c r="O47" s="66" t="str">
        <x:v>No ejecutado</x:v>
      </x:c>
      <x:c r="P47" s="66" t="str">
        <x:v>No ejecutado</x:v>
      </x:c>
      <x:c r="Q47" s="66" t="str">
        <x:v>No ejecutado</x:v>
      </x:c>
      <x:c r="R47" s="68" t="str">
        <x:f>IF(COUNTIF(F47:Q47,"Bloqueado")&gt;0,"Bloqueado",IF(COUNTIF(F47:Q47,"Falló")&gt;0,"No conforme",IF(COUNTIF(F47:Q47,"No ejecutado")=12,"No evaluado",IF(COUNTIF(F47:Q47,"Pasó")+COUNTIF(F47:Q47,"No aplica")=12,"Conforme","Parcial"))))</x:f>
        <x:v>No evaluado</x:v>
      </x:c>
      <x:c r="S47" s="66" t="str"/>
      <x:c r="T47" s="66" t="str"/>
      <x:c r="U47" s="66" t="str"/>
    </x:row>
    <x:row r="48" ht="48" customHeight="1">
      <x:c r="A48" s="56" t="str">
        <x:v>C07</x:v>
      </x:c>
      <x:c r="B48" s="56" t="str">
        <x:v>2</x:v>
      </x:c>
      <x:c r="C48" s="56" t="str">
        <x:v>Si la transformación ocurre varias veces, ¿cuántos ciclos típicos hay?</x:v>
      </x:c>
      <x:c r="D48" s="56" t="str">
        <x:v>Pantalla específica Bloque 2</x:v>
      </x:c>
      <x:c r="E48" s="66" t="str"/>
      <x:c r="F48" s="66" t="str">
        <x:v>No ejecutado</x:v>
      </x:c>
      <x:c r="G48" s="66" t="str">
        <x:v>No ejecutado</x:v>
      </x:c>
      <x:c r="H48" s="66" t="str">
        <x:v>No ejecutado</x:v>
      </x:c>
      <x:c r="I48" s="66" t="str">
        <x:v>No ejecutado</x:v>
      </x:c>
      <x:c r="J48" s="66" t="str">
        <x:v>No ejecutado</x:v>
      </x:c>
      <x:c r="K48" s="66" t="str">
        <x:v>No ejecutado</x:v>
      </x:c>
      <x:c r="L48" s="66" t="str">
        <x:v>No ejecutado</x:v>
      </x:c>
      <x:c r="M48" s="66" t="str">
        <x:v>No ejecutado</x:v>
      </x:c>
      <x:c r="N48" s="66" t="str">
        <x:v>No ejecutado</x:v>
      </x:c>
      <x:c r="O48" s="66" t="str">
        <x:v>No ejecutado</x:v>
      </x:c>
      <x:c r="P48" s="66" t="str">
        <x:v>No ejecutado</x:v>
      </x:c>
      <x:c r="Q48" s="66" t="str">
        <x:v>No ejecutado</x:v>
      </x:c>
      <x:c r="R48" s="68" t="str">
        <x:f>IF(COUNTIF(F48:Q48,"Bloqueado")&gt;0,"Bloqueado",IF(COUNTIF(F48:Q48,"Falló")&gt;0,"No conforme",IF(COUNTIF(F48:Q48,"No ejecutado")=12,"No evaluado",IF(COUNTIF(F48:Q48,"Pasó")+COUNTIF(F48:Q48,"No aplica")=12,"Conforme","Parcial"))))</x:f>
        <x:v>No evaluado</x:v>
      </x:c>
      <x:c r="S48" s="66" t="str"/>
      <x:c r="T48" s="66" t="str"/>
      <x:c r="U48" s="66" t="str"/>
    </x:row>
    <x:row r="49" ht="48" customHeight="1">
      <x:c r="A49" s="56" t="str">
        <x:v>C08</x:v>
      </x:c>
      <x:c r="B49" s="56" t="str">
        <x:v>3</x:v>
      </x:c>
      <x:c r="C49" s="56" t="str">
        <x:v>Si la entrega falla, ¿cuál es el problema típico y qué tiene que hacer el receptor para compensar?</x:v>
      </x:c>
      <x:c r="D49" s="56" t="str">
        <x:v>Pantalla específica Bloque 3</x:v>
      </x:c>
      <x:c r="E49" s="66" t="str"/>
      <x:c r="F49" s="66" t="str">
        <x:v>No ejecutado</x:v>
      </x:c>
      <x:c r="G49" s="66" t="str">
        <x:v>No ejecutado</x:v>
      </x:c>
      <x:c r="H49" s="66" t="str">
        <x:v>No ejecutado</x:v>
      </x:c>
      <x:c r="I49" s="66" t="str">
        <x:v>No ejecutado</x:v>
      </x:c>
      <x:c r="J49" s="66" t="str">
        <x:v>No ejecutado</x:v>
      </x:c>
      <x:c r="K49" s="66" t="str">
        <x:v>No ejecutado</x:v>
      </x:c>
      <x:c r="L49" s="66" t="str">
        <x:v>No ejecutado</x:v>
      </x:c>
      <x:c r="M49" s="66" t="str">
        <x:v>No ejecutado</x:v>
      </x:c>
      <x:c r="N49" s="66" t="str">
        <x:v>No ejecutado</x:v>
      </x:c>
      <x:c r="O49" s="66" t="str">
        <x:v>No ejecutado</x:v>
      </x:c>
      <x:c r="P49" s="66" t="str">
        <x:v>No ejecutado</x:v>
      </x:c>
      <x:c r="Q49" s="66" t="str">
        <x:v>No ejecutado</x:v>
      </x:c>
      <x:c r="R49" s="68" t="str">
        <x:f>IF(COUNTIF(F49:Q49,"Bloqueado")&gt;0,"Bloqueado",IF(COUNTIF(F49:Q49,"Falló")&gt;0,"No conforme",IF(COUNTIF(F49:Q49,"No ejecutado")=12,"No evaluado",IF(COUNTIF(F49:Q49,"Pasó")+COUNTIF(F49:Q49,"No aplica")=12,"Conforme","Parcial"))))</x:f>
        <x:v>No evaluado</x:v>
      </x:c>
      <x:c r="S49" s="66" t="str"/>
      <x:c r="T49" s="66" t="str"/>
      <x:c r="U49" s="66" t="str"/>
    </x:row>
    <x:row r="50" ht="48" customHeight="1">
      <x:c r="A50" s="56" t="str">
        <x:v>C09</x:v>
      </x:c>
      <x:c r="B50" s="56" t="str">
        <x:v>3</x:v>
      </x:c>
      <x:c r="C50" s="56" t="str">
        <x:v>Cuando hay problema con la entrega, ¿cómo te avisa el receptor, qué devuelve, corrige, rechaza, bloquea o pide cambiar?</x:v>
      </x:c>
      <x:c r="D50" s="56" t="str">
        <x:v>Pantalla específica Bloque 3</x:v>
      </x:c>
      <x:c r="E50" s="66" t="str"/>
      <x:c r="F50" s="66" t="str">
        <x:v>No ejecutado</x:v>
      </x:c>
      <x:c r="G50" s="66" t="str">
        <x:v>No ejecutado</x:v>
      </x:c>
      <x:c r="H50" s="66" t="str">
        <x:v>No ejecutado</x:v>
      </x:c>
      <x:c r="I50" s="66" t="str">
        <x:v>No ejecutado</x:v>
      </x:c>
      <x:c r="J50" s="66" t="str">
        <x:v>No ejecutado</x:v>
      </x:c>
      <x:c r="K50" s="66" t="str">
        <x:v>No ejecutado</x:v>
      </x:c>
      <x:c r="L50" s="66" t="str">
        <x:v>No ejecutado</x:v>
      </x:c>
      <x:c r="M50" s="66" t="str">
        <x:v>No ejecutado</x:v>
      </x:c>
      <x:c r="N50" s="66" t="str">
        <x:v>No ejecutado</x:v>
      </x:c>
      <x:c r="O50" s="66" t="str">
        <x:v>No ejecutado</x:v>
      </x:c>
      <x:c r="P50" s="66" t="str">
        <x:v>No ejecutado</x:v>
      </x:c>
      <x:c r="Q50" s="66" t="str">
        <x:v>No ejecutado</x:v>
      </x:c>
      <x:c r="R50" s="68" t="str">
        <x:f>IF(COUNTIF(F50:Q50,"Bloqueado")&gt;0,"Bloqueado",IF(COUNTIF(F50:Q50,"Falló")&gt;0,"No conforme",IF(COUNTIF(F50:Q50,"No ejecutado")=12,"No evaluado",IF(COUNTIF(F50:Q50,"Pasó")+COUNTIF(F50:Q50,"No aplica")=12,"Conforme","Parcial"))))</x:f>
        <x:v>No evaluado</x:v>
      </x:c>
      <x:c r="S50" s="66" t="str"/>
      <x:c r="T50" s="66" t="str"/>
      <x:c r="U50" s="66" t="str"/>
    </x:row>
    <x:row r="51" ht="48" customHeight="1">
      <x:c r="A51" s="56" t="str">
        <x:v>C10</x:v>
      </x:c>
      <x:c r="B51" s="56" t="str">
        <x:v>3</x:v>
      </x:c>
      <x:c r="C51" s="56" t="str">
        <x:v>¿Hay otros actores que reciben o necesitan acceso, aunque no sean el receptor directo?</x:v>
      </x:c>
      <x:c r="D51" s="56" t="str">
        <x:v>Pantalla específica Bloque 3</x:v>
      </x:c>
      <x:c r="E51" s="66" t="str"/>
      <x:c r="F51" s="66" t="str">
        <x:v>No ejecutado</x:v>
      </x:c>
      <x:c r="G51" s="66" t="str">
        <x:v>No ejecutado</x:v>
      </x:c>
      <x:c r="H51" s="66" t="str">
        <x:v>No ejecutado</x:v>
      </x:c>
      <x:c r="I51" s="66" t="str">
        <x:v>No ejecutado</x:v>
      </x:c>
      <x:c r="J51" s="66" t="str">
        <x:v>No ejecutado</x:v>
      </x:c>
      <x:c r="K51" s="66" t="str">
        <x:v>No ejecutado</x:v>
      </x:c>
      <x:c r="L51" s="66" t="str">
        <x:v>No ejecutado</x:v>
      </x:c>
      <x:c r="M51" s="66" t="str">
        <x:v>No ejecutado</x:v>
      </x:c>
      <x:c r="N51" s="66" t="str">
        <x:v>No ejecutado</x:v>
      </x:c>
      <x:c r="O51" s="66" t="str">
        <x:v>No ejecutado</x:v>
      </x:c>
      <x:c r="P51" s="66" t="str">
        <x:v>No ejecutado</x:v>
      </x:c>
      <x:c r="Q51" s="66" t="str">
        <x:v>No ejecutado</x:v>
      </x:c>
      <x:c r="R51" s="68" t="str">
        <x:f>IF(COUNTIF(F51:Q51,"Bloqueado")&gt;0,"Bloqueado",IF(COUNTIF(F51:Q51,"Falló")&gt;0,"No conforme",IF(COUNTIF(F51:Q51,"No ejecutado")=12,"No evaluado",IF(COUNTIF(F51:Q51,"Pasó")+COUNTIF(F51:Q51,"No aplica")=12,"Conforme","Parcial"))))</x:f>
        <x:v>No evaluado</x:v>
      </x:c>
      <x:c r="S51" s="66" t="str"/>
      <x:c r="T51" s="66" t="str"/>
      <x:c r="U51" s="66" t="str"/>
    </x:row>
    <x:row r="52" ht="48" customHeight="1">
      <x:c r="A52" s="56" t="str">
        <x:v>C11</x:v>
      </x:c>
      <x:c r="B52" s="56" t="str">
        <x:v>4</x:v>
      </x:c>
      <x:c r="C52" s="56" t="str">
        <x:v>Cuando queda bloqueada esperando algo, ¿qué evento la libera, qué condición permite avanzar, qué pasa por tiempo si no se libera y quién lo resuelve normalmente?</x:v>
      </x:c>
      <x:c r="D52" s="56" t="str">
        <x:v>Pantalla específica Bloque 4</x:v>
      </x:c>
      <x:c r="E52" s="66" t="str"/>
      <x:c r="F52" s="66" t="str">
        <x:v>No ejecutado</x:v>
      </x:c>
      <x:c r="G52" s="66" t="str">
        <x:v>No ejecutado</x:v>
      </x:c>
      <x:c r="H52" s="66" t="str">
        <x:v>No ejecutado</x:v>
      </x:c>
      <x:c r="I52" s="66" t="str">
        <x:v>No ejecutado</x:v>
      </x:c>
      <x:c r="J52" s="66" t="str">
        <x:v>No ejecutado</x:v>
      </x:c>
      <x:c r="K52" s="66" t="str">
        <x:v>No ejecutado</x:v>
      </x:c>
      <x:c r="L52" s="66" t="str">
        <x:v>No ejecutado</x:v>
      </x:c>
      <x:c r="M52" s="66" t="str">
        <x:v>No ejecutado</x:v>
      </x:c>
      <x:c r="N52" s="66" t="str">
        <x:v>No ejecutado</x:v>
      </x:c>
      <x:c r="O52" s="66" t="str">
        <x:v>No ejecutado</x:v>
      </x:c>
      <x:c r="P52" s="66" t="str">
        <x:v>No ejecutado</x:v>
      </x:c>
      <x:c r="Q52" s="66" t="str">
        <x:v>No ejecutado</x:v>
      </x:c>
      <x:c r="R52" s="68" t="str">
        <x:f>IF(COUNTIF(F52:Q52,"Bloqueado")&gt;0,"Bloqueado",IF(COUNTIF(F52:Q52,"Falló")&gt;0,"No conforme",IF(COUNTIF(F52:Q52,"No ejecutado")=12,"No evaluado",IF(COUNTIF(F52:Q52,"Pasó")+COUNTIF(F52:Q52,"No aplica")=12,"Conforme","Parcial"))))</x:f>
        <x:v>No evaluado</x:v>
      </x:c>
      <x:c r="S52" s="66" t="str"/>
      <x:c r="T52" s="66" t="str"/>
      <x:c r="U52" s="66" t="str"/>
    </x:row>
    <x:row r="53" ht="48" customHeight="1">
      <x:c r="A53" s="56" t="str">
        <x:v>C12</x:v>
      </x:c>
      <x:c r="B53" s="56" t="str">
        <x:v>4</x:v>
      </x:c>
      <x:c r="C53" s="56" t="str">
        <x:v>Si se repite, ¿haces todas las repeticiones juntas o se intercalan con otras actividades?</x:v>
      </x:c>
      <x:c r="D53" s="56" t="str">
        <x:v>Pantalla específica Bloque 4</x:v>
      </x:c>
      <x:c r="E53" s="66" t="str"/>
      <x:c r="F53" s="66" t="str">
        <x:v>No ejecutado</x:v>
      </x:c>
      <x:c r="G53" s="66" t="str">
        <x:v>No ejecutado</x:v>
      </x:c>
      <x:c r="H53" s="66" t="str">
        <x:v>No ejecutado</x:v>
      </x:c>
      <x:c r="I53" s="66" t="str">
        <x:v>No ejecutado</x:v>
      </x:c>
      <x:c r="J53" s="66" t="str">
        <x:v>No ejecutado</x:v>
      </x:c>
      <x:c r="K53" s="66" t="str">
        <x:v>No ejecutado</x:v>
      </x:c>
      <x:c r="L53" s="66" t="str">
        <x:v>No ejecutado</x:v>
      </x:c>
      <x:c r="M53" s="66" t="str">
        <x:v>No ejecutado</x:v>
      </x:c>
      <x:c r="N53" s="66" t="str">
        <x:v>No ejecutado</x:v>
      </x:c>
      <x:c r="O53" s="66" t="str">
        <x:v>No ejecutado</x:v>
      </x:c>
      <x:c r="P53" s="66" t="str">
        <x:v>No ejecutado</x:v>
      </x:c>
      <x:c r="Q53" s="66" t="str">
        <x:v>No ejecutado</x:v>
      </x:c>
      <x:c r="R53" s="68" t="str">
        <x:f>IF(COUNTIF(F53:Q53,"Bloqueado")&gt;0,"Bloqueado",IF(COUNTIF(F53:Q53,"Falló")&gt;0,"No conforme",IF(COUNTIF(F53:Q53,"No ejecutado")=12,"No evaluado",IF(COUNTIF(F53:Q53,"Pasó")+COUNTIF(F53:Q53,"No aplica")=12,"Conforme","Parcial"))))</x:f>
        <x:v>No evaluado</x:v>
      </x:c>
      <x:c r="S53" s="66" t="str"/>
      <x:c r="T53" s="66" t="str"/>
      <x:c r="U53" s="66" t="str"/>
    </x:row>
    <x:row r="54" ht="48" customHeight="1">
      <x:c r="A54" s="56" t="str">
        <x:v>C13</x:v>
      </x:c>
      <x:c r="B54" s="56" t="str">
        <x:v>4</x:v>
      </x:c>
      <x:c r="C54" s="56" t="str">
        <x:v>Si hay caminos alternativos, ¿cuántos hay y bajo qué condición se toma cada uno?</x:v>
      </x:c>
      <x:c r="D54" s="56" t="str">
        <x:v>Pantalla específica Bloque 4</x:v>
      </x:c>
      <x:c r="E54" s="66" t="str"/>
      <x:c r="F54" s="66" t="str">
        <x:v>No ejecutado</x:v>
      </x:c>
      <x:c r="G54" s="66" t="str">
        <x:v>No ejecutado</x:v>
      </x:c>
      <x:c r="H54" s="66" t="str">
        <x:v>No ejecutado</x:v>
      </x:c>
      <x:c r="I54" s="66" t="str">
        <x:v>No ejecutado</x:v>
      </x:c>
      <x:c r="J54" s="66" t="str">
        <x:v>No ejecutado</x:v>
      </x:c>
      <x:c r="K54" s="66" t="str">
        <x:v>No ejecutado</x:v>
      </x:c>
      <x:c r="L54" s="66" t="str">
        <x:v>No ejecutado</x:v>
      </x:c>
      <x:c r="M54" s="66" t="str">
        <x:v>No ejecutado</x:v>
      </x:c>
      <x:c r="N54" s="66" t="str">
        <x:v>No ejecutado</x:v>
      </x:c>
      <x:c r="O54" s="66" t="str">
        <x:v>No ejecutado</x:v>
      </x:c>
      <x:c r="P54" s="66" t="str">
        <x:v>No ejecutado</x:v>
      </x:c>
      <x:c r="Q54" s="66" t="str">
        <x:v>No ejecutado</x:v>
      </x:c>
      <x:c r="R54" s="68" t="str">
        <x:f>IF(COUNTIF(F54:Q54,"Bloqueado")&gt;0,"Bloqueado",IF(COUNTIF(F54:Q54,"Falló")&gt;0,"No conforme",IF(COUNTIF(F54:Q54,"No ejecutado")=12,"No evaluado",IF(COUNTIF(F54:Q54,"Pasó")+COUNTIF(F54:Q54,"No aplica")=12,"Conforme","Parcial"))))</x:f>
        <x:v>No evaluado</x:v>
      </x:c>
      <x:c r="S54" s="66" t="str"/>
      <x:c r="T54" s="66" t="str"/>
      <x:c r="U54" s="66" t="str"/>
    </x:row>
    <x:row r="55" ht="48" customHeight="1">
      <x:c r="A55" s="56" t="str">
        <x:v>C14</x:v>
      </x:c>
      <x:c r="B55" s="56" t="str">
        <x:v>4</x:v>
      </x:c>
      <x:c r="C55" s="56" t="str">
        <x:v>Si haces pasos extras o cambias el orden, ¿por qué lo haces y cuál es el caso real más común?</x:v>
      </x:c>
      <x:c r="D55" s="56" t="str">
        <x:v>Pantalla específica Bloque 4</x:v>
      </x:c>
      <x:c r="E55" s="66" t="str"/>
      <x:c r="F55" s="66" t="str">
        <x:v>No ejecutado</x:v>
      </x:c>
      <x:c r="G55" s="66" t="str">
        <x:v>No ejecutado</x:v>
      </x:c>
      <x:c r="H55" s="66" t="str">
        <x:v>No ejecutado</x:v>
      </x:c>
      <x:c r="I55" s="66" t="str">
        <x:v>No ejecutado</x:v>
      </x:c>
      <x:c r="J55" s="66" t="str">
        <x:v>No ejecutado</x:v>
      </x:c>
      <x:c r="K55" s="66" t="str">
        <x:v>No ejecutado</x:v>
      </x:c>
      <x:c r="L55" s="66" t="str">
        <x:v>No ejecutado</x:v>
      </x:c>
      <x:c r="M55" s="66" t="str">
        <x:v>No ejecutado</x:v>
      </x:c>
      <x:c r="N55" s="66" t="str">
        <x:v>No ejecutado</x:v>
      </x:c>
      <x:c r="O55" s="66" t="str">
        <x:v>No ejecutado</x:v>
      </x:c>
      <x:c r="P55" s="66" t="str">
        <x:v>No ejecutado</x:v>
      </x:c>
      <x:c r="Q55" s="66" t="str">
        <x:v>No ejecutado</x:v>
      </x:c>
      <x:c r="R55" s="68" t="str">
        <x:f>IF(COUNTIF(F55:Q55,"Bloqueado")&gt;0,"Bloqueado",IF(COUNTIF(F55:Q55,"Falló")&gt;0,"No conforme",IF(COUNTIF(F55:Q55,"No ejecutado")=12,"No evaluado",IF(COUNTIF(F55:Q55,"Pasó")+COUNTIF(F55:Q55,"No aplica")=12,"Conforme","Parcial"))))</x:f>
        <x:v>No evaluado</x:v>
      </x:c>
      <x:c r="S55" s="66" t="str"/>
      <x:c r="T55" s="66" t="str"/>
      <x:c r="U55" s="66" t="str"/>
    </x:row>
    <x:row r="56" ht="48" customHeight="1">
      <x:c r="A56" s="56" t="str">
        <x:v>C15</x:v>
      </x:c>
      <x:c r="B56" s="56" t="str">
        <x:v>5</x:v>
      </x:c>
      <x:c r="C56" s="56" t="str">
        <x:v>Cuando algo se escapa de tu capacidad, ¿qué pasa? ¿Qué tendría que cambiar para que fuera justo o sostenible?</x:v>
      </x:c>
      <x:c r="D56" s="56" t="str">
        <x:v>Pantalla específica Bloque 5</x:v>
      </x:c>
      <x:c r="E56" s="66" t="str"/>
      <x:c r="F56" s="66" t="str">
        <x:v>No ejecutado</x:v>
      </x:c>
      <x:c r="G56" s="66" t="str">
        <x:v>No ejecutado</x:v>
      </x:c>
      <x:c r="H56" s="66" t="str">
        <x:v>No ejecutado</x:v>
      </x:c>
      <x:c r="I56" s="66" t="str">
        <x:v>No ejecutado</x:v>
      </x:c>
      <x:c r="J56" s="66" t="str">
        <x:v>No ejecutado</x:v>
      </x:c>
      <x:c r="K56" s="66" t="str">
        <x:v>No ejecutado</x:v>
      </x:c>
      <x:c r="L56" s="66" t="str">
        <x:v>No ejecutado</x:v>
      </x:c>
      <x:c r="M56" s="66" t="str">
        <x:v>No ejecutado</x:v>
      </x:c>
      <x:c r="N56" s="66" t="str">
        <x:v>No ejecutado</x:v>
      </x:c>
      <x:c r="O56" s="66" t="str">
        <x:v>No ejecutado</x:v>
      </x:c>
      <x:c r="P56" s="66" t="str">
        <x:v>No ejecutado</x:v>
      </x:c>
      <x:c r="Q56" s="66" t="str">
        <x:v>No ejecutado</x:v>
      </x:c>
      <x:c r="R56" s="68" t="str">
        <x:f>IF(COUNTIF(F56:Q56,"Bloqueado")&gt;0,"Bloqueado",IF(COUNTIF(F56:Q56,"Falló")&gt;0,"No conforme",IF(COUNTIF(F56:Q56,"No ejecutado")=12,"No evaluado",IF(COUNTIF(F56:Q56,"Pasó")+COUNTIF(F56:Q56,"No aplica")=12,"Conforme","Parcial"))))</x:f>
        <x:v>No evaluado</x:v>
      </x:c>
      <x:c r="S56" s="66" t="str"/>
      <x:c r="T56" s="66" t="str"/>
      <x:c r="U56" s="66" t="str"/>
    </x:row>
    <x:row r="57" ht="48" customHeight="1">
      <x:c r="A57" s="56" t="str">
        <x:v>C16</x:v>
      </x:c>
      <x:c r="B57" s="56" t="str">
        <x:v>6</x:v>
      </x:c>
      <x:c r="C57" s="56" t="str">
        <x:v>¿Qué regresa o se corrige, cuándo ocurre y quién debería haberlo hecho bien la primera vez?</x:v>
      </x:c>
      <x:c r="D57" s="56" t="str">
        <x:v>Pantalla específica Bloque 6</x:v>
      </x:c>
      <x:c r="E57" s="66" t="str"/>
      <x:c r="F57" s="66" t="str">
        <x:v>No ejecutado</x:v>
      </x:c>
      <x:c r="G57" s="66" t="str">
        <x:v>No ejecutado</x:v>
      </x:c>
      <x:c r="H57" s="66" t="str">
        <x:v>No ejecutado</x:v>
      </x:c>
      <x:c r="I57" s="66" t="str">
        <x:v>No ejecutado</x:v>
      </x:c>
      <x:c r="J57" s="66" t="str">
        <x:v>No ejecutado</x:v>
      </x:c>
      <x:c r="K57" s="66" t="str">
        <x:v>No ejecutado</x:v>
      </x:c>
      <x:c r="L57" s="66" t="str">
        <x:v>No ejecutado</x:v>
      </x:c>
      <x:c r="M57" s="66" t="str">
        <x:v>No ejecutado</x:v>
      </x:c>
      <x:c r="N57" s="66" t="str">
        <x:v>No ejecutado</x:v>
      </x:c>
      <x:c r="O57" s="66" t="str">
        <x:v>No ejecutado</x:v>
      </x:c>
      <x:c r="P57" s="66" t="str">
        <x:v>No ejecutado</x:v>
      </x:c>
      <x:c r="Q57" s="66" t="str">
        <x:v>No ejecutado</x:v>
      </x:c>
      <x:c r="R57" s="68" t="str">
        <x:f>IF(COUNTIF(F57:Q57,"Bloqueado")&gt;0,"Bloqueado",IF(COUNTIF(F57:Q57,"Falló")&gt;0,"No conforme",IF(COUNTIF(F57:Q57,"No ejecutado")=12,"No evaluado",IF(COUNTIF(F57:Q57,"Pasó")+COUNTIF(F57:Q57,"No aplica")=12,"Conforme","Parcial"))))</x:f>
        <x:v>No evaluado</x:v>
      </x:c>
      <x:c r="S57" s="66" t="str"/>
      <x:c r="T57" s="66" t="str"/>
      <x:c r="U57" s="66" t="str"/>
    </x:row>
    <x:row r="58" ht="48" customHeight="1">
      <x:c r="A58" s="56" t="str">
        <x:v>C17</x:v>
      </x:c>
      <x:c r="B58" s="56" t="str">
        <x:v>6</x:v>
      </x:c>
      <x:c r="C58" s="56" t="str">
        <x:v>Cuando falta información, ¿esperas, adivinas, escalas o avanzas? Si hay regla informal, ¿la hacen otros y con qué autoridad?</x:v>
      </x:c>
      <x:c r="D58" s="56" t="str">
        <x:v>Pantalla específica Bloque 6</x:v>
      </x:c>
      <x:c r="E58" s="66" t="str"/>
      <x:c r="F58" s="66" t="str">
        <x:v>No ejecutado</x:v>
      </x:c>
      <x:c r="G58" s="66" t="str">
        <x:v>No ejecutado</x:v>
      </x:c>
      <x:c r="H58" s="66" t="str">
        <x:v>No ejecutado</x:v>
      </x:c>
      <x:c r="I58" s="66" t="str">
        <x:v>No ejecutado</x:v>
      </x:c>
      <x:c r="J58" s="66" t="str">
        <x:v>No ejecutado</x:v>
      </x:c>
      <x:c r="K58" s="66" t="str">
        <x:v>No ejecutado</x:v>
      </x:c>
      <x:c r="L58" s="66" t="str">
        <x:v>No ejecutado</x:v>
      </x:c>
      <x:c r="M58" s="66" t="str">
        <x:v>No ejecutado</x:v>
      </x:c>
      <x:c r="N58" s="66" t="str">
        <x:v>No ejecutado</x:v>
      </x:c>
      <x:c r="O58" s="66" t="str">
        <x:v>No ejecutado</x:v>
      </x:c>
      <x:c r="P58" s="66" t="str">
        <x:v>No ejecutado</x:v>
      </x:c>
      <x:c r="Q58" s="66" t="str">
        <x:v>No ejecutado</x:v>
      </x:c>
      <x:c r="R58" s="68" t="str">
        <x:f>IF(COUNTIF(F58:Q58,"Bloqueado")&gt;0,"Bloqueado",IF(COUNTIF(F58:Q58,"Falló")&gt;0,"No conforme",IF(COUNTIF(F58:Q58,"No ejecutado")=12,"No evaluado",IF(COUNTIF(F58:Q58,"Pasó")+COUNTIF(F58:Q58,"No aplica")=12,"Conforme","Parcial"))))</x:f>
        <x:v>No evaluado</x:v>
      </x:c>
      <x:c r="S58" s="66" t="str"/>
      <x:c r="T58" s="66" t="str"/>
      <x:c r="U58" s="66" t="str"/>
    </x:row>
    <x:row r="59" ht="48" customHeight="1">
      <x:c r="A59" s="56" t="str">
        <x:v>C18</x:v>
      </x:c>
      <x:c r="B59" s="56" t="str">
        <x:v>6</x:v>
      </x:c>
      <x:c r="C59" s="56" t="str">
        <x:v>¿Cuánto tiempo lleva el desgaste, quién lo sabe, cuál es la parte más difícil y está reconocido en tu rol/evaluación?</x:v>
      </x:c>
      <x:c r="D59" s="56" t="str">
        <x:v>Pantalla específica Bloque 6</x:v>
      </x:c>
      <x:c r="E59" s="66" t="str"/>
      <x:c r="F59" s="66" t="str">
        <x:v>No ejecutado</x:v>
      </x:c>
      <x:c r="G59" s="66" t="str">
        <x:v>No ejecutado</x:v>
      </x:c>
      <x:c r="H59" s="66" t="str">
        <x:v>No ejecutado</x:v>
      </x:c>
      <x:c r="I59" s="66" t="str">
        <x:v>No ejecutado</x:v>
      </x:c>
      <x:c r="J59" s="66" t="str">
        <x:v>No ejecutado</x:v>
      </x:c>
      <x:c r="K59" s="66" t="str">
        <x:v>No ejecutado</x:v>
      </x:c>
      <x:c r="L59" s="66" t="str">
        <x:v>No ejecutado</x:v>
      </x:c>
      <x:c r="M59" s="66" t="str">
        <x:v>No ejecutado</x:v>
      </x:c>
      <x:c r="N59" s="66" t="str">
        <x:v>No ejecutado</x:v>
      </x:c>
      <x:c r="O59" s="66" t="str">
        <x:v>No ejecutado</x:v>
      </x:c>
      <x:c r="P59" s="66" t="str">
        <x:v>No ejecutado</x:v>
      </x:c>
      <x:c r="Q59" s="66" t="str">
        <x:v>No ejecutado</x:v>
      </x:c>
      <x:c r="R59" s="68" t="str">
        <x:f>IF(COUNTIF(F59:Q59,"Bloqueado")&gt;0,"Bloqueado",IF(COUNTIF(F59:Q59,"Falló")&gt;0,"No conforme",IF(COUNTIF(F59:Q59,"No ejecutado")=12,"No evaluado",IF(COUNTIF(F59:Q59,"Pasó")+COUNTIF(F59:Q59,"No aplica")=12,"Conforme","Parcial"))))</x:f>
        <x:v>No evaluado</x:v>
      </x:c>
      <x:c r="S59" s="66" t="str"/>
      <x:c r="T59" s="66" t="str"/>
      <x:c r="U59" s="66" t="str"/>
    </x:row>
    <x:row r="60" ht="48" customHeight="1">
      <x:c r="A60" s="56" t="str">
        <x:v>C19</x:v>
      </x:c>
      <x:c r="B60" s="56" t="str">
        <x:v>6</x:v>
      </x:c>
      <x:c r="C60" s="56" t="str">
        <x:v>¿Bajo qué circunstancias falla siempre, cuántas veces ocurrió, qué se intentó, quién debería absorber ese trabajo y qué pasa entre áreas/personas?</x:v>
      </x:c>
      <x:c r="D60" s="56" t="str">
        <x:v>Pantalla específica Bloque 6</x:v>
      </x:c>
      <x:c r="E60" s="66" t="str"/>
      <x:c r="F60" s="66" t="str">
        <x:v>No ejecutado</x:v>
      </x:c>
      <x:c r="G60" s="66" t="str">
        <x:v>No ejecutado</x:v>
      </x:c>
      <x:c r="H60" s="66" t="str">
        <x:v>No ejecutado</x:v>
      </x:c>
      <x:c r="I60" s="66" t="str">
        <x:v>No ejecutado</x:v>
      </x:c>
      <x:c r="J60" s="66" t="str">
        <x:v>No ejecutado</x:v>
      </x:c>
      <x:c r="K60" s="66" t="str">
        <x:v>No ejecutado</x:v>
      </x:c>
      <x:c r="L60" s="66" t="str">
        <x:v>No ejecutado</x:v>
      </x:c>
      <x:c r="M60" s="66" t="str">
        <x:v>No ejecutado</x:v>
      </x:c>
      <x:c r="N60" s="66" t="str">
        <x:v>No ejecutado</x:v>
      </x:c>
      <x:c r="O60" s="66" t="str">
        <x:v>No ejecutado</x:v>
      </x:c>
      <x:c r="P60" s="66" t="str">
        <x:v>No ejecutado</x:v>
      </x:c>
      <x:c r="Q60" s="66" t="str">
        <x:v>No ejecutado</x:v>
      </x:c>
      <x:c r="R60" s="68" t="str">
        <x:f>IF(COUNTIF(F60:Q60,"Bloqueado")&gt;0,"Bloqueado",IF(COUNTIF(F60:Q60,"Falló")&gt;0,"No conforme",IF(COUNTIF(F60:Q60,"No ejecutado")=12,"No evaluado",IF(COUNTIF(F60:Q60,"Pasó")+COUNTIF(F60:Q60,"No aplica")=12,"Conforme","Parcial"))))</x:f>
        <x:v>No evaluado</x:v>
      </x:c>
      <x:c r="S60" s="66" t="str"/>
      <x:c r="T60" s="66" t="str"/>
      <x:c r="U60" s="66" t="str"/>
    </x:row>
    <x:row r="61" ht="48" customHeight="1">
      <x:c r="A61" s="56" t="str">
        <x:v>C20</x:v>
      </x:c>
      <x:c r="B61" s="56" t="str">
        <x:v>7</x:v>
      </x:c>
      <x:c r="C61" s="56" t="str">
        <x:v>Confirmar o corregir tipo preliminar, posición en flujo, señales cruzadas y tensión interpersonal sin emitir diagnóstico. Solo se abre si B7-Q39/B7-Q40 no resolvieron la ambigüedad.</x:v>
      </x:c>
      <x:c r="D61" s="56" t="str">
        <x:v>Pantalla específica Bloque 7</x:v>
      </x:c>
      <x:c r="E61" s="66" t="str"/>
      <x:c r="F61" s="66" t="str">
        <x:v>No ejecutado</x:v>
      </x:c>
      <x:c r="G61" s="66" t="str">
        <x:v>No ejecutado</x:v>
      </x:c>
      <x:c r="H61" s="66" t="str">
        <x:v>No ejecutado</x:v>
      </x:c>
      <x:c r="I61" s="66" t="str">
        <x:v>No ejecutado</x:v>
      </x:c>
      <x:c r="J61" s="66" t="str">
        <x:v>No ejecutado</x:v>
      </x:c>
      <x:c r="K61" s="66" t="str">
        <x:v>No ejecutado</x:v>
      </x:c>
      <x:c r="L61" s="66" t="str">
        <x:v>No ejecutado</x:v>
      </x:c>
      <x:c r="M61" s="66" t="str">
        <x:v>No ejecutado</x:v>
      </x:c>
      <x:c r="N61" s="66" t="str">
        <x:v>No ejecutado</x:v>
      </x:c>
      <x:c r="O61" s="66" t="str">
        <x:v>No ejecutado</x:v>
      </x:c>
      <x:c r="P61" s="66" t="str">
        <x:v>No ejecutado</x:v>
      </x:c>
      <x:c r="Q61" s="66" t="str">
        <x:v>No ejecutado</x:v>
      </x:c>
      <x:c r="R61" s="68" t="str">
        <x:f>IF(COUNTIF(F61:Q61,"Bloqueado")&gt;0,"Bloqueado",IF(COUNTIF(F61:Q61,"Falló")&gt;0,"No conforme",IF(COUNTIF(F61:Q61,"No ejecutado")=12,"No evaluado",IF(COUNTIF(F61:Q61,"Pasó")+COUNTIF(F61:Q61,"No aplica")=12,"Conforme","Parcial"))))</x:f>
        <x:v>No evaluado</x:v>
      </x:c>
      <x:c r="S61" s="66" t="str"/>
      <x:c r="T61" s="66" t="str"/>
      <x:c r="U61" s="66" t="str"/>
    </x:row>
  </x:sheetData>
  <x:conditionalFormatting sqref="R2:R61">
    <x:cfRule type="expression" dxfId="12" priority="1">
      <x:formula>R2="Conforme"</x:formula>
    </x:cfRule>
    <x:cfRule type="expression" dxfId="13" priority="2">
      <x:formula>R2="Parcial"</x:formula>
    </x:cfRule>
    <x:cfRule type="expression" dxfId="14" priority="3">
      <x:formula>OR(R2="No conforme",R2="Bloqueado")</x:formula>
    </x:cfRule>
    <x:cfRule type="expression" dxfId="15" priority="4">
      <x:formula>R2="No evaluado"</x:formula>
    </x:cfRule>
  </x:conditionalFormatting>
  <x:dataValidations count="1">
    <x:dataValidation type="list" sqref="F2:Q61">
      <x:formula1>"No ejecutado,Pasó,Falló,Bloqueado,No aplica"</x:formula1>
    </x:dataValidation>
  </x:dataValidations>
  <x:pageMargins left="0.7" right="0.7" top="0.75" bottom="0.75" header="0.3" footer="0.3"/>
  <x:tableParts count="1">
    <x:tablePart xmlns:r="http://schemas.openxmlformats.org/officeDocument/2006/relationships" r:id="R14ea0c711de34fd0"/>
  </x:tableParts>
</x:worksheet>
</file>

<file path=xl/worksheets/sheet7.xml><?xml version="1.0" encoding="utf-8"?>
<x:worksheet xmlns:x="http://schemas.openxmlformats.org/spreadsheetml/2006/main">
  <x:sheetFormatPr defaultRowHeight="15"/>
  <x:cols>
    <x:col min="1" max="1" width="9" hidden="0" customWidth="1"/>
    <x:col min="2" max="2" width="22" hidden="0" customWidth="1"/>
    <x:col min="3" max="3" width="48" hidden="0" customWidth="1"/>
    <x:col min="4" max="4" width="30" hidden="0" customWidth="1"/>
    <x:col min="5" max="5" width="42" hidden="0" customWidth="1"/>
    <x:col min="6" max="6" width="30" hidden="0" customWidth="1"/>
    <x:col min="7" max="7" width="36" hidden="0" customWidth="1"/>
    <x:col min="8" max="8" width="48" hidden="0" customWidth="1"/>
  </x:cols>
  <x:sheetData>
    <x:row r="1" ht="32" customHeight="1">
      <x:c r="A1" s="49" t="str">
        <x:v>source_id</x:v>
      </x:c>
      <x:c r="B1" s="49" t="str">
        <x:v>nivel_autoridad</x:v>
      </x:c>
      <x:c r="C1" s="49" t="str">
        <x:v>archivo_artefacto</x:v>
      </x:c>
      <x:c r="D1" s="49" t="str">
        <x:v>sha256</x:v>
      </x:c>
      <x:c r="E1" s="49" t="str">
        <x:v>rol_en_matriz</x:v>
      </x:c>
      <x:c r="F1" s="49" t="str">
        <x:v>estado_verificacion</x:v>
      </x:c>
      <x:c r="G1" s="49" t="str">
        <x:v>uso</x:v>
      </x:c>
      <x:c r="H1" s="49" t="str">
        <x:v>observacion</x:v>
      </x:c>
    </x:row>
    <x:row r="2" ht="52" customHeight="1">
      <x:c r="A2" s="56" t="str">
        <x:v>S01</x:v>
      </x:c>
      <x:c r="B2" s="56" t="str">
        <x:v>Rector implementable</x:v>
      </x:c>
      <x:c r="C2" s="56" t="str">
        <x:v>Catalogo_Runtime_40_20_EVE_MMABP_v1_1_1_Operacional_Ajustado.xlsx</x:v>
      </x:c>
      <x:c r="D2" s="56" t="str">
        <x:v>5be7bd2ed510c5f54ab0490535d11685f0ae981505575fdec38de8e4cdd3b2e0</x:v>
      </x:c>
      <x:c r="E2" s="56" t="str">
        <x:v>60 interacciones, UI component, subfields, reglas, QA</x:v>
      </x:c>
      <x:c r="F2" s="56" t="str">
        <x:v>Verificado por payload literal 038A</x:v>
      </x:c>
      <x:c r="G2" s="56" t="str">
        <x:v>Interacciones_60 / Slots_170 / Tipos_Control</x:v>
      </x:c>
      <x:c r="H2" s="56" t="str">
        <x:v>Binario no está en sandbox; payload literal preservado en 038A.</x:v>
      </x:c>
    </x:row>
    <x:row r="3" ht="52" customHeight="1">
      <x:c r="A3" s="56" t="str">
        <x:v>S02</x:v>
      </x:c>
      <x:c r="B3" s="56" t="str">
        <x:v>Rector canónico</x:v>
      </x:c>
      <x:c r="C3" s="56" t="str">
        <x:v>EVE_Catalogo_Madre_Capa1_v1_0_Bloques_0_0_5_1_7.xlsx</x:v>
      </x:c>
      <x:c r="D3" s="56" t="str">
        <x:v>09531a66fde4c8f17e88d591ae523992a6c42d448965ef52012c2c2de7d948a2</x:v>
      </x:c>
      <x:c r="E3" s="56" t="str">
        <x:v>Genealogía de 164 nodos y preguntas fuente</x:v>
      </x:c>
      <x:c r="F3" s="56" t="str">
        <x:v>Verificado por manifest 031/038A</x:v>
      </x:c>
      <x:c r="G3" s="56" t="str">
        <x:v>Trazabilidad fuente</x:v>
      </x:c>
      <x:c r="H3" s="56" t="str">
        <x:v>No se usa para inventar UI.</x:v>
      </x:c>
    </x:row>
    <x:row r="4" ht="52" customHeight="1">
      <x:c r="A4" s="56" t="str">
        <x:v>S03</x:v>
      </x:c>
      <x:c r="B4" s="56" t="str">
        <x:v>Rector operativo</x:v>
      </x:c>
      <x:c r="C4" s="56" t="str">
        <x:v>Arquitectura_Runtime_40_20_EVE_MMABP.docx</x:v>
      </x:c>
      <x:c r="D4" s="56" t="str">
        <x:v>bee5478d5ef059641707a1e513f1977fbb3f25785754f1fa4eef93ddf9d774a2</x:v>
      </x:c>
      <x:c r="E4" s="56" t="str">
        <x:v>Arquitectura 40+20, preguntas visibles, anexos y fronteras</x:v>
      </x:c>
      <x:c r="F4" s="56" t="str">
        <x:v>Verificado localmente</x:v>
      </x:c>
      <x:c r="G4" s="56" t="str">
        <x:v>Resumen / Interacciones</x:v>
      </x:c>
      <x:c r="H4" s="56" t="str">
        <x:v>Documento derivado; no sustituye XLSX ni Catálogo Madre.</x:v>
      </x:c>
    </x:row>
    <x:row r="5" ht="52" customHeight="1">
      <x:c r="A5" s="56" t="str">
        <x:v>S04</x:v>
      </x:c>
      <x:c r="B5" s="56" t="str">
        <x:v>Rector técnico</x:v>
      </x:c>
      <x:c r="C5" s="56" t="str">
        <x:v>EVE_Runtime_40_20_Especificacion_Tecnica_Ejecutable_v1_0_1.docx</x:v>
      </x:c>
      <x:c r="D5" s="56" t="str">
        <x:v>No disponible como binario en sandbox</x:v>
      </x:c>
      <x:c r="E5" s="56" t="str">
        <x:v>InteractionViewModel, UX contract, ResponseIngest y API</x:v>
      </x:c>
      <x:c r="F5" s="56" t="str">
        <x:v>Consultado en File Library</x:v>
      </x:c>
      <x:c r="G5" s="56" t="str">
        <x:v>Tipos_Control / QA</x:v>
      </x:c>
      <x:c r="H5" s="56" t="str">
        <x:v>La UI consume InteractionViewModel y persiste subcampos separados.</x:v>
      </x:c>
    </x:row>
    <x:row r="6" ht="52" customHeight="1">
      <x:c r="A6" s="56" t="str">
        <x:v>S05</x:v>
      </x:c>
      <x:c r="B6" s="56" t="str">
        <x:v>Gobierno transversal</x:v>
      </x:c>
      <x:c r="C6" s="56" t="str">
        <x:v>Matriz_Trazabilidad_Rectora_Runtime_40_20_v1.xlsx</x:v>
      </x:c>
      <x:c r="D6" s="56" t="str">
        <x:v>1936369a01dcf46d8453d48788685055234b3ce2daf0ffa179a204f4076950e5</x:v>
      </x:c>
      <x:c r="E6" s="56" t="str">
        <x:v>Jerarquía de fuentes, transformaciones permitidas e inferencias prohibidas</x:v>
      </x:c>
      <x:c r="F6" s="56" t="str">
        <x:v>Hash verificado</x:v>
      </x:c>
      <x:c r="G6" s="56" t="str">
        <x:v>TR refs / Fuentes</x:v>
      </x:c>
      <x:c r="H6" s="56" t="str">
        <x:v>No sustituye fuentes rectoras de contenido.</x:v>
      </x:c>
    </x:row>
    <x:row r="7" ht="52" customHeight="1">
      <x:c r="A7" s="56" t="str">
        <x:v>S06</x:v>
      </x:c>
      <x:c r="B7" s="56" t="str">
        <x:v>Materialidad validada</x:v>
      </x:c>
      <x:c r="C7" s="56" t="str">
        <x:v>runtime-40-20-source-capture-crosswalk-044A3M.json</x:v>
      </x:c>
      <x:c r="D7" s="56" t="str">
        <x:v>Contenido dentro de bundle SHA 8953e1c284e7dd553a20bd5b1b3d7aa0985a22932fe0afdcebeee4c26aed950a</x:v>
      </x:c>
      <x:c r="E7" s="56" t="str">
        <x:v>170 relaciones exactas interaction-node-code, preguntas, help text, tipos y provenance</x:v>
      </x:c>
      <x:c r="F7" s="56" t="str">
        <x:v>Validado 044A3M / 170, 0 duplicados</x:v>
      </x:c>
      <x:c r="G7" s="56" t="str">
        <x:v>Slots_170</x:v>
      </x:c>
      <x:c r="H7" s="56" t="str">
        <x:v>Autoridad de proyección técnica derivada; no nuevo rector.</x:v>
      </x:c>
    </x:row>
    <x:row r="8" ht="52" customHeight="1">
      <x:c r="A8" s="56" t="str">
        <x:v>S07</x:v>
      </x:c>
      <x:c r="B8" s="56" t="str">
        <x:v>Marco estructural</x:v>
      </x:c>
      <x:c r="C8" s="56" t="str">
        <x:v>Marco_Estructural_Maestro_EVE_actualizado_2026-08-03.txt</x:v>
      </x:c>
      <x:c r="D8" s="56" t="str">
        <x:v>cc95b80a869f37d56c7f23a88761a60acf9a5462bf795c37ea50856543263090</x:v>
      </x:c>
      <x:c r="E8" s="56" t="str">
        <x:v>Posición del Runtime en el sistema EVE y fronteras de capa</x:v>
      </x:c>
      <x:c r="F8" s="56" t="str">
        <x:v>Verificado localmente</x:v>
      </x:c>
      <x:c r="G8" s="56" t="str">
        <x:v>Resumen / Gobierno</x:v>
      </x:c>
      <x:c r="H8" s="56" t="str">
        <x:v>Controla alcance; no define controles UI fila por fila.</x:v>
      </x:c>
    </x:row>
    <x:row r="9" ht="52" customHeight="1">
      <x:c r="A9" s="56" t="str">
        <x:v>S08</x:v>
      </x:c>
      <x:c r="B9" s="56" t="str">
        <x:v>Materialidad app</x:v>
      </x:c>
      <x:c r="C9" s="56" t="str">
        <x:v>runtime-40-20-045R3AT-gaby-runtime-application-connection.zip</x:v>
      </x:c>
      <x:c r="D9" s="56" t="str">
        <x:v>6a5781bb7f8103ab32c594abfb67dcf34240ace8eccbe429c999fbcf01d5b890</x:v>
      </x:c>
      <x:c r="E9" s="56" t="str">
        <x:v>Snapshot de SceneQuestionnaireRunner y conexión app Runtime</x:v>
      </x:c>
      <x:c r="F9" s="56" t="str">
        <x:v>Hash verificado</x:v>
      </x:c>
      <x:c r="G9" s="56" t="str">
        <x:v>Compatibilidad runner R3AT</x:v>
      </x:c>
      <x:c r="H9" s="56" t="str">
        <x:v>Se usa solo como fotografía técnica; puede quedar obsoleta.</x:v>
      </x:c>
    </x:row>
    <x:row r="10" ht="52" customHeight="1">
      <x:c r="A10" s="56" t="str">
        <x:v>S09</x:v>
      </x:c>
      <x:c r="B10" s="56" t="str">
        <x:v>Rector de bloque</x:v>
      </x:c>
      <x:c r="C10" s="56" t="str">
        <x:v>Bloque_0_Documento_Madre_Capa1_v2_1_EVE_rev4_redisenado_robusto.docx</x:v>
      </x:c>
      <x:c r="D10" s="56" t="str">
        <x:v>09705631f85c35bb58b1cb491e132eb289ac47beadccbf568dafbbc025f939db</x:v>
      </x:c>
      <x:c r="E10" s="56" t="str">
        <x:v>Pregunta fuente, help_text, tipo, opciones, reglas y provenance</x:v>
      </x:c>
      <x:c r="F10" s="56" t="str">
        <x:v>Hash local coincide con 044A3M</x:v>
      </x:c>
      <x:c r="G10" s="56" t="str">
        <x:v>Slots_170</x:v>
      </x:c>
      <x:c r="H10" s="56" t="str">
        <x:v>Fuente final del bloque correspondiente.</x:v>
      </x:c>
    </x:row>
    <x:row r="11" ht="52" customHeight="1">
      <x:c r="A11" s="56" t="str">
        <x:v>S10</x:v>
      </x:c>
      <x:c r="B11" s="56" t="str">
        <x:v>Rector de bloque</x:v>
      </x:c>
      <x:c r="C11" s="56" t="str">
        <x:v>Bloque_0_5_Documento_Madre_Capa1_v2_1_EVE.docx</x:v>
      </x:c>
      <x:c r="D11" s="56" t="str">
        <x:v>d8d4ee2bbf35d603e5237cd90b811ff196c9f2f48e4a51ea652f1a2161862199</x:v>
      </x:c>
      <x:c r="E11" s="56" t="str">
        <x:v>Pregunta fuente, help_text, tipo, opciones, reglas y provenance</x:v>
      </x:c>
      <x:c r="F11" s="56" t="str">
        <x:v>Hash local coincide con 044A3M</x:v>
      </x:c>
      <x:c r="G11" s="56" t="str">
        <x:v>Slots_170</x:v>
      </x:c>
      <x:c r="H11" s="56" t="str">
        <x:v>Fuente final del bloque correspondiente.</x:v>
      </x:c>
    </x:row>
    <x:row r="12" ht="52" customHeight="1">
      <x:c r="A12" s="56" t="str">
        <x:v>S11</x:v>
      </x:c>
      <x:c r="B12" s="56" t="str">
        <x:v>Rector de bloque</x:v>
      </x:c>
      <x:c r="C12" s="56" t="str">
        <x:v>Bloque_1_Documento_Madre_Capa1_v2_1_EVE.docx</x:v>
      </x:c>
      <x:c r="D12" s="56" t="str">
        <x:v>d5d92a1d38a1f1030d64a9762e59a225baed0d4293cf25a43f47a37b6b2d8319</x:v>
      </x:c>
      <x:c r="E12" s="56" t="str">
        <x:v>Pregunta fuente, help_text, tipo, opciones, reglas y provenance</x:v>
      </x:c>
      <x:c r="F12" s="56" t="str">
        <x:v>Hash local coincide con 044A3M</x:v>
      </x:c>
      <x:c r="G12" s="56" t="str">
        <x:v>Slots_170</x:v>
      </x:c>
      <x:c r="H12" s="56" t="str">
        <x:v>Fuente final del bloque correspondiente.</x:v>
      </x:c>
    </x:row>
    <x:row r="13" ht="52" customHeight="1">
      <x:c r="A13" s="56" t="str">
        <x:v>S12</x:v>
      </x:c>
      <x:c r="B13" s="56" t="str">
        <x:v>Rector de bloque</x:v>
      </x:c>
      <x:c r="C13" s="56" t="str">
        <x:v>Bloque_2_Documento_Madre_Capa1_v2_1_EVE.docx</x:v>
      </x:c>
      <x:c r="D13" s="56" t="str">
        <x:v>0e134ee7e73dbb4b5b54a833712e2d15b5f03bcaf84219a50b21ab0e7ccd38cc</x:v>
      </x:c>
      <x:c r="E13" s="56" t="str">
        <x:v>Pregunta fuente, help_text, tipo, opciones, reglas y provenance</x:v>
      </x:c>
      <x:c r="F13" s="56" t="str">
        <x:v>Hash local coincide con 044A3M</x:v>
      </x:c>
      <x:c r="G13" s="56" t="str">
        <x:v>Slots_170</x:v>
      </x:c>
      <x:c r="H13" s="56" t="str">
        <x:v>Fuente final del bloque correspondiente.</x:v>
      </x:c>
    </x:row>
    <x:row r="14" ht="52" customHeight="1">
      <x:c r="A14" s="56" t="str">
        <x:v>S13</x:v>
      </x:c>
      <x:c r="B14" s="56" t="str">
        <x:v>Rector de bloque</x:v>
      </x:c>
      <x:c r="C14" s="56" t="str">
        <x:v>Bloque_3_Documento_Madre_Capa1_v2_1_EVE_rev3_alineado.docx</x:v>
      </x:c>
      <x:c r="D14" s="56" t="str">
        <x:v>1a89cff41291ec47ff29852a4f074dd1b4095fdc3772a8b98f568dc7de921b8e</x:v>
      </x:c>
      <x:c r="E14" s="56" t="str">
        <x:v>Pregunta fuente, help_text, tipo, opciones, reglas y provenance</x:v>
      </x:c>
      <x:c r="F14" s="56" t="str">
        <x:v>Hash local coincide con 044A3M</x:v>
      </x:c>
      <x:c r="G14" s="56" t="str">
        <x:v>Slots_170</x:v>
      </x:c>
      <x:c r="H14" s="56" t="str">
        <x:v>Fuente final del bloque correspondiente.</x:v>
      </x:c>
    </x:row>
    <x:row r="15" ht="52" customHeight="1">
      <x:c r="A15" s="56" t="str">
        <x:v>S14</x:v>
      </x:c>
      <x:c r="B15" s="56" t="str">
        <x:v>Rector de bloque</x:v>
      </x:c>
      <x:c r="C15" s="56" t="str">
        <x:v>Bloque_4_Documento_Madre_Capa1_v2_1_EVE.docx</x:v>
      </x:c>
      <x:c r="D15" s="56" t="str">
        <x:v>b4dab985a18b32383fc8bb968cc41cab2781bbb50f9d53af834cb40d182d87c6</x:v>
      </x:c>
      <x:c r="E15" s="56" t="str">
        <x:v>Pregunta fuente, help_text, tipo, opciones, reglas y provenance</x:v>
      </x:c>
      <x:c r="F15" s="56" t="str">
        <x:v>Hash local coincide con 044A3M</x:v>
      </x:c>
      <x:c r="G15" s="56" t="str">
        <x:v>Slots_170</x:v>
      </x:c>
      <x:c r="H15" s="56" t="str">
        <x:v>Fuente final del bloque correspondiente.</x:v>
      </x:c>
    </x:row>
    <x:row r="16" ht="52" customHeight="1">
      <x:c r="A16" s="56" t="str">
        <x:v>S15</x:v>
      </x:c>
      <x:c r="B16" s="56" t="str">
        <x:v>Rector de bloque</x:v>
      </x:c>
      <x:c r="C16" s="56" t="str">
        <x:v>Bloque_5_Documento_Madre_Capa1_v2_1_EVE_rev3.docx</x:v>
      </x:c>
      <x:c r="D16" s="56" t="str">
        <x:v>43c1d19ec3fd4e50f769dbd60d06685176c946a6364e3010b417cffff4266488</x:v>
      </x:c>
      <x:c r="E16" s="56" t="str">
        <x:v>Pregunta fuente, help_text, tipo, opciones, reglas y provenance</x:v>
      </x:c>
      <x:c r="F16" s="56" t="str">
        <x:v>Hash local coincide con 044A3M</x:v>
      </x:c>
      <x:c r="G16" s="56" t="str">
        <x:v>Slots_170</x:v>
      </x:c>
      <x:c r="H16" s="56" t="str">
        <x:v>Fuente final del bloque correspondiente.</x:v>
      </x:c>
    </x:row>
    <x:row r="17" ht="52" customHeight="1">
      <x:c r="A17" s="56" t="str">
        <x:v>S16</x:v>
      </x:c>
      <x:c r="B17" s="56" t="str">
        <x:v>Rector de bloque</x:v>
      </x:c>
      <x:c r="C17" s="56" t="str">
        <x:v>Bloque_6_Documento_Madre_Capa1_v2_1_EVE_rev4_reconstruido.docx</x:v>
      </x:c>
      <x:c r="D17" s="56" t="str">
        <x:v>32120139abad0348c007c31b16ee38e7e18954d85a6dca8054c48c4a96732b2d</x:v>
      </x:c>
      <x:c r="E17" s="56" t="str">
        <x:v>Pregunta fuente, help_text, tipo, opciones, reglas y provenance</x:v>
      </x:c>
      <x:c r="F17" s="56" t="str">
        <x:v>Hash local coincide con 044A3M</x:v>
      </x:c>
      <x:c r="G17" s="56" t="str">
        <x:v>Slots_170</x:v>
      </x:c>
      <x:c r="H17" s="56" t="str">
        <x:v>Fuente final del bloque correspondiente.</x:v>
      </x:c>
    </x:row>
    <x:row r="18" ht="52" customHeight="1">
      <x:c r="A18" s="56" t="str">
        <x:v>S17</x:v>
      </x:c>
      <x:c r="B18" s="56" t="str">
        <x:v>Rector de bloque</x:v>
      </x:c>
      <x:c r="C18" s="56" t="str">
        <x:v>Bloque_7_Documento_Madre_Capa1_v2_1_EVE_rev4_alineado.docx</x:v>
      </x:c>
      <x:c r="D18" s="56" t="str">
        <x:v>2a81e6eaa3d7ca9c11245d1010633fb233087e22a7d05bfd678350728820b399</x:v>
      </x:c>
      <x:c r="E18" s="56" t="str">
        <x:v>Pregunta fuente, help_text, tipo, opciones, reglas y provenance</x:v>
      </x:c>
      <x:c r="F18" s="56" t="str">
        <x:v>Hash local coincide con 044A3M</x:v>
      </x:c>
      <x:c r="G18" s="56" t="str">
        <x:v>Slots_170</x:v>
      </x:c>
      <x:c r="H18" s="56" t="str">
        <x:v>Fuente final del bloque correspondiente.</x:v>
      </x:c>
    </x:row>
  </x:sheetData>
  <x:pageMargins left="0.7" right="0.7" top="0.75" bottom="0.75" header="0.3" footer="0.3"/>
  <x:tableParts count="1">
    <x:tablePart xmlns:r="http://schemas.openxmlformats.org/officeDocument/2006/relationships" r:id="R20cfd41172a548b7"/>
  </x:tableParts>
</x:worksheet>
</file>

<file path=xl/worksheets/sheet8.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s>
  <x:sheetData>
    <x:row r="1" ht="32" customHeight="1">
      <x:c r="A1" s="49" t="str">
        <x:v>Estado_UI</x:v>
      </x:c>
      <x:c r="B1" s="49" t="str">
        <x:v>Estado_Conformance</x:v>
      </x:c>
      <x:c r="C1" s="49" t="str">
        <x:v>Estado_Prueba</x:v>
      </x:c>
      <x:c r="D1" s="49" t="str">
        <x:v>Estado_Gestión</x:v>
      </x:c>
    </x:row>
    <x:row r="2">
      <x:c r="A2" s="56" t="str">
        <x:v>No evaluado</x:v>
      </x:c>
      <x:c r="B2" s="56" t="str">
        <x:v>No evaluado</x:v>
      </x:c>
      <x:c r="C2" s="56" t="str">
        <x:v>No ejecutado</x:v>
      </x:c>
      <x:c r="D2" s="56" t="str">
        <x:v>Pendiente</x:v>
      </x:c>
    </x:row>
    <x:row r="3">
      <x:c r="A3" s="56" t="str">
        <x:v>En diseño</x:v>
      </x:c>
      <x:c r="B3" s="56" t="str">
        <x:v>Conforme</x:v>
      </x:c>
      <x:c r="C3" s="56" t="str">
        <x:v>Pasó</x:v>
      </x:c>
      <x:c r="D3" s="56" t="str">
        <x:v>En curso</x:v>
      </x:c>
    </x:row>
    <x:row r="4">
      <x:c r="A4" s="56" t="str">
        <x:v>En desarrollo</x:v>
      </x:c>
      <x:c r="B4" s="56" t="str">
        <x:v>Parcial</x:v>
      </x:c>
      <x:c r="C4" s="56" t="str">
        <x:v>Falló</x:v>
      </x:c>
      <x:c r="D4" s="56" t="str">
        <x:v>Cerrado</x:v>
      </x:c>
    </x:row>
    <x:row r="5">
      <x:c r="A5" s="56" t="str">
        <x:v>Implementado</x:v>
      </x:c>
      <x:c r="B5" s="56" t="str">
        <x:v>No conforme</x:v>
      </x:c>
      <x:c r="C5" s="56" t="str">
        <x:v>Bloqueado</x:v>
      </x:c>
      <x:c r="D5" s="56" t="str">
        <x:v>Bloqueado</x:v>
      </x:c>
    </x:row>
    <x:row r="6">
      <x:c r="A6" s="56" t="str">
        <x:v>Bloqueado</x:v>
      </x:c>
      <x:c r="B6" s="56" t="str">
        <x:v>Bloqueado</x:v>
      </x:c>
      <x:c r="C6" s="56" t="str">
        <x:v>No aplica</x:v>
      </x:c>
      <x:c r="D6" s="56" t="str">
        <x:v>No aplica</x:v>
      </x:c>
    </x:row>
    <x:row r="7">
      <x:c r="A7" s="56" t="str">
        <x:v>No aplica</x:v>
      </x:c>
      <x:c r="B7" s="56" t="str">
        <x:v>No aplica</x:v>
      </x:c>
      <x:c r="C7" s="56"/>
      <x:c r="D7" s="56"/>
    </x:row>
    <x:row r="8">
      <x:c r="A8" s="56" t="str">
        <x:v>Existente / por verificar</x:v>
      </x:c>
      <x:c r="B8" s="56"/>
      <x:c r="C8" s="56"/>
      <x:c r="D8" s="56"/>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28" hidden="0" customWidth="1"/>
    <x:col min="3" max="3" width="38" hidden="0" customWidth="1"/>
    <x:col min="4" max="4" width="32" hidden="0" customWidth="1"/>
    <x:col min="5" max="5" width="42" hidden="0" customWidth="1"/>
    <x:col min="6" max="6" width="36" hidden="0" customWidth="1"/>
    <x:col min="7" max="7" width="34" hidden="0" customWidth="1"/>
  </x:cols>
  <x:sheetData>
    <x:row r="1">
      <x:c r="A1" s="49" t="str">
        <x:v>elemento</x:v>
      </x:c>
      <x:c r="B1" s="49" t="str">
        <x:v>autoridad</x:v>
      </x:c>
      <x:c r="C1" s="49" t="str">
        <x:v>Renderer → UI</x:v>
      </x:c>
      <x:c r="D1" s="49" t="str">
        <x:v>UI → BFF</x:v>
      </x:c>
      <x:c r="E1" s="49" t="str">
        <x:v>resolución server-side</x:v>
      </x:c>
      <x:c r="F1" s="49" t="str">
        <x:v>regla de falla</x:v>
      </x:c>
      <x:c r="G1" s="49" t="str">
        <x:v>base rectora</x:v>
      </x:c>
    </x:row>
    <x:row r="2" ht="58" customHeight="1">
      <x:c r="A2" s="56" t="str">
        <x:v>catalog_version_id</x:v>
      </x:c>
      <x:c r="B2" s="56" t="str">
        <x:v>activity_runtime_run pinneado</x:v>
      </x:c>
      <x:c r="C2" s="56" t="str">
        <x:v>No requiere exposición como autoridad</x:v>
      </x:c>
      <x:c r="D2" s="56" t="str">
        <x:v>No permitido como override</x:v>
      </x:c>
      <x:c r="E2" s="56" t="str">
        <x:v>Resolver desde run</x:v>
      </x:c>
      <x:c r="F2" s="56" t="str">
        <x:v>Mismatch/override → reject o ignore</x:v>
      </x:c>
      <x:c r="G2" s="56" t="str">
        <x:v>CATID-R1 + Especificación Técnica</x:v>
      </x:c>
    </x:row>
    <x:row r="3" ht="58" customHeight="1">
      <x:c r="A3" s="56" t="str">
        <x:v>activity_runtime_run_id</x:v>
      </x:c>
      <x:c r="B3" s="56" t="str">
        <x:v>Servidor / finalize</x:v>
      </x:c>
      <x:c r="C3" s="56" t="str">
        <x:v>Referencia opaca si la UI la necesita</x:v>
      </x:c>
      <x:c r="D3" s="56" t="str">
        <x:v>Eco de referencia emitida</x:v>
      </x:c>
      <x:c r="E3" s="56" t="str">
        <x:v>Validar ownership/tenant/participant</x:v>
      </x:c>
      <x:c r="F3" s="56" t="str">
        <x:v>Run ajeno → reject</x:v>
      </x:c>
      <x:c r="G3" s="56" t="str">
        <x:v>Marco Estructural + R3A</x:v>
      </x:c>
    </x:row>
    <x:row r="4" ht="58" customHeight="1">
      <x:c r="A4" s="56" t="str">
        <x:v>runtime_interaction_id</x:v>
      </x:c>
      <x:c r="B4" s="56" t="str">
        <x:v>Renderer/engine</x:v>
      </x:c>
      <x:c r="C4" s="56" t="str">
        <x:v>Emitido con InteractionViewModel</x:v>
      </x:c>
      <x:c r="D4" s="56" t="str">
        <x:v>Eco técnico, no autoridad semántica</x:v>
      </x:c>
      <x:c r="E4" s="56" t="str">
        <x:v>Validar contra instance/run/catalog</x:v>
      </x:c>
      <x:c r="F4" s="56" t="str">
        <x:v>Interacción ajena/cerrada → reject</x:v>
      </x:c>
      <x:c r="G4" s="56" t="str">
        <x:v>Runtime XLSX + Especificación</x:v>
      </x:c>
    </x:row>
    <x:row r="5" ht="58" customHeight="1">
      <x:c r="A5" s="56" t="str">
        <x:v>interaction_instance_id</x:v>
      </x:c>
      <x:c r="B5" s="56" t="str">
        <x:v>Servidor</x:v>
      </x:c>
      <x:c r="C5" s="56" t="str">
        <x:v>Emitido por Renderer</x:v>
      </x:c>
      <x:c r="D5" s="56" t="str">
        <x:v>Eco obligatorio</x:v>
      </x:c>
      <x:c r="E5" s="56" t="str">
        <x:v>Validar abierta y perteneciente al run</x:v>
      </x:c>
      <x:c r="F5" s="56" t="str">
        <x:v>Incorrecta/cerrada → reject</x:v>
      </x:c>
      <x:c r="G5" s="56" t="str">
        <x:v>Especificación Técnica</x:v>
      </x:c>
    </x:row>
    <x:row r="6" ht="58" customHeight="1">
      <x:c r="A6" s="56" t="str">
        <x:v>slot_ref</x:v>
      </x:c>
      <x:c r="B6" s="56" t="str">
        <x:v>Servidor / Renderer</x:v>
      </x:c>
      <x:c r="C6" s="56" t="str">
        <x:v>Uno por control visible</x:v>
      </x:c>
      <x:c r="D6" s="56" t="str">
        <x:v>Eco + valor humano</x:v>
      </x:c>
      <x:c r="E6" s="56" t="str">
        <x:v>Resolver a source_node/source_code por crosswalk</x:v>
      </x:c>
      <x:c r="F6" s="56" t="str">
        <x:v>Wrong slot → reject; 0 writes</x:v>
      </x:c>
      <x:c r="G6" s="56" t="str">
        <x:v>044A3M + Especificación</x:v>
      </x:c>
    </x:row>
    <x:row r="7" ht="58" customHeight="1">
      <x:c r="A7" s="56" t="str">
        <x:v>visible_text</x:v>
      </x:c>
      <x:c r="B7" s="56" t="str">
        <x:v>Runtime XLSX / Renderer</x:v>
      </x:c>
      <x:c r="C7" s="56" t="str">
        <x:v>Mostrar literal de interacción</x:v>
      </x:c>
      <x:c r="D7" s="56" t="str">
        <x:v>No se devuelve como autoridad</x:v>
      </x:c>
      <x:c r="E7" s="56" t="str">
        <x:v>No usar para mapping</x:v>
      </x:c>
      <x:c r="F7" s="56" t="str">
        <x:v>Texto modificado no cambia semántica</x:v>
      </x:c>
      <x:c r="G7" s="56" t="str">
        <x:v>Runtime XLSX</x:v>
      </x:c>
    </x:row>
    <x:row r="8" ht="58" customHeight="1">
      <x:c r="A8" s="56" t="str">
        <x:v>ui_component</x:v>
      </x:c>
      <x:c r="B8" s="56" t="str">
        <x:v>Runtime XLSX / Renderer</x:v>
      </x:c>
      <x:c r="C8" s="56" t="str">
        <x:v>Selecciona pantalla/componente específico</x:v>
      </x:c>
      <x:c r="D8" s="56" t="str">
        <x:v>No autoridad cliente</x:v>
      </x:c>
      <x:c r="E8" s="56" t="str">
        <x:v>Validar que pantalla preserve contrato</x:v>
      </x:c>
      <x:c r="F8" s="56" t="str">
        <x:v>Control no soportado → bloquear conformance</x:v>
      </x:c>
      <x:c r="G8" s="56" t="str">
        <x:v>Runtime XLSX + UX Contract</x:v>
      </x:c>
    </x:row>
    <x:row r="9" ht="58" customHeight="1">
      <x:c r="A9" s="56" t="str">
        <x:v>subfield type / control metadata</x:v>
      </x:c>
      <x:c r="B9" s="56" t="str">
        <x:v>Renderer desde rector</x:v>
      </x:c>
      <x:c r="C9" s="56" t="str">
        <x:v>Debe incluir tipo, opciones, required y reglas necesarias</x:v>
      </x:c>
      <x:c r="D9" s="56" t="str">
        <x:v>No redefinir tipo</x:v>
      </x:c>
      <x:c r="E9" s="56" t="str">
        <x:v>Validar valores según contrato</x:v>
      </x:c>
      <x:c r="F9" s="56" t="str">
        <x:v>UI que convierte elección/escala en texto → no conforme</x:v>
      </x:c>
      <x:c r="G9" s="56" t="str">
        <x:v>Especificación §11 + fichas fuente</x:v>
      </x:c>
    </x:row>
    <x:row r="10" ht="58" customHeight="1">
      <x:c r="A10" s="56" t="str">
        <x:v>help_text</x:v>
      </x:c>
      <x:c r="B10" s="56" t="str">
        <x:v>Ficha fuente / Renderer</x:v>
      </x:c>
      <x:c r="C10" s="56" t="str">
        <x:v>Mostrar asociado al slot exacto</x:v>
      </x:c>
      <x:c r="D10" s="56" t="str">
        <x:v>No se usa como respuesta</x:v>
      </x:c>
      <x:c r="E10" s="56" t="str">
        <x:v>No inferir semántica desde help text</x:v>
      </x:c>
      <x:c r="F10" s="56" t="str">
        <x:v>Help text ausente/mal asociado → gap UI</x:v>
      </x:c>
      <x:c r="G10" s="56" t="str">
        <x:v>Bloques Madre + 044A3M</x:v>
      </x:c>
    </x:row>
    <x:row r="11" ht="58" customHeight="1">
      <x:c r="A11" s="56" t="str">
        <x:v>answer value(s)</x:v>
      </x:c>
      <x:c r="B11" s="56" t="str">
        <x:v>Usuario</x:v>
      </x:c>
      <x:c r="C11" s="56" t="str">
        <x:v>No aplica</x:v>
      </x:c>
      <x:c r="D11" s="56" t="str">
        <x:v>Único contenido semántico aportado por cliente</x:v>
      </x:c>
      <x:c r="E11" s="56" t="str">
        <x:v>Validar shape/opciones/rango</x:v>
      </x:c>
      <x:c r="F11" s="56" t="str">
        <x:v>Valor inválido → reject</x:v>
      </x:c>
      <x:c r="G11" s="56" t="str">
        <x:v>Fichas fuente + Especificación</x:v>
      </x:c>
    </x:row>
    <x:row r="12" ht="58" customHeight="1">
      <x:c r="A12" s="56" t="str">
        <x:v>source_node_id / source_code</x:v>
      </x:c>
      <x:c r="B12" s="56" t="str">
        <x:v>Crosswalk / servidor</x:v>
      </x:c>
      <x:c r="C12" s="56" t="str">
        <x:v>Opcional como referencia opaca, no autoridad</x:v>
      </x:c>
      <x:c r="D12" s="56" t="str">
        <x:v>No permitido como override libre</x:v>
      </x:c>
      <x:c r="E12" s="56" t="str">
        <x:v>Resolver desde slot_ref + run + interaction</x:v>
      </x:c>
      <x:c r="F12" s="56" t="str">
        <x:v>Mismatch → reject</x:v>
      </x:c>
      <x:c r="G12" s="56" t="str">
        <x:v>Catálogo Madre + 044A3M</x:v>
      </x:c>
    </x:row>
    <x:row r="13" ht="58" customHeight="1">
      <x:c r="A13" s="56" t="str">
        <x:v>capture_slot_kind</x:v>
      </x:c>
      <x:c r="B13" s="56" t="str">
        <x:v>Crosswalk / servidor</x:v>
      </x:c>
      <x:c r="C13" s="56" t="str">
        <x:v>Solo lo necesario para presentación</x:v>
      </x:c>
      <x:c r="D13" s="56" t="str">
        <x:v>No autoridad cliente</x:v>
      </x:c>
      <x:c r="E13" s="56" t="str">
        <x:v>Resolver server-side</x:v>
      </x:c>
      <x:c r="F13" s="56" t="str">
        <x:v>Override → reject/ignore</x:v>
      </x:c>
      <x:c r="G13" s="56" t="str">
        <x:v>044A3M</x:v>
      </x:c>
    </x:row>
    <x:row r="14" ht="58" customHeight="1">
      <x:c r="A14" s="56" t="str">
        <x:v>provenance_type</x:v>
      </x:c>
      <x:c r="B14" s="56" t="str">
        <x:v>Política epistemológica / servidor</x:v>
      </x:c>
      <x:c r="C14" s="56" t="str">
        <x:v>No editable por usuario</x:v>
      </x:c>
      <x:c r="D14" s="56" t="str">
        <x:v>No permitido como override</x:v>
      </x:c>
      <x:c r="E14" s="56" t="str">
        <x:v>Resolver desde slot/política</x:v>
      </x:c>
      <x:c r="F14" s="56" t="str">
        <x:v>Override → reject/ignore</x:v>
      </x:c>
      <x:c r="G14" s="56" t="str">
        <x:v>Epistemic Policy + 044A3M</x:v>
      </x:c>
    </x:row>
    <x:row r="15" ht="58" customHeight="1">
      <x:c r="A15" s="56" t="str">
        <x:v>source_trace</x:v>
      </x:c>
      <x:c r="B15" s="56" t="str">
        <x:v>Servidor</x:v>
      </x:c>
      <x:c r="C15" s="56" t="str">
        <x:v>No es input UI</x:v>
      </x:c>
      <x:c r="D15" s="56" t="str">
        <x:v>No permitido</x:v>
      </x:c>
      <x:c r="E15" s="56" t="str">
        <x:v>Construir desde run/catalog/slot/crosswalk</x:v>
      </x:c>
      <x:c r="F15" s="56" t="str">
        <x:v>Override → reject</x:v>
      </x:c>
      <x:c r="G15" s="56" t="str">
        <x:v>Catálogo Madre + 044A3M</x:v>
      </x:c>
    </x:row>
    <x:row r="16" ht="58" customHeight="1">
      <x:c r="A16" s="56" t="str">
        <x:v>canonical_variable</x:v>
      </x:c>
      <x:c r="B16" s="56" t="str">
        <x:v>Crosswalk / CanonicalVariableService</x:v>
      </x:c>
      <x:c r="C16" s="56" t="str">
        <x:v>No editable</x:v>
      </x:c>
      <x:c r="D16" s="56" t="str">
        <x:v>No permitido</x:v>
      </x:c>
      <x:c r="E16" s="56" t="str">
        <x:v>Resolver después de ingest exacto</x:v>
      </x:c>
      <x:c r="F16" s="56" t="str">
        <x:v>client canonicalVariable → 0 autoridad</x:v>
      </x:c>
      <x:c r="G16" s="56" t="str">
        <x:v>Canonical_Variables + 044A3M</x:v>
      </x:c>
    </x:row>
    <x:row r="17" ht="58" customHeight="1">
      <x:c r="A17" s="56" t="str">
        <x:v>response_revision</x:v>
      </x:c>
      <x:c r="B17" s="56" t="str">
        <x:v>Persistencia Runtime</x:v>
      </x:c>
      <x:c r="C17" s="56" t="str">
        <x:v>Token de concurrencia solo si contrato lo exige</x:v>
      </x:c>
      <x:c r="D17" s="56" t="str">
        <x:v>No elegir arbitrariamente</x:v>
      </x:c>
      <x:c r="E17" s="56" t="str">
        <x:v>Resolver/validar server-side</x:v>
      </x:c>
      <x:c r="F17" s="56" t="str">
        <x:v>Conflicto → fail closed</x:v>
      </x:c>
      <x:c r="G17" s="56" t="str">
        <x:v>Especificación Técnica</x:v>
      </x:c>
    </x:row>
    <x:row r="18" ht="58" customHeight="1">
      <x:c r="A18" s="56" t="str">
        <x:v>idempotency_key</x:v>
      </x:c>
      <x:c r="B18" s="56" t="str">
        <x:v>Frontera server-side / patrón autorizado</x:v>
      </x:c>
      <x:c r="C18" s="56" t="str">
        <x:v>Puede transportarse como token opaco si se emite</x:v>
      </x:c>
      <x:c r="D18" s="56" t="str">
        <x:v>Eco, no semántica</x:v>
      </x:c>
      <x:c r="E18" s="56" t="str">
        <x:v>Generar/validar server-side</x:v>
      </x:c>
      <x:c r="F18" s="56" t="str">
        <x:v>Retry exacto → no duplicados</x:v>
      </x:c>
      <x:c r="G18" s="56" t="str">
        <x:v>Especificación Técnica</x:v>
      </x:c>
    </x:row>
    <x:row r="19" ht="58" customHeight="1">
      <x:c r="A19" s="56" t="str">
        <x:v>next interaction</x:v>
      </x:c>
      <x:c r="B19" s="56" t="str">
        <x:v>Engine / branching / state</x:v>
      </x:c>
      <x:c r="C19" s="56" t="str">
        <x:v>Renderer entrega Qn+1</x:v>
      </x:c>
      <x:c r="D19" s="56" t="str">
        <x:v>UI no decide</x:v>
      </x:c>
      <x:c r="E19" s="56" t="str">
        <x:v>Calcular después de ingest y gates</x:v>
      </x:c>
      <x:c r="F19" s="56" t="str">
        <x:v>Manifest/local index → prohibido en FULL</x:v>
      </x:c>
      <x:c r="G19" s="56" t="str">
        <x:v>Runtime XLSX + Especificación</x:v>
      </x:c>
    </x:row>
  </x:sheetData>
  <x:pageMargins left="0.7" right="0.7" top="0.75" bottom="0.75" header="0.3" footer="0.3"/>
  <x:tableParts count="1">
    <x:tablePart xmlns:r="http://schemas.openxmlformats.org/officeDocument/2006/relationships" r:id="R6ac85dd88f0d4eef"/>
  </x:tableParts>
</x:worksheet>
</file>