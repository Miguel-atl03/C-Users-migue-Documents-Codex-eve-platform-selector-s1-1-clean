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8ec40990c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_Control" sheetId="1" r:id="R05adbcb2d5b04944"/>
    <x:sheet xmlns:r="http://schemas.openxmlformats.org/officeDocument/2006/relationships" name="Authority_Rules" sheetId="2" r:id="Rd04a1c36ebcb4ced"/>
    <x:sheet xmlns:r="http://schemas.openxmlformats.org/officeDocument/2006/relationships" name="Methodology_Overview" sheetId="3" r:id="Rcfb5b2e2d6804936"/>
    <x:sheet xmlns:r="http://schemas.openxmlformats.org/officeDocument/2006/relationships" name="Input_Schema" sheetId="4" r:id="Rf5a8946bf19d4310"/>
    <x:sheet xmlns:r="http://schemas.openxmlformats.org/officeDocument/2006/relationships" name="Eligibility_Gates" sheetId="5" r:id="Rc62455ce774a4f22"/>
    <x:sheet xmlns:r="http://schemas.openxmlformats.org/officeDocument/2006/relationships" name="Scoring_Weights" sheetId="6" r:id="Rdf93c029b2434420"/>
    <x:sheet xmlns:r="http://schemas.openxmlformats.org/officeDocument/2006/relationships" name="Selector_Template" sheetId="7" r:id="R1b6a91cfdc814ccc"/>
    <x:sheet xmlns:r="http://schemas.openxmlformats.org/officeDocument/2006/relationships" name="Coverage_Balance" sheetId="8" r:id="R6db55f38def149e5"/>
    <x:sheet xmlns:r="http://schemas.openxmlformats.org/officeDocument/2006/relationships" name="Selection_Flow" sheetId="9" r:id="Re9131ff3de9345f7"/>
    <x:sheet xmlns:r="http://schemas.openxmlformats.org/officeDocument/2006/relationships" name="UX_Contract" sheetId="10" r:id="Rf60adf442f754e96"/>
    <x:sheet xmlns:r="http://schemas.openxmlformats.org/officeDocument/2006/relationships" name="Runtime_Handoff" sheetId="11" r:id="Rf7b3cc8d092849ac"/>
    <x:sheet xmlns:r="http://schemas.openxmlformats.org/officeDocument/2006/relationships" name="NonPrimary_Context" sheetId="12" r:id="R294c0f6902ed411e"/>
    <x:sheet xmlns:r="http://schemas.openxmlformats.org/officeDocument/2006/relationships" name="MMABP_Rationale" sheetId="13" r:id="Ra834258543a748ed"/>
    <x:sheet xmlns:r="http://schemas.openxmlformats.org/officeDocument/2006/relationships" name="QA_Checklist" sheetId="14" r:id="Ra57ba558e37f4bf5"/>
    <x:sheet xmlns:r="http://schemas.openxmlformats.org/officeDocument/2006/relationships" name="Implementation_Dicts" sheetId="15" r:id="R8f782f6ab251447f"/>
    <x:sheet xmlns:r="http://schemas.openxmlformats.org/officeDocument/2006/relationships" name="Dashboard" sheetId="16" r:id="R4d3ecb80c6c24d75"/>
    <x:sheet xmlns:r="http://schemas.openxmlformats.org/officeDocument/2006/relationships" name="Example_Run" sheetId="17" r:id="R9e36bf555eff4c45"/>
    <x:sheet xmlns:r="http://schemas.openxmlformats.org/officeDocument/2006/relationships" name="v1_1_Change_Log" sheetId="18" r:id="R4cb64ef531114343"/>
    <x:sheet xmlns:r="http://schemas.openxmlformats.org/officeDocument/2006/relationships" name="Signal_Method_v1_1" sheetId="19" r:id="R13294321ce6e4d13"/>
    <x:sheet xmlns:r="http://schemas.openxmlformats.org/officeDocument/2006/relationships" name="PreRuntime_Rules_v1_1" sheetId="20" r:id="R175558593a2a4756"/>
    <x:sheet xmlns:r="http://schemas.openxmlformats.org/officeDocument/2006/relationships" name="Scoring_Model_v1_1" sheetId="21" r:id="Re2e8faa66b1b430e"/>
    <x:sheet xmlns:r="http://schemas.openxmlformats.org/officeDocument/2006/relationships" name="Selector_Template_v1_1" sheetId="22" r:id="R42eb2d2213e142eb"/>
    <x:sheet xmlns:r="http://schemas.openxmlformats.org/officeDocument/2006/relationships" name="Slot_Balance_v1_1" sheetId="23" r:id="R84f0b7715719494b"/>
    <x:sheet xmlns:r="http://schemas.openxmlformats.org/officeDocument/2006/relationships" name="Runtime_Handoff_v1_1" sheetId="24" r:id="Ree7a3cc7fc10485d"/>
    <x:sheet xmlns:r="http://schemas.openxmlformats.org/officeDocument/2006/relationships" name="QA_v1_1" sheetId="25" r:id="Rb3521792b9e84a32"/>
    <x:sheet xmlns:r="http://schemas.openxmlformats.org/officeDocument/2006/relationships" name="Dashboard_v1_1" sheetId="26" r:id="Reab4e289817b493b"/>
    <x:sheet xmlns:r="http://schemas.openxmlformats.org/officeDocument/2006/relationships" name="Example_Run_v1_1" sheetId="27" r:id="Rc974f71ebf9749f0"/>
    <x:sheet xmlns:r="http://schemas.openxmlformats.org/officeDocument/2006/relationships" name="v1_2_Change_Log" sheetId="28" r:id="R771ff80b6a0342e6"/>
    <x:sheet xmlns:r="http://schemas.openxmlformats.org/officeDocument/2006/relationships" name="Under8_Policy_v1_2" sheetId="29" r:id="R71275d8b9dad481c"/>
    <x:sheet xmlns:r="http://schemas.openxmlformats.org/officeDocument/2006/relationships" name="Screen_Sequence_v1_2" sheetId="30" r:id="Re7cd428887c1497f"/>
    <x:sheet xmlns:r="http://schemas.openxmlformats.org/officeDocument/2006/relationships" name="Context_Bundle_v1_2" sheetId="31" r:id="R8ba71f438ab44d4f"/>
    <x:sheet xmlns:r="http://schemas.openxmlformats.org/officeDocument/2006/relationships" name="Context_Epistemic_v1_2" sheetId="32" r:id="Rf860cc14eb2141d3"/>
    <x:sheet xmlns:r="http://schemas.openxmlformats.org/officeDocument/2006/relationships" name="Activity_Quality_Gates_v1_2" sheetId="33" r:id="R18dc7d8a8a6f406b"/>
    <x:sheet xmlns:r="http://schemas.openxmlformats.org/officeDocument/2006/relationships" name="Selection_Mode_v1_2" sheetId="34" r:id="R16992324b3fc49b7"/>
    <x:sheet xmlns:r="http://schemas.openxmlformats.org/officeDocument/2006/relationships" name="Significado_Runtime_v1_2" sheetId="35" r:id="Rf8fb6cb0d4ca45e5"/>
    <x:sheet xmlns:r="http://schemas.openxmlformats.org/officeDocument/2006/relationships" name="Runtime_ContextRules_v1_2" sheetId="36" r:id="Rf7a9672d78c44ff3"/>
    <x:sheet xmlns:r="http://schemas.openxmlformats.org/officeDocument/2006/relationships" name="NonCompetitive_Log_v1_2" sheetId="37" r:id="R4ca52e6d3ecd4299"/>
    <x:sheet xmlns:r="http://schemas.openxmlformats.org/officeDocument/2006/relationships" name="QA_v1_2" sheetId="38" r:id="R432442ba29d4424c"/>
    <x:sheet xmlns:r="http://schemas.openxmlformats.org/officeDocument/2006/relationships" name="Selector_Template_v1_2" sheetId="39" r:id="Rbe2f00a5c2ba4261"/>
    <x:sheet xmlns:r="http://schemas.openxmlformats.org/officeDocument/2006/relationships" name="Implementation_Dicts_v1_2" sheetId="40" r:id="R81030b7df34e4785"/>
    <x:sheet xmlns:r="http://schemas.openxmlformats.org/officeDocument/2006/relationships" name="Example_Run_v1_2" sheetId="41" r:id="R3dc1836df7c1471f"/>
    <x:sheet xmlns:r="http://schemas.openxmlformats.org/officeDocument/2006/relationships" name="Dashboard_v1_2" sheetId="42" r:id="R85825e123ddc4e22"/>
    <x:sheet xmlns:r="http://schemas.openxmlformats.org/officeDocument/2006/relationships" name="Significado_Handoff_v1_2" sheetId="43" r:id="R51cd4011e8a64a32"/>
    <x:sheet xmlns:r="http://schemas.openxmlformats.org/officeDocument/2006/relationships" name="Selection_Prec_v1_3" sheetId="44" r:id="Rb9cb8ad8134845fa"/>
    <x:sheet xmlns:r="http://schemas.openxmlformats.org/officeDocument/2006/relationships" name="Scoring_Model_v1_3" sheetId="45" r:id="Rc58ddc298450412b"/>
    <x:sheet xmlns:r="http://schemas.openxmlformats.org/officeDocument/2006/relationships" name="Special_Slots_v1_3" sheetId="46" r:id="Reca461e13b99412a"/>
    <x:sheet xmlns:r="http://schemas.openxmlformats.org/officeDocument/2006/relationships" name="Reason_Codes_v1_3" sheetId="47" r:id="Rdbbb7a70867643db"/>
    <x:sheet xmlns:r="http://schemas.openxmlformats.org/officeDocument/2006/relationships" name="Trace_QA_v1_3" sheetId="48" r:id="R06cbe675220a421d"/>
    <x:sheet xmlns:r="http://schemas.openxmlformats.org/officeDocument/2006/relationships" name="Selector_Template_v1_3" sheetId="49" r:id="R87e836efa321405e"/>
    <x:sheet xmlns:r="http://schemas.openxmlformats.org/officeDocument/2006/relationships" name="DirectorCostos_Cal_v1_3" sheetId="50" r:id="R100447d442234b81"/>
    <x:sheet xmlns:r="http://schemas.openxmlformats.org/officeDocument/2006/relationships" name="Platform_Impl_v1_3" sheetId="51" r:id="Rf25e60a7823d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"/>
  </x:numFmts>
  <x:fonts count="10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  <x:font>
      <x:b/>
      <x:sz val="10"/>
      <x:color rgb="FFFFFFFF"/>
      <x:name val="Calibri"/>
    </x:font>
    <x:font>
      <x:sz val="10"/>
      <x:name val="Calibri"/>
    </x:font>
    <x:font>
      <x:b/>
      <x:sz val="14"/>
      <x:color rgb="FFFFFFFF"/>
      <x:name val="Carlito"/>
    </x:font>
    <x:font>
      <x:b/>
      <x:sz val="14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2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202" fontId="0" fillId="0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CFE2F3"/>
        </x:patternFill>
      </x:fill>
    </x:dxf>
    <x:dxf>
      <x:font>
        <x:color rgb="FF842029"/>
      </x:font>
      <x:fill>
        <x:patternFill>
          <x:bgColor rgb="FFF8D7DA"/>
        </x:patternFill>
      </x:fill>
    </x:dxf>
    <x:dxf>
      <x:font>
        <x:color rgb="FF664D03"/>
      </x:font>
      <x:fill>
        <x:patternFill>
          <x:bgColor rgb="FFFFF3CD"/>
        </x:patternFill>
      </x:fill>
    </x:dxf>
    <x:dxf>
      <x:font>
        <x:color rgb="FF0F5132"/>
      </x:font>
      <x:fill>
        <x:patternFill>
          <x:bgColor rgb="FFD1E7DD"/>
        </x:patternFill>
      </x:fill>
    </x:dxf>
    <x:dxf>
      <x:font>
        <x:color rgb="FF842029"/>
      </x:font>
      <x:fill>
        <x:patternFill>
          <x:bgColor rgb="FFF8D7DA"/>
        </x:patternFill>
      </x:fill>
    </x:dxf>
    <x:dxf>
      <x:font>
        <x:color rgb="FF664D03"/>
      </x:font>
      <x:fill>
        <x:patternFill>
          <x:bgColor rgb="FFFFF3CD"/>
        </x:patternFill>
      </x:fill>
    </x:dxf>
    <x:dxf>
      <x:font>
        <x:color rgb="FF0F5132"/>
      </x:font>
      <x:fill>
        <x:patternFill>
          <x:bgColor rgb="FFD1E7DD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3fba165414269" /><Relationship Type="http://schemas.openxmlformats.org/officeDocument/2006/relationships/theme" Target="/xl/theme/theme1.xml" Id="R5c9f14c39608458b" /><Relationship Type="http://schemas.microsoft.com/office/2022/11/relationships/FeaturePropertyBag" Target="/xl/featurePropertyBag/featurePropertyBag.xml" Id="R67e5d894ff5a4391" /><Relationship Type="http://schemas.openxmlformats.org/officeDocument/2006/relationships/sharedStrings" Target="/xl/sharedStrings.xml" Id="Rd19c3e9408e64e57" /><Relationship Type="http://schemas.openxmlformats.org/officeDocument/2006/relationships/worksheet" Target="/xl/worksheets/sheet1.xml" Id="R05adbcb2d5b04944" /><Relationship Type="http://schemas.openxmlformats.org/officeDocument/2006/relationships/worksheet" Target="/xl/worksheets/sheet2.xml" Id="Rd04a1c36ebcb4ced" /><Relationship Type="http://schemas.openxmlformats.org/officeDocument/2006/relationships/worksheet" Target="/xl/worksheets/sheet3.xml" Id="Rcfb5b2e2d6804936" /><Relationship Type="http://schemas.openxmlformats.org/officeDocument/2006/relationships/worksheet" Target="/xl/worksheets/sheet4.xml" Id="Rf5a8946bf19d4310" /><Relationship Type="http://schemas.openxmlformats.org/officeDocument/2006/relationships/worksheet" Target="/xl/worksheets/sheet5.xml" Id="Rc62455ce774a4f22" /><Relationship Type="http://schemas.openxmlformats.org/officeDocument/2006/relationships/worksheet" Target="/xl/worksheets/sheet6.xml" Id="Rdf93c029b2434420" /><Relationship Type="http://schemas.openxmlformats.org/officeDocument/2006/relationships/worksheet" Target="/xl/worksheets/sheet7.xml" Id="R1b6a91cfdc814ccc" /><Relationship Type="http://schemas.openxmlformats.org/officeDocument/2006/relationships/worksheet" Target="/xl/worksheets/sheet8.xml" Id="R6db55f38def149e5" /><Relationship Type="http://schemas.openxmlformats.org/officeDocument/2006/relationships/worksheet" Target="/xl/worksheets/sheet9.xml" Id="Re9131ff3de9345f7" /><Relationship Type="http://schemas.openxmlformats.org/officeDocument/2006/relationships/worksheet" Target="/xl/worksheets/sheet10.xml" Id="Rf60adf442f754e96" /><Relationship Type="http://schemas.openxmlformats.org/officeDocument/2006/relationships/worksheet" Target="/xl/worksheets/sheet11.xml" Id="Rf7b3cc8d092849ac" /><Relationship Type="http://schemas.openxmlformats.org/officeDocument/2006/relationships/worksheet" Target="/xl/worksheets/sheet12.xml" Id="R294c0f6902ed411e" /><Relationship Type="http://schemas.openxmlformats.org/officeDocument/2006/relationships/worksheet" Target="/xl/worksheets/sheet13.xml" Id="Ra834258543a748ed" /><Relationship Type="http://schemas.openxmlformats.org/officeDocument/2006/relationships/worksheet" Target="/xl/worksheets/sheet14.xml" Id="Ra57ba558e37f4bf5" /><Relationship Type="http://schemas.openxmlformats.org/officeDocument/2006/relationships/worksheet" Target="/xl/worksheets/sheet15.xml" Id="R8f782f6ab251447f" /><Relationship Type="http://schemas.openxmlformats.org/officeDocument/2006/relationships/worksheet" Target="/xl/worksheets/sheet16.xml" Id="R4d3ecb80c6c24d75" /><Relationship Type="http://schemas.openxmlformats.org/officeDocument/2006/relationships/worksheet" Target="/xl/worksheets/sheet17.xml" Id="R9e36bf555eff4c45" /><Relationship Type="http://schemas.openxmlformats.org/officeDocument/2006/relationships/worksheet" Target="/xl/worksheets/sheet18.xml" Id="R4cb64ef531114343" /><Relationship Type="http://schemas.openxmlformats.org/officeDocument/2006/relationships/worksheet" Target="/xl/worksheets/sheet19.xml" Id="R13294321ce6e4d13" /><Relationship Type="http://schemas.openxmlformats.org/officeDocument/2006/relationships/worksheet" Target="/xl/worksheets/sheet20.xml" Id="R175558593a2a4756" /><Relationship Type="http://schemas.openxmlformats.org/officeDocument/2006/relationships/worksheet" Target="/xl/worksheets/sheet21.xml" Id="Re2e8faa66b1b430e" /><Relationship Type="http://schemas.openxmlformats.org/officeDocument/2006/relationships/worksheet" Target="/xl/worksheets/sheet22.xml" Id="R42eb2d2213e142eb" /><Relationship Type="http://schemas.openxmlformats.org/officeDocument/2006/relationships/worksheet" Target="/xl/worksheets/sheet23.xml" Id="R84f0b7715719494b" /><Relationship Type="http://schemas.openxmlformats.org/officeDocument/2006/relationships/worksheet" Target="/xl/worksheets/sheet24.xml" Id="Ree7a3cc7fc10485d" /><Relationship Type="http://schemas.openxmlformats.org/officeDocument/2006/relationships/worksheet" Target="/xl/worksheets/sheet25.xml" Id="Rb3521792b9e84a32" /><Relationship Type="http://schemas.openxmlformats.org/officeDocument/2006/relationships/worksheet" Target="/xl/worksheets/sheet26.xml" Id="Reab4e289817b493b" /><Relationship Type="http://schemas.openxmlformats.org/officeDocument/2006/relationships/worksheet" Target="/xl/worksheets/sheet27.xml" Id="Rc974f71ebf9749f0" /><Relationship Type="http://schemas.openxmlformats.org/officeDocument/2006/relationships/worksheet" Target="/xl/worksheets/sheet28.xml" Id="R771ff80b6a0342e6" /><Relationship Type="http://schemas.openxmlformats.org/officeDocument/2006/relationships/worksheet" Target="/xl/worksheets/sheet29.xml" Id="R71275d8b9dad481c" /><Relationship Type="http://schemas.openxmlformats.org/officeDocument/2006/relationships/worksheet" Target="/xl/worksheets/sheet30.xml" Id="Re7cd428887c1497f" /><Relationship Type="http://schemas.openxmlformats.org/officeDocument/2006/relationships/worksheet" Target="/xl/worksheets/sheet31.xml" Id="R8ba71f438ab44d4f" /><Relationship Type="http://schemas.openxmlformats.org/officeDocument/2006/relationships/worksheet" Target="/xl/worksheets/sheet32.xml" Id="Rf860cc14eb2141d3" /><Relationship Type="http://schemas.openxmlformats.org/officeDocument/2006/relationships/worksheet" Target="/xl/worksheets/sheet33.xml" Id="R18dc7d8a8a6f406b" /><Relationship Type="http://schemas.openxmlformats.org/officeDocument/2006/relationships/worksheet" Target="/xl/worksheets/sheet34.xml" Id="R16992324b3fc49b7" /><Relationship Type="http://schemas.openxmlformats.org/officeDocument/2006/relationships/worksheet" Target="/xl/worksheets/sheet35.xml" Id="Rf8fb6cb0d4ca45e5" /><Relationship Type="http://schemas.openxmlformats.org/officeDocument/2006/relationships/worksheet" Target="/xl/worksheets/sheet36.xml" Id="Rf7a9672d78c44ff3" /><Relationship Type="http://schemas.openxmlformats.org/officeDocument/2006/relationships/worksheet" Target="/xl/worksheets/sheet37.xml" Id="R4ca52e6d3ecd4299" /><Relationship Type="http://schemas.openxmlformats.org/officeDocument/2006/relationships/worksheet" Target="/xl/worksheets/sheet38.xml" Id="R432442ba29d4424c" /><Relationship Type="http://schemas.openxmlformats.org/officeDocument/2006/relationships/worksheet" Target="/xl/worksheets/sheet39.xml" Id="Rbe2f00a5c2ba4261" /><Relationship Type="http://schemas.openxmlformats.org/officeDocument/2006/relationships/worksheet" Target="/xl/worksheets/sheet40.xml" Id="R81030b7df34e4785" /><Relationship Type="http://schemas.openxmlformats.org/officeDocument/2006/relationships/worksheet" Target="/xl/worksheets/sheet41.xml" Id="R3dc1836df7c1471f" /><Relationship Type="http://schemas.openxmlformats.org/officeDocument/2006/relationships/worksheet" Target="/xl/worksheets/sheet42.xml" Id="R85825e123ddc4e22" /><Relationship Type="http://schemas.openxmlformats.org/officeDocument/2006/relationships/worksheet" Target="/xl/worksheets/sheet43.xml" Id="R51cd4011e8a64a32" /><Relationship Type="http://schemas.openxmlformats.org/officeDocument/2006/relationships/worksheet" Target="/xl/worksheets/sheet44.xml" Id="Rb9cb8ad8134845fa" /><Relationship Type="http://schemas.openxmlformats.org/officeDocument/2006/relationships/worksheet" Target="/xl/worksheets/sheet45.xml" Id="Rc58ddc298450412b" /><Relationship Type="http://schemas.openxmlformats.org/officeDocument/2006/relationships/worksheet" Target="/xl/worksheets/sheet46.xml" Id="Reca461e13b99412a" /><Relationship Type="http://schemas.openxmlformats.org/officeDocument/2006/relationships/worksheet" Target="/xl/worksheets/sheet47.xml" Id="Rdbbb7a70867643db" /><Relationship Type="http://schemas.openxmlformats.org/officeDocument/2006/relationships/worksheet" Target="/xl/worksheets/sheet48.xml" Id="R06cbe675220a421d" /><Relationship Type="http://schemas.openxmlformats.org/officeDocument/2006/relationships/worksheet" Target="/xl/worksheets/sheet49.xml" Id="R87e836efa321405e" /><Relationship Type="http://schemas.openxmlformats.org/officeDocument/2006/relationships/worksheet" Target="/xl/worksheets/sheet50.xml" Id="R100447d442234b81" /><Relationship Type="http://schemas.openxmlformats.org/officeDocument/2006/relationships/worksheet" Target="/xl/worksheets/sheet51.xml" Id="Rf25e60a7823d4c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75" t="str">
        <x:v>Campo</x:v>
      </x:c>
      <x:c r="B1" s="75" t="str">
        <x:v>Contenido</x:v>
      </x:c>
    </x:row>
    <x:row r="2">
      <x:c r="A2" s="23" t="str">
        <x:v>Nombre del artefacto</x:v>
      </x:c>
      <x:c r="B2" s="23" t="str">
        <x:v>PrimaryActivitySelectionPolicy — Selector técnico de actividades primarias EVE/MMABP</x:v>
      </x:c>
    </x:row>
    <x:row r="3">
      <x:c r="A3" s="23" t="str">
        <x:v>Versión</x:v>
      </x:c>
      <x:c r="B3" s="23" t="str">
        <x:v>v1.2 operacional — conserva v1.0/v1.1 y agrega política &lt;=8 actividades, Context Bundle Estado A/WorkMap/Significado y confirmación de Significado como pantalla de ejecución Runtime 40/20</x:v>
      </x:c>
    </x:row>
    <x:row r="4">
      <x:c r="A4" s="23" t="str">
        <x:v>Fecha</x:v>
      </x:c>
      <x:c r="B4" s="23" t="str">
        <x:v>2026-06-14</x:v>
      </x:c>
    </x:row>
    <x:row r="5">
      <x:c r="A5" s="23" t="str">
        <x:v>Tipo de artefacto</x:v>
      </x:c>
      <x:c r="B5" s="23" t="str">
        <x:v>Workbook implementable para selección de máximo 8 actividades primarias desde WorkMap</x:v>
      </x:c>
    </x:row>
    <x:row r="6">
      <x:c r="A6" s="23" t="str">
        <x:v>Unidad evaluada</x:v>
      </x:c>
      <x:c r="B6" s="23" t="str">
        <x:v>Actividad de trabajo del WorkMap, asociada a rol funcional y responsabilidad</x:v>
      </x:c>
    </x:row>
    <x:row r="7">
      <x:c r="A7" s="23" t="str">
        <x:v>Salida principal</x:v>
      </x:c>
      <x:c r="B7" s="23" t="str">
        <x:v>Lista priorizada de hasta 8 actividades primarias para ejecutar Runtime 40+20</x:v>
      </x:c>
    </x:row>
    <x:row r="8">
      <x:c r="A8" s="24" t="str">
        <x:v>No debe hacer</x:v>
      </x:c>
      <x:c r="B8" s="24" t="str">
        <x:v>No diagnostica, no monetiza, no reemplaza Runtime 40+20, no produce diagramas ni Capa 2</x:v>
      </x:c>
    </x:row>
    <x:row r="9">
      <x:c r="A9" s="24" t="str">
        <x:v>Regla madre</x:v>
      </x:c>
      <x:c r="B9" s="24" t="str">
        <x:v>EVE selecciona por evidencia estructural; el usuario solo confirma/corrige hechos, no decide la metodología</x:v>
      </x:c>
    </x:row>
    <x:row r="10">
      <x:c r="A10" s="23" t="str">
        <x:v>Autoridad canónica</x:v>
      </x:c>
      <x:c r="B10" s="23" t="str">
        <x:v>Catálogo Madre Capa 1 v1.0 conserva nodos/códigos/corpus documental</x:v>
      </x:c>
    </x:row>
    <x:row r="11">
      <x:c r="A11" s="23" t="str">
        <x:v>Autoridad runtime</x:v>
      </x:c>
      <x:c r="B11" s="23" t="str">
        <x:v>Catálogo Runtime 40+20 v1.1 gobierna la experiencia por actividad seleccionada</x:v>
      </x:c>
    </x:row>
    <x:row r="12">
      <x:c r="A12" s="23" t="str">
        <x:v>Autoridad selector</x:v>
      </x:c>
      <x:c r="B12" s="23" t="str">
        <x:v>Este workbook define scoring, gates, balance y payload de selección primaria</x:v>
      </x:c>
    </x:row>
    <x:row r="13">
      <x:c r="A13" s="23" t="str">
        <x:v>Límite UX posterior</x:v>
      </x:c>
      <x:c r="B13" s="23" t="str">
        <x:v>Máximo 8 actividades primarias; cada primaria puede abrir 40 base + hasta 20 causales</x:v>
      </x:c>
    </x:row>
    <x:row r="14">
      <x:c r="A14" t="str">
        <x:v>Cambio v1.1</x:v>
      </x:c>
      <x:c r="B14" t="str">
        <x:v>La selección pre-Runtime no exige evidencia diagramable confirmada. Prioriza actividades por potencial de revelar evidencia para PM/MoC/PF/OLC durante Runtime 40/20.</x:v>
      </x:c>
    </x:row>
    <x:row r="15">
      <x:c r="A15" t="str">
        <x:v>Regla epistemológica v1.1</x:v>
      </x:c>
      <x:c r="B15" t="str">
        <x:v>Unknown no equivale a cero. La ausencia de un elemento explícito en WorkMap no prueba inexistencia; solo activa prudencia, microconfirmación o revisión.</x:v>
      </x:c>
    </x:row>
    <x:row r="16">
      <x:c r="A16" s="8" t="str">
        <x:v>Fuente usada</x:v>
      </x:c>
      <x:c r="B16" s="8" t="str">
        <x:v>Papel dentro del selector</x:v>
      </x:c>
    </x:row>
    <x:row r="17">
      <x:c r="A17" s="14" t="str">
        <x:v>EVE_Catalogo_Madre_Capa1_v1_0_Bloques_0_0_5_1_7.xlsx</x:v>
      </x:c>
      <x:c r="B17" s="14" t="str">
        <x:v>Fuente canónica de nodos, rutas críticas, variables y mapeo MMABP</x:v>
      </x:c>
    </x:row>
    <x:row r="18">
      <x:c r="A18" s="14" t="str">
        <x:v>EVE_Catalogo_Madre_Capa1_v1_0_Readme.docx</x:v>
      </x:c>
      <x:c r="B18" s="14" t="str">
        <x:v>Confirma 164 nodos, hojas, rutas críticas y regla de uso</x:v>
      </x:c>
    </x:row>
    <x:row r="19">
      <x:c r="A19" s="14" t="str">
        <x:v>Catalogo_Runtime_40_20_v1_1_VALIDADO.xlsx</x:v>
      </x:c>
      <x:c r="B19" s="14" t="str">
        <x:v>Define 40 base, 20 causales, gates, payload y QA del Runtime</x:v>
      </x:c>
    </x:row>
    <x:row r="20">
      <x:c r="A20" s="14" t="str">
        <x:v>Catalogo_Runtime_40_20_EVE_MMABP_v1_1_Operacional.docx</x:v>
      </x:c>
      <x:c r="B20" s="14" t="str">
        <x:v>Norma de gobierno operativo para el Runtime</x:v>
      </x:c>
    </x:row>
    <x:row r="21">
      <x:c r="A21" s="14" t="str">
        <x:v>Fundamentals of Business Architecture Modeling</x:v>
      </x:c>
      <x:c r="B21" s="14" t="str">
        <x:v>Fuente primaria MMABP: PM, MoC, PF, OLC, conformance y consistencia</x:v>
      </x:c>
    </x:row>
    <x:row r="22">
      <x:c r="A22" s="14" t="str">
        <x:v>Diseño estructural Plataforma EVE — Capa 1.0 para Producción Paralela</x:v>
      </x:c>
      <x:c r="B22" s="14" t="str">
        <x:v>Define consumidor estructural de evidencias y registros MMABP</x:v>
      </x:c>
    </x:row>
    <x:row r="23">
      <x:c r="A23" s="14" t="str">
        <x:v>Diseño estructural Capa 2.0/2.5 EVE con AHE</x:v>
      </x:c>
      <x:c r="B23" s="14" t="str">
        <x:v>Define que Capa 2 consume expediente conformado; no debe recibir diagnóstico crudo</x:v>
      </x:c>
    </x:row>
    <x:row r="24">
      <x:c r="A24" t="str">
        <x:v>Regla de intervención aplicada</x:v>
      </x:c>
      <x:c r="B24" t="str">
        <x:v>No se elimina contenido; se agregan hojas *_v1_1 y columnas/filas operativas. Donde se alinea redacción, se conserva la genealogía v1.0.</x:v>
      </x:c>
    </x:row>
    <x:row r="25">
      <x:c r="A25" t="str">
        <x:v>Nombre de versión exportada</x:v>
      </x:c>
      <x:c r="B25" t="str">
        <x:v>PrimaryActivitySelectionPolicy_EVE_MMABP_v1_2_Operacional.xlsx</x:v>
      </x:c>
    </x:row>
    <x:row r="26">
      <x:c r="A26" t="str">
        <x:v>Autoridad conceptual v1.1</x:v>
      </x:c>
      <x:c r="B26" t="str">
        <x:v>La selección es priorización bajo incertidumbre, no evaluación de conformance ni validación de consistencia.</x:v>
      </x:c>
    </x:row>
    <x:row r="27">
      <x:c r="A27" t="str">
        <x:v>Salida v1.1</x:v>
      </x:c>
      <x:c r="B27" t="str">
        <x:v>Top 8 candidatas para Runtime profundo + backlog/contexto no primario + razones auditables.</x:v>
      </x:c>
    </x:row>
    <x:row r="28">
      <x:c r="A28" t="str">
        <x:v>No debe hacer v1.1</x:v>
      </x:c>
      <x:c r="B28" t="str">
        <x:v>No debe convertir señal débil en hecho estructural, diagnóstico, diagrama ni consistencia confirmada.</x:v>
      </x:c>
    </x:row>
    <x:row r="29">
      <x:c r="A29" t="str">
        <x:v>Estado</x:v>
      </x:c>
      <x:c r="B29" t="str">
        <x:v>Listo para revisión/implementación controlada como selector pre-Runtime.</x:v>
      </x:c>
    </x:row>
    <x:row r="31">
      <x:c r="A31" t="str">
        <x:v>Cambio v1.2 — menos de 8 actividades</x:v>
      </x:c>
      <x:c r="B31" t="str">
        <x:v>Si actividades elegibles &lt;=8, no se aplica ranking competitivo: se seleccionan todas las elegibles, con control de calidad, cobertura y duplicados.</x:v>
      </x:c>
    </x:row>
    <x:row r="32">
      <x:c r="A32" t="str">
        <x:v>Cambio v1.2 — más información</x:v>
      </x:c>
      <x:c r="B32" t="str">
        <x:v>Más información no es siempre mejor: solo es útil si aumenta trazabilidad, confirmación, contextualización y valor para conformance/consistency futura.</x:v>
      </x:c>
    </x:row>
    <x:row r="33">
      <x:c r="A33" t="str">
        <x:v>Cambio v1.2 — pantalla Significado</x:v>
      </x:c>
      <x:c r="B33" t="str">
        <x:v>Significado de tu Trabajo ya ejecuta Runtime 40/20 por actividad primaria seleccionada; no es selector visible ni diagnóstico.</x:v>
      </x:c>
    </x:row>
    <x:row r="34">
      <x:c r="A34" t="str">
        <x:v>Cambio v1.2 — contexto previo</x:v>
      </x:c>
      <x:c r="B34" t="str">
        <x:v>Estado A, WorkMap y Significado forman un PreRuntime Context Bundle que contextualiza y prellena sin contaminar evidencia.</x:v>
      </x:c>
    </x:row>
    <x:row r="35">
      <x:c r="A35" t="str">
        <x:v>Regla de selección v1.2</x:v>
      </x:c>
      <x:c r="B35" t="str">
        <x:v>0 elegibles = reentry; 1–8 elegibles = non_competitive_inclusion; &gt;8 elegibles = competitive_selection.</x:v>
      </x:c>
    </x:row>
    <x:row r="36">
      <x:c r="A36" t="str">
        <x:v>Regla epistemológica v1.2</x:v>
      </x:c>
      <x:c r="B36" t="str">
        <x:v>inferred_from_workmap puede prellenar o sugerir, pero no cuenta como captured_user_evidence sin confirmación.</x:v>
      </x:c>
    </x:row>
    <x:row r="37">
      <x:c r="A37" t="str">
        <x:v>Regla de intervención v1.2</x:v>
      </x:c>
      <x:c r="B37" t="str">
        <x:v>No se elimina ni resume contenido previo; se agregan hojas *_v1_2, columnas, filas y plantillas operativas.</x:v>
      </x:c>
    </x:row>
    <x:row r="38">
      <x:c r="A38" t="str">
        <x:v>Estado v1.2</x:v>
      </x:c>
      <x:c r="B38" t="str">
        <x:v>Listo para revisión/implementación como política de selección + contexto previo + handoff hacia pantalla Significado Runtime.</x:v>
      </x:c>
    </x:row>
    <x:row r="40" ht="15" hidden="0" customHeight="1">
      <x:c r="A40" s="92" t="str">
        <x:v>Marco operativo vigente</x:v>
      </x:c>
      <x:c r="B40" s="92" t="str">
        <x:v>PrimaryActivitySelectionPolicy_EVE_MMABP_v1_3_Operacional</x:v>
      </x:c>
    </x:row>
    <x:row r="41" ht="26.399999618530273" hidden="0" customHeight="1">
      <x:c r="A41" s="81" t="str">
        <x:v>Principio rector de selección</x:v>
      </x:c>
      <x:c r="B41" s="81" t="str">
        <x:v>La selección de actividades primarias es priorización bajo incertidumbre. No valida evidencia diagramable; estima potencial de señal arquitectónica para que Runtime pueda revelar PM/MoC/PF/OLC.</x:v>
      </x:c>
    </x:row>
    <x:row r="42" ht="15" hidden="0" customHeight="1">
      <x:c r="A42" s="81" t="str">
        <x:v>Regla de balance</x:v>
      </x:c>
      <x:c r="B42" s="81" t="str">
        <x:v>El balance por responsabilidad es ajuste de diversidad o desempate; no es criterio primario de selección.</x:v>
      </x:c>
    </x:row>
    <x:row r="43" ht="26.399999618530273" hidden="0" customHeight="1">
      <x:c r="A43" s="81" t="str">
        <x:v>Regla de razón trazable</x:v>
      </x:c>
      <x:c r="B43" s="81" t="str">
        <x:v>Cada actividad seleccionada debe tener razón específica, slot o señal dominante. Las razones genéricas no son suficientes para QA.</x:v>
      </x:c>
    </x:row>
    <x:row r="44" ht="26.399999618530273" hidden="0" customHeight="1">
      <x:c r="A44" s="81" t="str">
        <x:v>Regla de implementación</x:v>
      </x:c>
      <x:c r="B44" s="81" t="str">
        <x:v>La plataforma debe implementar scoring por señales, boosts, penalizaciones, política de slots, deduplicación y conservación de no primarias como contexto.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45" hidden="0" customWidth="1"/>
    <x:col min="4" max="4" width="45" hidden="0" customWidth="1"/>
  </x:cols>
  <x:sheetData>
    <x:row r="1">
      <x:c r="A1" s="22" t="str">
        <x:v>Artefacto</x:v>
      </x:c>
      <x:c r="B1" s="22" t="str">
        <x:v>Autoridad</x:v>
      </x:c>
      <x:c r="C1" s="22" t="str">
        <x:v>No debe hacer</x:v>
      </x:c>
      <x:c r="D1" s="22" t="str">
        <x:v>Uso en la pantalla</x:v>
      </x:c>
    </x:row>
    <x:row r="2">
      <x:c r="A2" s="23" t="str">
        <x:v>Catálogo Madre v1.0</x:v>
      </x:c>
      <x:c r="B2" s="23" t="str">
        <x:v>Fuente canónica de nodos, códigos originales, rutas críticas y corpus documental.</x:v>
      </x:c>
      <x:c r="C2" s="23" t="str">
        <x:v>No define por sí solo la carga visible 40+20 ni la selección de actividades.</x:v>
      </x:c>
      <x:c r="D2" s="23" t="str">
        <x:v>No se muestra al usuario; alimenta trazabilidad interna.</x:v>
      </x:c>
    </x:row>
    <x:row r="3">
      <x:c r="A3" s="23" t="str">
        <x:v>Catálogo Runtime v1.1 DOCX</x:v>
      </x:c>
      <x:c r="B3" s="23" t="str">
        <x:v>Norma de reglas operativas del Runtime 40+20.</x:v>
      </x:c>
      <x:c r="C3" s="23" t="str">
        <x:v>No es base de datos ni artefacto ejecutable directo.</x:v>
      </x:c>
      <x:c r="D3" s="23" t="str">
        <x:v>Sirve como manual de comportamiento de UI/motor.</x:v>
      </x:c>
    </x:row>
    <x:row r="4">
      <x:c r="A4" s="23" t="str">
        <x:v>Catálogo Runtime v1.1 XLSX</x:v>
      </x:c>
      <x:c r="B4" s="23" t="str">
        <x:v>Fuente implementable para interfaz, motor y QA del Runtime por actividad.</x:v>
      </x:c>
      <x:c r="C4" s="23" t="str">
        <x:v>No selecciona actividades primarias desde WorkMap.</x:v>
      </x:c>
      <x:c r="D4" s="23" t="str">
        <x:v>Se ejecuta solo sobre actividades primarias ya seleccionadas.</x:v>
      </x:c>
    </x:row>
    <x:row r="5">
      <x:c r="A5" s="23" t="str">
        <x:v>PrimaryActivitySelectionPolicy XLSX</x:v>
      </x:c>
      <x:c r="B5" s="23" t="str">
        <x:v>Fuente implementable para elegir hasta 8 actividades primarias.</x:v>
      </x:c>
      <x:c r="C5" s="23" t="str">
        <x:v>No diagnostica, no reemplaza Runtime, no reescribe WorkMap.</x:v>
      </x:c>
      <x:c r="D5" s="23" t="str">
        <x:v>Gobierna pantalla previa al Runtime.</x:v>
      </x:c>
    </x:row>
    <x:row r="6">
      <x:c r="A6" s="23" t="str">
        <x:v>WorkMap</x:v>
      </x:c>
      <x:c r="B6" s="23" t="str">
        <x:v>Fuente primaria de inventario de áreas, responsabilidades y actividades.</x:v>
      </x:c>
      <x:c r="C6" s="23" t="str">
        <x:v>No decide por sí solo qué es estructuralmente más útil.</x:v>
      </x:c>
      <x:c r="D6" s="23" t="str">
        <x:v>Pantalla de origen y contexto total.</x:v>
      </x:c>
    </x:row>
    <x:row r="7">
      <x:c r="A7" s="23" t="str">
        <x:v>Significado</x:v>
      </x:c>
      <x:c r="B7" s="23" t="str">
        <x:v>Señal auxiliar de transición, anclaje o confirmación contextual.</x:v>
      </x:c>
      <x:c r="C7" s="23" t="str">
        <x:v>No debe convertir al usuario en selector diagnóstico.</x:v>
      </x:c>
      <x:c r="D7" s="23" t="str">
        <x:v>Puede aportar señales blandas; no sustituye scoring EVE.</x:v>
      </x:c>
    </x:row>
    <x:row r="8">
      <x:c r="A8" s="23" t="str">
        <x:v>Producción Paralela MBA</x:v>
      </x:c>
      <x:c r="B8" s="23" t="str">
        <x:v>Consumidor estructural de evidencia ya capturada y gobernada.</x:v>
      </x:c>
      <x:c r="C8" s="23" t="str">
        <x:v>No modifica el catálogo ni selecciona actividades.</x:v>
      </x:c>
      <x:c r="D8" s="23" t="str">
        <x:v>No visible en interfaz de captura.</x:v>
      </x:c>
    </x:row>
    <x:row r="9">
      <x:c r="A9" s="23" t="str">
        <x:v>Interfaz visual</x:v>
      </x:c>
      <x:c r="B9" s="23" t="str">
        <x:v>Vista de interacción y confirmación.</x:v>
      </x:c>
      <x:c r="C9" s="23" t="str">
        <x:v>No es fuente de verdad metodológica.</x:v>
      </x:c>
      <x:c r="D9" s="23" t="str">
        <x:v>Muestra razones comprensibles y permite corrección factual.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55" hidden="0" customWidth="1"/>
    <x:col min="4" max="4" width="55" hidden="0" customWidth="1"/>
    <x:col min="5" max="5" width="34" hidden="0" customWidth="1"/>
  </x:cols>
  <x:sheetData>
    <x:row r="1">
      <x:c r="A1" s="22" t="str">
        <x:v>Fase</x:v>
      </x:c>
      <x:c r="B1" s="22" t="str">
        <x:v>Nombre</x:v>
      </x:c>
      <x:c r="C1" s="22" t="str">
        <x:v>Objetivo</x:v>
      </x:c>
      <x:c r="D1" s="22" t="str">
        <x:v>Regla clínica</x:v>
      </x:c>
      <x:c r="E1" s="22" t="str">
        <x:v>Salida</x:v>
      </x:c>
    </x:row>
    <x:row r="2">
      <x:c r="A2" s="23" t="str">
        <x:v>0</x:v>
      </x:c>
      <x:c r="B2" s="23" t="str">
        <x:v>Ingesta WorkMap</x:v>
      </x:c>
      <x:c r="C2" s="23" t="str">
        <x:v>Recibir actividades con área, responsabilidad, activityId, responsibilityId, texto literal y advertencias.</x:v>
      </x:c>
      <x:c r="D2" s="23" t="str">
        <x:v>No inferir estructura dura desde texto débil sin confirmación.</x:v>
      </x:c>
      <x:c r="E2" s="23" t="str">
        <x:v>ActivityCandidateList</x:v>
      </x:c>
    </x:row>
    <x:row r="3">
      <x:c r="A3" s="23" t="str">
        <x:v>1</x:v>
      </x:c>
      <x:c r="B3" s="23" t="str">
        <x:v>Normalización semántica mínima</x:v>
      </x:c>
      <x:c r="C3" s="23" t="str">
        <x:v>Resolver duplicados, alias, granularidad y si el texto describe una actividad de trabajo.</x:v>
      </x:c>
      <x:c r="D3" s="23" t="str">
        <x:v>No convertir área, rol, valor, opinión o resultado deseado en actividad primaria.</x:v>
      </x:c>
      <x:c r="E3" s="23" t="str">
        <x:v>NormalizedActivityCandidates</x:v>
      </x:c>
    </x:row>
    <x:row r="4">
      <x:c r="A4" s="23" t="str">
        <x:v>2</x:v>
      </x:c>
      <x:c r="B4" s="23" t="str">
        <x:v>Gates de elegibilidad</x:v>
      </x:c>
      <x:c r="C4" s="23" t="str">
        <x:v>Bloquear o enviar a revisión actividades sin trazabilidad, no accionables, duplicadas o con ambigüedad excesiva.</x:v>
      </x:c>
      <x:c r="D4" s="23" t="str">
        <x:v>La selección empieza descartando falsos candidatos, no rankeando todo.</x:v>
      </x:c>
      <x:c r="E4" s="23" t="str">
        <x:v>Eligible/Review/Blocked</x:v>
      </x:c>
    </x:row>
    <x:row r="5">
      <x:c r="A5" s="23" t="str">
        <x:v>3</x:v>
      </x:c>
      <x:c r="B5" s="23" t="str">
        <x:v>Scoring estructural</x:v>
      </x:c>
      <x:c r="C5" s="23" t="str">
        <x:v>Medir potencial para revelar PM, MoC, PF, OLC, fricción, variedad, capacidad, handoff y compensación.</x:v>
      </x:c>
      <x:c r="D5" s="23" t="str">
        <x:v>Se prioriza capacidad de producir evidencia diagramable, no importancia subjetiva del usuario.</x:v>
      </x:c>
      <x:c r="E5" s="23" t="str">
        <x:v>SelectorScore</x:v>
      </x:c>
    </x:row>
    <x:row r="6">
      <x:c r="A6" s="23" t="str">
        <x:v>4</x:v>
      </x:c>
      <x:c r="B6" s="23" t="str">
        <x:v>Balance de portafolio</x:v>
      </x:c>
      <x:c r="C6" s="23" t="str">
        <x:v>Evitar que las 8 queden concentradas en una sola responsabilidad, tipo de problema o microzona.</x:v>
      </x:c>
      <x:c r="D6" s="23" t="str">
        <x:v>Top 8 puro puede ser miope; debe preservar cobertura sistémica.</x:v>
      </x:c>
      <x:c r="E6" s="23" t="str">
        <x:v>BalancedPrimarySet</x:v>
      </x:c>
    </x:row>
    <x:row r="7">
      <x:c r="A7" s="23" t="str">
        <x:v>5</x:v>
      </x:c>
      <x:c r="B7" s="23" t="str">
        <x:v>Confirmación factual UX</x:v>
      </x:c>
      <x:c r="C7" s="23" t="str">
        <x:v>Mostrar a usuario selección propuesta y permitir corregir hechos: actividad no pertenece, está duplicada, ya no ocurre.</x:v>
      </x:c>
      <x:c r="D7" s="23" t="str">
        <x:v>El usuario no elige diagnóstico; corrige realidad factual.</x:v>
      </x:c>
      <x:c r="E7" s="23" t="str">
        <x:v>ConfirmedPrimaryActivities</x:v>
      </x:c>
    </x:row>
    <x:row r="8">
      <x:c r="A8" s="23" t="str">
        <x:v>6</x:v>
      </x:c>
      <x:c r="B8" s="23" t="str">
        <x:v>Payload a Runtime 40+20</x:v>
      </x:c>
      <x:c r="C8" s="23" t="str">
        <x:v>Enviar a Runtime hasta 8 actividades con trazabilidad, razón de selección, perfil de apertura y contexto no primario.</x:v>
      </x:c>
      <x:c r="D8" s="23" t="str">
        <x:v>Runtime no debe arrancar sin actividad primaria gobernada.</x:v>
      </x:c>
      <x:c r="E8" s="23" t="str">
        <x:v>RuntimeActivityPayload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14" hidden="0" customWidth="1"/>
    <x:col min="5" max="5" width="40" hidden="0" customWidth="1"/>
    <x:col min="6" max="6" width="55" hidden="0" customWidth="1"/>
  </x:cols>
  <x:sheetData>
    <x:row r="1">
      <x:c r="A1" s="22" t="str">
        <x:v>Campo</x:v>
      </x:c>
      <x:c r="B1" s="22" t="str">
        <x:v>Origen</x:v>
      </x:c>
      <x:c r="C1" s="22" t="str">
        <x:v>Tipo</x:v>
      </x:c>
      <x:c r="D1" s="22" t="str">
        <x:v>Obligatorio</x:v>
      </x:c>
      <x:c r="E1" s="22" t="str">
        <x:v>Uso</x:v>
      </x:c>
      <x:c r="F1" s="22" t="str">
        <x:v>Regla</x:v>
      </x:c>
    </x:row>
    <x:row r="2">
      <x:c r="A2" s="23" t="str">
        <x:v>workmap_id</x:v>
      </x:c>
      <x:c r="B2" s="23" t="str">
        <x:v>WorkMap</x:v>
      </x:c>
      <x:c r="C2" s="23" t="str">
        <x:v>string</x:v>
      </x:c>
      <x:c r="D2" s="23" t="str">
        <x:v>Sí</x:v>
      </x:c>
      <x:c r="E2" s="23" t="str">
        <x:v>Trazabilidad del mapa completo.</x:v>
      </x:c>
      <x:c r="F2" s="23" t="str">
        <x:v>No seleccionar sin mapa de origen.</x:v>
      </x:c>
    </x:row>
    <x:row r="3">
      <x:c r="A3" s="23" t="str">
        <x:v>area_id</x:v>
      </x:c>
      <x:c r="B3" s="23" t="str">
        <x:v>WorkMap</x:v>
      </x:c>
      <x:c r="C3" s="23" t="str">
        <x:v>string</x:v>
      </x:c>
      <x:c r="D3" s="23" t="str">
        <x:v>Sí</x:v>
      </x:c>
      <x:c r="E3" s="23" t="str">
        <x:v>Cobertura por área.</x:v>
      </x:c>
      <x:c r="F3" s="23" t="str">
        <x:v>Permite balance, no diagnóstico.</x:v>
      </x:c>
    </x:row>
    <x:row r="4">
      <x:c r="A4" s="23" t="str">
        <x:v>area_label</x:v>
      </x:c>
      <x:c r="B4" s="23" t="str">
        <x:v>WorkMap</x:v>
      </x:c>
      <x:c r="C4" s="23" t="str">
        <x:v>string</x:v>
      </x:c>
      <x:c r="D4" s="23" t="str">
        <x:v>Sí</x:v>
      </x:c>
      <x:c r="E4" s="23" t="str">
        <x:v>Texto visible y contexto.</x:v>
      </x:c>
      <x:c r="F4" s="23" t="str">
        <x:v>No confundir área con actividad.</x:v>
      </x:c>
    </x:row>
    <x:row r="5">
      <x:c r="A5" s="23" t="str">
        <x:v>responsibility_id</x:v>
      </x:c>
      <x:c r="B5" s="23" t="str">
        <x:v>WorkMap</x:v>
      </x:c>
      <x:c r="C5" s="23" t="str">
        <x:v>string</x:v>
      </x:c>
      <x:c r="D5" s="23" t="str">
        <x:v>Sí</x:v>
      </x:c>
      <x:c r="E5" s="23" t="str">
        <x:v>Relación responsabilidad → actividad.</x:v>
      </x:c>
      <x:c r="F5" s="23" t="str">
        <x:v>Gate duro si falta.</x:v>
      </x:c>
    </x:row>
    <x:row r="6">
      <x:c r="A6" s="23" t="str">
        <x:v>responsibility_label</x:v>
      </x:c>
      <x:c r="B6" s="23" t="str">
        <x:v>WorkMap</x:v>
      </x:c>
      <x:c r="C6" s="23" t="str">
        <x:v>string</x:v>
      </x:c>
      <x:c r="D6" s="23" t="str">
        <x:v>Sí</x:v>
      </x:c>
      <x:c r="E6" s="23" t="str">
        <x:v>Contexto funcional.</x:v>
      </x:c>
      <x:c r="F6" s="23" t="str">
        <x:v>Ayuda a balance.</x:v>
      </x:c>
    </x:row>
    <x:row r="7">
      <x:c r="A7" s="23" t="str">
        <x:v>activity_id</x:v>
      </x:c>
      <x:c r="B7" s="23" t="str">
        <x:v>WorkMap</x:v>
      </x:c>
      <x:c r="C7" s="23" t="str">
        <x:v>string</x:v>
      </x:c>
      <x:c r="D7" s="23" t="str">
        <x:v>Sí</x:v>
      </x:c>
      <x:c r="E7" s="23" t="str">
        <x:v>Identificador de actividad candidata.</x:v>
      </x:c>
      <x:c r="F7" s="23" t="str">
        <x:v>Gate duro si falta.</x:v>
      </x:c>
    </x:row>
    <x:row r="8">
      <x:c r="A8" s="23" t="str">
        <x:v>activity_label</x:v>
      </x:c>
      <x:c r="B8" s="23" t="str">
        <x:v>WorkMap</x:v>
      </x:c>
      <x:c r="C8" s="23" t="str">
        <x:v>string</x:v>
      </x:c>
      <x:c r="D8" s="23" t="str">
        <x:v>Sí</x:v>
      </x:c>
      <x:c r="E8" s="23" t="str">
        <x:v>Texto visible corto.</x:v>
      </x:c>
      <x:c r="F8" s="23" t="str">
        <x:v>Debe describir trabajo accionable.</x:v>
      </x:c>
    </x:row>
    <x:row r="9">
      <x:c r="A9" s="23" t="str">
        <x:v>activity_description</x:v>
      </x:c>
      <x:c r="B9" s="23" t="str">
        <x:v>WorkMap</x:v>
      </x:c>
      <x:c r="C9" s="23" t="str">
        <x:v>string</x:v>
      </x:c>
      <x:c r="D9" s="23" t="str">
        <x:v>Deseable</x:v>
      </x:c>
      <x:c r="E9" s="23" t="str">
        <x:v>Texto semántico para scoring.</x:v>
      </x:c>
      <x:c r="F9" s="23" t="str">
        <x:v>Si es débil, B0 puede reconstruir, pero no inventar.</x:v>
      </x:c>
    </x:row>
    <x:row r="10">
      <x:c r="A10" s="23" t="str">
        <x:v>savedWithWarnings</x:v>
      </x:c>
      <x:c r="B10" s="23" t="str">
        <x:v>WorkMap</x:v>
      </x:c>
      <x:c r="C10" s="23" t="str">
        <x:v>boolean</x:v>
      </x:c>
      <x:c r="D10" s="23" t="str">
        <x:v>Sí</x:v>
      </x:c>
      <x:c r="E10" s="23" t="str">
        <x:v>Señal de calidad del WorkMap.</x:v>
      </x:c>
      <x:c r="F10" s="23" t="str">
        <x:v>Penaliza evidencia, puede abrir revisión.</x:v>
      </x:c>
    </x:row>
    <x:row r="11">
      <x:c r="A11" s="23" t="str">
        <x:v>literal_user_text</x:v>
      </x:c>
      <x:c r="B11" s="23" t="str">
        <x:v>WorkMap</x:v>
      </x:c>
      <x:c r="C11" s="23" t="str">
        <x:v>string</x:v>
      </x:c>
      <x:c r="D11" s="23" t="str">
        <x:v>Deseable</x:v>
      </x:c>
      <x:c r="E11" s="23" t="str">
        <x:v>Proveniencia literal.</x:v>
      </x:c>
      <x:c r="F11" s="23" t="str">
        <x:v>No se sobreescribe con inferencia.</x:v>
      </x:c>
    </x:row>
    <x:row r="12">
      <x:c r="A12" s="23" t="str">
        <x:v>semantic_quality_hint</x:v>
      </x:c>
      <x:c r="B12" s="23" t="str">
        <x:v>WorkMap/IA</x:v>
      </x:c>
      <x:c r="C12" s="23" t="str">
        <x:v>0-5</x:v>
      </x:c>
      <x:c r="D12" s="23" t="str">
        <x:v>Deseable</x:v>
      </x:c>
      <x:c r="E12" s="23" t="str">
        <x:v>Claridad semántica preliminar.</x:v>
      </x:c>
      <x:c r="F12" s="23" t="str">
        <x:v>No convierte inferencia en evidencia capturada.</x:v>
      </x:c>
    </x:row>
    <x:row r="13">
      <x:c r="A13" s="23" t="str">
        <x:v>significado_anchor</x:v>
      </x:c>
      <x:c r="B13" s="23" t="str">
        <x:v>Significado</x:v>
      </x:c>
      <x:c r="C13" s="23" t="str">
        <x:v>string</x:v>
      </x:c>
      <x:c r="D13" s="23" t="str">
        <x:v>Opcional</x:v>
      </x:c>
      <x:c r="E13" s="23" t="str">
        <x:v>Transición/anclaje de sentido.</x:v>
      </x:c>
      <x:c r="F13" s="23" t="str">
        <x:v>Señal auxiliar, no criterio decisorio principal.</x:v>
      </x:c>
    </x:row>
    <x:row r="14">
      <x:c r="A14" s="23" t="str">
        <x:v>significado_priority</x:v>
      </x:c>
      <x:c r="B14" s="23" t="str">
        <x:v>Significado</x:v>
      </x:c>
      <x:c r="C14" s="23" t="str">
        <x:v>0-5</x:v>
      </x:c>
      <x:c r="D14" s="23" t="str">
        <x:v>Opcional</x:v>
      </x:c>
      <x:c r="E14" s="23" t="str">
        <x:v>Prioridad percibida si existe.</x:v>
      </x:c>
      <x:c r="F14" s="23" t="str">
        <x:v>No selecciona por sí sola.</x:v>
      </x:c>
    </x:row>
    <x:row r="15">
      <x:c r="A15" s="23" t="str">
        <x:v>role_functional</x:v>
      </x:c>
      <x:c r="B15" s="23" t="str">
        <x:v>WorkMap/EVE</x:v>
      </x:c>
      <x:c r="C15" s="23" t="str">
        <x:v>string</x:v>
      </x:c>
      <x:c r="D15" s="23" t="str">
        <x:v>Sí</x:v>
      </x:c>
      <x:c r="E15" s="23" t="str">
        <x:v>Unidad funcional para Runtime.</x:v>
      </x:c>
      <x:c r="F15" s="23" t="str">
        <x:v>Runtime 40+20 aplica por actividad primaria por rol funcional.</x:v>
      </x:c>
    </x:row>
    <x:row r="16">
      <x:c r="A16" s="23" t="str">
        <x:v>source_confidence</x:v>
      </x:c>
      <x:c r="B16" s="23" t="str">
        <x:v>EVE</x:v>
      </x:c>
      <x:c r="C16" s="23" t="str">
        <x:v>0-5</x:v>
      </x:c>
      <x:c r="D16" s="23" t="str">
        <x:v>Sí</x:v>
      </x:c>
      <x:c r="E16" s="23" t="str">
        <x:v>Confianza del candidato.</x:v>
      </x:c>
      <x:c r="F16" s="23" t="str">
        <x:v>Baja confianza → revisión o B0 microconfirmación.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48" hidden="0" customWidth="1"/>
    <x:col min="4" max="4" width="48" hidden="0" customWidth="1"/>
    <x:col min="5" max="5" width="34" hidden="0" customWidth="1"/>
    <x:col min="6" max="6" width="34" hidden="0" customWidth="1"/>
  </x:cols>
  <x:sheetData>
    <x:row r="1">
      <x:c r="A1" s="22" t="str">
        <x:v>Gate</x:v>
      </x:c>
      <x:c r="B1" s="22" t="str">
        <x:v>Nombre</x:v>
      </x:c>
      <x:c r="C1" s="22" t="str">
        <x:v>Condición de aprobación</x:v>
      </x:c>
      <x:c r="D1" s="22" t="str">
        <x:v>Falla si...</x:v>
      </x:c>
      <x:c r="E1" s="22" t="str">
        <x:v>Acción</x:v>
      </x:c>
      <x:c r="F1" s="22" t="str">
        <x:v>Impacto</x:v>
      </x:c>
    </x:row>
    <x:row r="2">
      <x:c r="A2" s="23" t="str">
        <x:v>G1</x:v>
      </x:c>
      <x:c r="B2" s="23" t="str">
        <x:v>Trazabilidad WorkMap</x:v>
      </x:c>
      <x:c r="C2" s="23" t="str">
        <x:v>activity_id y responsibility_id existen.</x:v>
      </x:c>
      <x:c r="D2" s="23" t="str">
        <x:v>No hay ID o no hay relación actividad-responsabilidad.</x:v>
      </x:c>
      <x:c r="E2" s="23" t="str">
        <x:v>Bloquear hasta corregir WorkMap.</x:v>
      </x:c>
      <x:c r="F2" s="23" t="str">
        <x:v>Evita actividad huérfana.</x:v>
      </x:c>
    </x:row>
    <x:row r="3">
      <x:c r="A3" s="23" t="str">
        <x:v>G2</x:v>
      </x:c>
      <x:c r="B3" s="23" t="str">
        <x:v>Actividad de trabajo</x:v>
      </x:c>
      <x:c r="C3" s="23" t="str">
        <x:v>El texto describe trabajo accionable, no área, rol, valor o emoción.</x:v>
      </x:c>
      <x:c r="D3" s="23" t="str">
        <x:v>Es 'ventas', 'liderazgo', 'estrés', 'clientes' o etiqueta abstracta.</x:v>
      </x:c>
      <x:c r="E3" s="23" t="str">
        <x:v>Revisión semántica B0.</x:v>
      </x:c>
      <x:c r="F3" s="23" t="str">
        <x:v>Protege conformance.</x:v>
      </x:c>
    </x:row>
    <x:row r="4">
      <x:c r="A4" s="23" t="str">
        <x:v>G3</x:v>
      </x:c>
      <x:c r="B4" s="23" t="str">
        <x:v>Granularidad correcta</x:v>
      </x:c>
      <x:c r="C4" s="23" t="str">
        <x:v>No es macroproceso total ni microclick técnico.</x:v>
      </x:c>
      <x:c r="D4" s="23" t="str">
        <x:v>Es demasiado amplia, microtarea o ambigua.</x:v>
      </x:c>
      <x:c r="E4" s="23" t="str">
        <x:v>Normalizar, dividir o fusionar.</x:v>
      </x:c>
      <x:c r="F4" s="23" t="str">
        <x:v>Evita Runtime inviable.</x:v>
      </x:c>
    </x:row>
    <x:row r="5">
      <x:c r="A5" s="23" t="str">
        <x:v>G4</x:v>
      </x:c>
      <x:c r="B5" s="23" t="str">
        <x:v>No duplicado/alias</x:v>
      </x:c>
      <x:c r="C5" s="23" t="str">
        <x:v>No repite otra actividad con distinto nombre.</x:v>
      </x:c>
      <x:c r="D5" s="23" t="str">
        <x:v>Alias probable o duplicado exacto.</x:v>
      </x:c>
      <x:c r="E5" s="23" t="str">
        <x:v>Resolver alias o merge.</x:v>
      </x:c>
      <x:c r="F5" s="23" t="str">
        <x:v>Evita sobreselección artificial.</x:v>
      </x:c>
    </x:row>
    <x:row r="6">
      <x:c r="A6" s="23" t="str">
        <x:v>G5</x:v>
      </x:c>
      <x:c r="B6" s="23" t="str">
        <x:v>Contexto funcional</x:v>
      </x:c>
      <x:c r="C6" s="23" t="str">
        <x:v>Está dentro del rol funcional evaluado.</x:v>
      </x:c>
      <x:c r="D6" s="23" t="str">
        <x:v>Pertenece a otro rol o actor externo.</x:v>
      </x:c>
      <x:c r="E6" s="23" t="str">
        <x:v>Marcar contexto externo/soporte.</x:v>
      </x:c>
      <x:c r="F6" s="23" t="str">
        <x:v>Evita contaminación organizacional.</x:v>
      </x:c>
    </x:row>
    <x:row r="7">
      <x:c r="A7" s="23" t="str">
        <x:v>G6</x:v>
      </x:c>
      <x:c r="B7" s="23" t="str">
        <x:v>Suficiencia semántica mínima</x:v>
      </x:c>
      <x:c r="C7" s="23" t="str">
        <x:v>Claridad &gt;= 2/5 y recuperable por B0.</x:v>
      </x:c>
      <x:c r="D7" s="23" t="str">
        <x:v>Texto demasiado pobre o contradictorio.</x:v>
      </x:c>
      <x:c r="E7" s="23" t="str">
        <x:v>Revisión o pedir aclaración.</x:v>
      </x:c>
      <x:c r="F7" s="23" t="str">
        <x:v>Evita inferencia falsa.</x:v>
      </x:c>
    </x:row>
    <x:row r="8">
      <x:c r="A8" s="23" t="str">
        <x:v>G7</x:v>
      </x:c>
      <x:c r="B8" s="23" t="str">
        <x:v>Potencial de evidencia</x:v>
      </x:c>
      <x:c r="C8" s="23" t="str">
        <x:v>Muestra al menos una señal PM/MoC/PF/OLC.</x:v>
      </x:c>
      <x:c r="D8" s="23" t="str">
        <x:v>No produce evidencia diagramable.</x:v>
      </x:c>
      <x:c r="E8" s="23" t="str">
        <x:v>Mantener como contexto, no primaria.</x:v>
      </x:c>
      <x:c r="F8" s="23" t="str">
        <x:v>Protege MBA.</x:v>
      </x:c>
    </x:row>
    <x:row r="9">
      <x:c r="A9" s="23" t="str">
        <x:v>G8</x:v>
      </x:c>
      <x:c r="B9" s="23" t="str">
        <x:v>Factibilidad UX</x:v>
      </x:c>
      <x:c r="C9" s="23" t="str">
        <x:v>Puede recorrerse en Runtime sin fatiga extrema.</x:v>
      </x:c>
      <x:c r="D9" s="23" t="str">
        <x:v>Actividad exige dividirse antes.</x:v>
      </x:c>
      <x:c r="E9" s="23" t="str">
        <x:v>Dividir o seleccionar subactividad.</x:v>
      </x:c>
      <x:c r="F9" s="23" t="str">
        <x:v>Protege experiencia.</x:v>
      </x:c>
    </x:row>
    <x:row r="10">
      <x:c r="A10" s="23" t="str">
        <x:v>G9</x:v>
      </x:c>
      <x:c r="B10" s="23" t="str">
        <x:v>No diagnóstico temprano</x:v>
      </x:c>
      <x:c r="C10" s="23" t="str">
        <x:v>La razón de selección es estructural, no patológica.</x:v>
      </x:c>
      <x:c r="D10" s="23" t="str">
        <x:v>Se selecciona porque 'parece AHE/VSM' sin evidencia.</x:v>
      </x:c>
      <x:c r="E10" s="23" t="str">
        <x:v>Reformular como señal observable.</x:v>
      </x:c>
      <x:c r="F10" s="23" t="str">
        <x:v>Protege frontera epistemológica.</x:v>
      </x:c>
    </x:row>
    <x:row r="11">
      <x:c r="A11" s="23" t="str">
        <x:v>G10</x:v>
      </x:c>
      <x:c r="B11" s="23" t="str">
        <x:v>Confirmación factual</x:v>
      </x:c>
      <x:c r="C11" s="23" t="str">
        <x:v>El usuario puede confirmar que la actividad existe y pertenece al rol.</x:v>
      </x:c>
      <x:c r="D11" s="23" t="str">
        <x:v>Usuario corrige hecho básico.</x:v>
      </x:c>
      <x:c r="E11" s="23" t="str">
        <x:v>Recalcular selección.</x:v>
      </x:c>
      <x:c r="F11" s="23" t="str">
        <x:v>Regresa a realidad factual.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2" hidden="0" customWidth="1"/>
    <x:col min="4" max="4" width="60" hidden="0" customWidth="1"/>
  </x:cols>
  <x:sheetData>
    <x:row r="1">
      <x:c r="A1" s="22" t="str">
        <x:v>Bloque de pesos</x:v>
      </x:c>
      <x:c r="B1" s="22" t="str">
        <x:v>Criterio</x:v>
      </x:c>
      <x:c r="C1" s="22" t="str">
        <x:v>Peso</x:v>
      </x:c>
      <x:c r="D1" s="22" t="str">
        <x:v>Descripción</x:v>
      </x:c>
    </x:row>
    <x:row r="2">
      <x:c r="A2" s="23" t="str">
        <x:v>Composite</x:v>
      </x:c>
      <x:c r="B2" s="23" t="str">
        <x:v>MMABP_Potential</x:v>
      </x:c>
      <x:c r="C2" s="34" t="n">
        <x:v>0.45</x:v>
      </x:c>
      <x:c r="D2" s="23" t="str">
        <x:v>Capacidad de producir evidencia para PM/MoC/PF/OLC.</x:v>
      </x:c>
    </x:row>
    <x:row r="3">
      <x:c r="A3" s="23" t="str">
        <x:v>Composite</x:v>
      </x:c>
      <x:c r="B3" s="23" t="str">
        <x:v>Friction_Variety</x:v>
      </x:c>
      <x:c r="C3" s="34" t="n">
        <x:v>0.25</x:v>
      </x:c>
      <x:c r="D3" s="23" t="str">
        <x:v>Señales de bloqueo, espera, retrabajo, capacidad, variedad residual.</x:v>
      </x:c>
    </x:row>
    <x:row r="4">
      <x:c r="A4" s="23" t="str">
        <x:v>Composite</x:v>
      </x:c>
      <x:c r="B4" s="23" t="str">
        <x:v>Coverage</x:v>
      </x:c>
      <x:c r="C4" s="34" t="n">
        <x:v>0.15</x:v>
      </x:c>
      <x:c r="D4" s="23" t="str">
        <x:v>Cobertura de responsabilidades, área, valor y procesos soporte/externalidad.</x:v>
      </x:c>
    </x:row>
    <x:row r="5">
      <x:c r="A5" s="23" t="str">
        <x:v>Composite</x:v>
      </x:c>
      <x:c r="B5" s="23" t="str">
        <x:v>Evidence_Feasibility</x:v>
      </x:c>
      <x:c r="C5" s="34" t="n">
        <x:v>0.1</x:v>
      </x:c>
      <x:c r="D5" s="23" t="str">
        <x:v>Calidad semántica y factibilidad de aplicar Runtime sin contaminar evidencia.</x:v>
      </x:c>
    </x:row>
    <x:row r="6">
      <x:c r="A6" s="23" t="str">
        <x:v>Composite</x:v>
      </x:c>
      <x:c r="B6" s="23" t="str">
        <x:v>Critical_Boost_Multiplier</x:v>
      </x:c>
      <x:c r="C6" s="34" t="n">
        <x:v>1</x:v>
      </x:c>
      <x:c r="D6" s="23" t="str">
        <x:v>Suma de boosts críticos por señales blindadas.</x:v>
      </x:c>
    </x:row>
    <x:row r="7">
      <x:c r="A7" s="23" t="str">
        <x:v>Composite</x:v>
      </x:c>
      <x:c r="B7" s="23" t="str">
        <x:v>Burden_Penalty</x:v>
      </x:c>
      <x:c r="C7" s="34" t="n">
        <x:v>0.15</x:v>
      </x:c>
      <x:c r="D7" s="23" t="str">
        <x:v>Penalización por ambigüedad, baja factibilidad o carga excesiva.</x:v>
      </x:c>
    </x:row>
    <x:row r="8">
      <x:c r="A8" s="23" t="str"/>
      <x:c r="B8" s="23" t="str"/>
      <x:c r="C8" s="34" t="str"/>
      <x:c r="D8" s="23" t="str"/>
    </x:row>
    <x:row r="9">
      <x:c r="A9" s="23" t="str">
        <x:v>MMABP</x:v>
      </x:c>
      <x:c r="B9" s="23" t="str">
        <x:v>process_context_0_5</x:v>
      </x:c>
      <x:c r="C9" s="34" t="n">
        <x:v>0.12</x:v>
      </x:c>
      <x:c r="D9" s="23" t="str">
        <x:v>PM: proceso contenedor/intención.</x:v>
      </x:c>
    </x:row>
    <x:row r="10">
      <x:c r="A10" s="23" t="str">
        <x:v>MMABP</x:v>
      </x:c>
      <x:c r="B10" s="23" t="str">
        <x:v>customer_receiver_hint_0_5</x:v>
      </x:c>
      <x:c r="C10" s="34" t="n">
        <x:v>0.1</x:v>
      </x:c>
      <x:c r="D10" s="23" t="str">
        <x:v>PM/PF: cliente, receptor o beneficiario.</x:v>
      </x:c>
    </x:row>
    <x:row r="11">
      <x:c r="A11" s="23" t="str">
        <x:v>MMABP</x:v>
      </x:c>
      <x:c r="B11" s="23" t="str">
        <x:v>trigger_hint_0_5</x:v>
      </x:c>
      <x:c r="C11" s="34" t="n">
        <x:v>0.1</x:v>
      </x:c>
      <x:c r="D11" s="23" t="str">
        <x:v>PM/PF: disparador.</x:v>
      </x:c>
    </x:row>
    <x:row r="12">
      <x:c r="A12" s="23" t="str">
        <x:v>MMABP</x:v>
      </x:c>
      <x:c r="B12" s="23" t="str">
        <x:v>transformation_object_0_5</x:v>
      </x:c>
      <x:c r="C12" s="34" t="n">
        <x:v>0.18</x:v>
      </x:c>
      <x:c r="D12" s="23" t="str">
        <x:v>MoC/OLC/PF: objeto transformado.</x:v>
      </x:c>
    </x:row>
    <x:row r="13">
      <x:c r="A13" s="23" t="str">
        <x:v>MMABP</x:v>
      </x:c>
      <x:c r="B13" s="23" t="str">
        <x:v>state_change_0_5</x:v>
      </x:c>
      <x:c r="C13" s="34" t="n">
        <x:v>0.15</x:v>
      </x:c>
      <x:c r="D13" s="23" t="str">
        <x:v>OLC/PF: estado inicial/final.</x:v>
      </x:c>
    </x:row>
    <x:row r="14">
      <x:c r="A14" s="23" t="str">
        <x:v>MMABP</x:v>
      </x:c>
      <x:c r="B14" s="23" t="str">
        <x:v>handoff_dependency_0_5</x:v>
      </x:c>
      <x:c r="C14" s="34" t="n">
        <x:v>0.12</x:v>
      </x:c>
      <x:c r="D14" s="23" t="str">
        <x:v>PM/PF: handoff y dependencia.</x:v>
      </x:c>
    </x:row>
    <x:row r="15">
      <x:c r="A15" s="23" t="str">
        <x:v>MMABP</x:v>
      </x:c>
      <x:c r="B15" s="23" t="str">
        <x:v>wait_timer_blocking_0_5</x:v>
      </x:c>
      <x:c r="C15" s="34" t="n">
        <x:v>0.08</x:v>
      </x:c>
      <x:c r="D15" s="23" t="str">
        <x:v>PF/OLC: Process State/timer.</x:v>
      </x:c>
    </x:row>
    <x:row r="16">
      <x:c r="A16" s="23" t="str">
        <x:v>MMABP</x:v>
      </x:c>
      <x:c r="B16" s="23" t="str">
        <x:v>support_external_process_0_5</x:v>
      </x:c>
      <x:c r="C16" s="34" t="n">
        <x:v>0.08</x:v>
      </x:c>
      <x:c r="D16" s="23" t="str">
        <x:v>PM/PF: soporte explícito o externalidad.</x:v>
      </x:c>
    </x:row>
    <x:row r="17">
      <x:c r="A17" s="23" t="str">
        <x:v>MMABP</x:v>
      </x:c>
      <x:c r="B17" s="23" t="str">
        <x:v>evidence_quality_0_5</x:v>
      </x:c>
      <x:c r="C17" s="34" t="n">
        <x:v>0.07</x:v>
      </x:c>
      <x:c r="D17" s="23" t="str">
        <x:v>Conformance: evidencia suficiente.</x:v>
      </x:c>
    </x:row>
    <x:row r="18">
      <x:c r="A18" s="23" t="str"/>
      <x:c r="B18" s="23" t="str"/>
      <x:c r="C18" s="34" t="str"/>
      <x:c r="D18" s="23" t="str"/>
    </x:row>
    <x:row r="19">
      <x:c r="A19" s="23" t="str">
        <x:v>Friction</x:v>
      </x:c>
      <x:c r="B19" s="23" t="str">
        <x:v>handoff_dependency_0_5</x:v>
      </x:c>
      <x:c r="C19" s="34" t="n">
        <x:v>0.15</x:v>
      </x:c>
      <x:c r="D19" s="23" t="str">
        <x:v>Interfaz o dependencia.</x:v>
      </x:c>
    </x:row>
    <x:row r="20">
      <x:c r="A20" s="23" t="str">
        <x:v>Friction</x:v>
      </x:c>
      <x:c r="B20" s="23" t="str">
        <x:v>wait_timer_blocking_0_5</x:v>
      </x:c>
      <x:c r="C20" s="34" t="n">
        <x:v>0.18</x:v>
      </x:c>
      <x:c r="D20" s="23" t="str">
        <x:v>Espera, bloqueo o deadlock.</x:v>
      </x:c>
    </x:row>
    <x:row r="21">
      <x:c r="A21" s="23" t="str">
        <x:v>Friction</x:v>
      </x:c>
      <x:c r="B21" s="23" t="str">
        <x:v>variability_frequency_0_5</x:v>
      </x:c>
      <x:c r="C21" s="34" t="n">
        <x:v>0.12</x:v>
      </x:c>
      <x:c r="D21" s="23" t="str">
        <x:v>Variedad operativa/frecuencia.</x:v>
      </x:c>
    </x:row>
    <x:row r="22">
      <x:c r="A22" s="23" t="str">
        <x:v>Friction</x:v>
      </x:c>
      <x:c r="B22" s="23" t="str">
        <x:v>capacity_pressure_0_5</x:v>
      </x:c>
      <x:c r="C22" s="34" t="n">
        <x:v>0.15</x:v>
      </x:c>
      <x:c r="D22" s="23" t="str">
        <x:v>Brecha de capacidad.</x:v>
      </x:c>
    </x:row>
    <x:row r="23">
      <x:c r="A23" s="23" t="str">
        <x:v>Friction</x:v>
      </x:c>
      <x:c r="B23" s="23" t="str">
        <x:v>workaround_rework_0_5</x:v>
      </x:c>
      <x:c r="C23" s="34" t="n">
        <x:v>0.18</x:v>
      </x:c>
      <x:c r="D23" s="23" t="str">
        <x:v>Retrabajo, loop o workaround.</x:v>
      </x:c>
    </x:row>
    <x:row r="24">
      <x:c r="A24" s="23" t="str">
        <x:v>Friction</x:v>
      </x:c>
      <x:c r="B24" s="23" t="str">
        <x:v>info_gap_rule_informal_0_5</x:v>
      </x:c>
      <x:c r="C24" s="34" t="n">
        <x:v>0.1</x:v>
      </x:c>
      <x:c r="D24" s="23" t="str">
        <x:v>Información faltante/regla informal.</x:v>
      </x:c>
    </x:row>
    <x:row r="25">
      <x:c r="A25" s="23" t="str">
        <x:v>Friction</x:v>
      </x:c>
      <x:c r="B25" s="23" t="str">
        <x:v>human_compensation_0_5</x:v>
      </x:c>
      <x:c r="C25" s="34" t="n">
        <x:v>0.12</x:v>
      </x:c>
      <x:c r="D25" s="23" t="str">
        <x:v>Compensación humana/desgaste.</x:v>
      </x:c>
    </x:row>
    <x:row r="26">
      <x:c r="A26" s="23" t="str"/>
      <x:c r="B26" s="23" t="str"/>
      <x:c r="C26" s="34" t="str"/>
      <x:c r="D26" s="23" t="str"/>
    </x:row>
    <x:row r="27">
      <x:c r="A27" s="23" t="str">
        <x:v>Coverage</x:v>
      </x:c>
      <x:c r="B27" s="23" t="str">
        <x:v>coverage_uniqueness_0_5</x:v>
      </x:c>
      <x:c r="C27" s="34" t="n">
        <x:v>0.6</x:v>
      </x:c>
      <x:c r="D27" s="23" t="str">
        <x:v>Diferencia esta actividad de otras candidatas.</x:v>
      </x:c>
    </x:row>
    <x:row r="28">
      <x:c r="A28" s="23" t="str">
        <x:v>Coverage</x:v>
      </x:c>
      <x:c r="B28" s="23" t="str">
        <x:v>strategic_value_or_loss_0_5</x:v>
      </x:c>
      <x:c r="C28" s="34" t="n">
        <x:v>0.25</x:v>
      </x:c>
      <x:c r="D28" s="23" t="str">
        <x:v>Pérdida o valor visible sin monetizar.</x:v>
      </x:c>
    </x:row>
    <x:row r="29">
      <x:c r="A29" s="23" t="str">
        <x:v>Coverage</x:v>
      </x:c>
      <x:c r="B29" s="23" t="str">
        <x:v>support_external_process_0_5</x:v>
      </x:c>
      <x:c r="C29" s="34" t="n">
        <x:v>0.15</x:v>
      </x:c>
      <x:c r="D29" s="23" t="str">
        <x:v>Cubre bordes y soportes.</x:v>
      </x:c>
    </x:row>
    <x:row r="30">
      <x:c r="A30" s="23" t="str"/>
      <x:c r="B30" s="23" t="str"/>
      <x:c r="C30" s="34" t="str"/>
      <x:c r="D30" s="23" t="str"/>
    </x:row>
    <x:row r="31">
      <x:c r="A31" s="23" t="str">
        <x:v>Evidence</x:v>
      </x:c>
      <x:c r="B31" s="23" t="str">
        <x:v>runtime_feasibility_0_5</x:v>
      </x:c>
      <x:c r="C31" s="34" t="n">
        <x:v>0.45</x:v>
      </x:c>
      <x:c r="D31" s="23" t="str">
        <x:v>Puede recorrerse con 40+20 sin romper UX.</x:v>
      </x:c>
    </x:row>
    <x:row r="32">
      <x:c r="A32" s="23" t="str">
        <x:v>Evidence</x:v>
      </x:c>
      <x:c r="B32" s="23" t="str">
        <x:v>evidence_quality_0_5</x:v>
      </x:c>
      <x:c r="C32" s="34" t="n">
        <x:v>0.35</x:v>
      </x:c>
      <x:c r="D32" s="23" t="str">
        <x:v>Calidad/proveniencia.</x:v>
      </x:c>
    </x:row>
    <x:row r="33">
      <x:c r="A33" s="23" t="str">
        <x:v>Evidence</x:v>
      </x:c>
      <x:c r="B33" s="23" t="str">
        <x:v>semantic_clarity_0_5</x:v>
      </x:c>
      <x:c r="C33" s="34" t="n">
        <x:v>0.2</x:v>
      </x:c>
      <x:c r="D33" s="23" t="str">
        <x:v>Claridad semántica.</x:v>
      </x:c>
    </x:row>
    <x:row r="34">
      <x:c r="A34" s="23"/>
      <x:c r="B34" s="23"/>
      <x:c r="C34" s="34"/>
      <x:c r="D34" s="23"/>
    </x:row>
    <x:row r="41">
      <x:c r="A41" t="str">
        <x:v>v1.1 agregado</x:v>
      </x:c>
      <x:c r="B41" t="str">
        <x:v>Architectural_Signal_Potential</x:v>
      </x:c>
      <x:c r="C41" t="n">
        <x:v>0.3</x:v>
      </x:c>
      <x:c r="D41" t="str">
        <x:v>Sustituye operativamente a Evidence/Diagramability en etapa pre-Runtime; mide señales, no evidencia cerrada.</x:v>
      </x:c>
    </x:row>
    <x:row r="42">
      <x:c r="A42" t="str">
        <x:v>v1.1 agregado</x:v>
      </x:c>
      <x:c r="B42" t="str">
        <x:v>Operational_Centrality</x:v>
      </x:c>
      <x:c r="C42" t="n">
        <x:v>0.2</x:v>
      </x:c>
      <x:c r="D42" t="str">
        <x:v>Centralidad operativa en WorkMap.</x:v>
      </x:c>
    </x:row>
    <x:row r="43">
      <x:c r="A43" t="str">
        <x:v>v1.1 agregado</x:v>
      </x:c>
      <x:c r="B43" t="str">
        <x:v>Handoff_or_Dependency_Signal</x:v>
      </x:c>
      <x:c r="C43" t="n">
        <x:v>0.15</x:v>
      </x:c>
      <x:c r="D43" t="str">
        <x:v>Señales de receptor, entrega, espera o dependencia.</x:v>
      </x:c>
    </x:row>
    <x:row r="44">
      <x:c r="A44" t="str">
        <x:v>v1.1 agregado</x:v>
      </x:c>
      <x:c r="B44" t="str">
        <x:v>Transformation_or_Object_Signal</x:v>
      </x:c>
      <x:c r="C44" t="n">
        <x:v>0.15</x:v>
      </x:c>
      <x:c r="D44" t="str">
        <x:v>Señales de objeto, cambio, validación o estado.</x:v>
      </x:c>
    </x:row>
    <x:row r="45">
      <x:c r="A45" t="str">
        <x:v>v1.1 agregado</x:v>
      </x:c>
      <x:c r="B45" t="str">
        <x:v>Friction_or_Exception_Signal</x:v>
      </x:c>
      <x:c r="C45" t="n">
        <x:v>0.1</x:v>
      </x:c>
      <x:c r="D45" t="str">
        <x:v>Señales de excepción, rework, bloqueo o workaround.</x:v>
      </x:c>
    </x:row>
    <x:row r="46">
      <x:c r="A46" t="str">
        <x:v>v1.1 agregado</x:v>
      </x:c>
      <x:c r="B46" t="str">
        <x:v>Coverage_Diversity_Value</x:v>
      </x:c>
      <x:c r="C46" t="n">
        <x:v>0.1</x:v>
      </x:c>
      <x:c r="D46" t="str">
        <x:v>Valor de diversidad respecto al resto del WorkMap.</x:v>
      </x:c>
    </x:row>
    <x:row r="47">
      <x:c r="A47" t="str">
        <x:v>v1.1 agregado</x:v>
      </x:c>
      <x:c r="B47" t="str">
        <x:v>Unknown_policy</x:v>
      </x:c>
      <x:c r="C47" t="str">
        <x:v>neutral/review</x:v>
      </x:c>
      <x:c r="D47" t="str">
        <x:v>Unknown no equivale a cero; no se castiga como ausencia de evidencia.</x:v>
      </x:c>
    </x:row>
    <x:row r="48">
      <x:c r="A48" t="str">
        <x:v>v1.1 agregado</x:v>
      </x:c>
      <x:c r="B48" t="str">
        <x:v>Runtime_Probe_Priority</x:v>
      </x:c>
      <x:c r="C48" t="str">
        <x:v>Alta/Media/Baja/Exploratoria</x:v>
      </x:c>
      <x:c r="D48" t="str">
        <x:v>Reemplaza Diagramability_Readiness antes del Runtime.</x:v>
      </x:c>
    </x:row>
    <x:row r="49">
      <x:c r="A49" t="str">
        <x:v>v1.1 agregado</x:v>
      </x:c>
      <x:c r="B49" t="str">
        <x:v>Slot 8 exploratorio</x:v>
      </x:c>
      <x:c r="C49" t="str">
        <x:v>controlado</x:v>
      </x:c>
      <x:c r="D49" t="str">
        <x:v>Permite descubrir soporte oculto/variedad residual sin delegar diagnóstico al usuario.</x:v>
      </x:c>
    </x:row>
    <x:row r="50">
      <x:c r="A50" t="str">
        <x:v>v1.1 agregado</x:v>
      </x:c>
      <x:c r="B50" t="str">
        <x:v>Gates duros mínimos</x:v>
      </x:c>
      <x:c r="C50" t="str">
        <x:v>sí</x:v>
      </x:c>
      <x:c r="D50" t="str">
        <x:v>Bloquean solo vacío/no actividad/duplicado evidente/microtarea/demasiado amplia/responsabilidad genérica.</x:v>
      </x:c>
    </x:row>
    <x:row r="51">
      <x:c r="A51" t="str">
        <x:v>v1.1 agregado</x:v>
      </x:c>
      <x:c r="B51" t="str">
        <x:v>Gates MMABP prematuros</x:v>
      </x:c>
      <x:c r="C51" t="str">
        <x:v>no</x:v>
      </x:c>
      <x:c r="D51" t="str">
        <x:v>No bloquear por falta explícita de cliente, objeto, estado, receptor, timer o transición.</x:v>
      </x:c>
    </x:row>
    <x:row r="52">
      <x:c r="A52"/>
      <x:c r="B52"/>
      <x:c r="C52"/>
      <x:c r="D52"/>
    </x:row>
    <x:row r="53">
      <x:c r="A53" t="str">
        <x:v>v1.2 agregado</x:v>
      </x:c>
      <x:c r="B53" t="str">
        <x:v>Selection_Mode</x:v>
      </x:c>
      <x:c r="C53" t="str">
        <x:v>derivado</x:v>
      </x:c>
      <x:c r="D53" t="str">
        <x:v>0 elegibles = reentry_required; 1–8 = non_competitive_inclusion; &gt;8 = competitive_selection.</x:v>
      </x:c>
    </x:row>
    <x:row r="54">
      <x:c r="A54" t="str">
        <x:v>v1.2 agregado</x:v>
      </x:c>
      <x:c r="B54" t="str">
        <x:v>Under8 policy</x:v>
      </x:c>
      <x:c r="C54" t="str">
        <x:v>seleccionar todas elegibles</x:v>
      </x:c>
      <x:c r="D54" t="str">
        <x:v>El máximo 8 es límite de carga, no objetivo a llenar.</x:v>
      </x:c>
    </x:row>
    <x:row r="55">
      <x:c r="A55" t="str">
        <x:v>v1.2 agregado</x:v>
      </x:c>
      <x:c r="B55" t="str">
        <x:v>Context Bundle</x:v>
      </x:c>
      <x:c r="C55" t="str">
        <x:v>Estado A + WorkMap + Significado</x:v>
      </x:c>
      <x:c r="D55" t="str">
        <x:v>El contexto ayuda a seleccionar y contextualizar, pero no sustituye evidencia Runtime.</x:v>
      </x:c>
    </x:row>
    <x:row r="56">
      <x:c r="A56" t="str">
        <x:v>v1.2 agregado</x:v>
      </x:c>
      <x:c r="B56" t="str">
        <x:v>Role coverage check</x:v>
      </x:c>
      <x:c r="C56" t="str">
        <x:v>review/gap</x:v>
      </x:c>
      <x:c r="D56" t="str">
        <x:v>Con pocas actividades y rol amplio, se avanza con flags o microconfirmación.</x:v>
      </x:c>
    </x:row>
    <x:row r="57">
      <x:c r="A57" t="str">
        <x:v>v1.2 agregado</x:v>
      </x:c>
      <x:c r="B57" t="str">
        <x:v>Activity quality gates</x:v>
      </x:c>
      <x:c r="C57" t="str">
        <x:v>vacío/duplicado/macro/micro/contextual</x:v>
      </x:c>
      <x:c r="D57" t="str">
        <x:v>Limpieza antes de Runtime; no ranking cuando &lt;=8 elegibles.</x:v>
      </x:c>
    </x:row>
    <x:row r="58">
      <x:c r="A58" t="str">
        <x:v>v1.2 agregado</x:v>
      </x:c>
      <x:c r="B58" t="str">
        <x:v>Significado Runtime</x:v>
      </x:c>
      <x:c r="C58" t="str">
        <x:v>pantalla de ejecución</x:v>
      </x:c>
      <x:c r="D58" t="str">
        <x:v>Significado recibe actividades primarias seleccionadas y ejecuta 40/20 por actividad.</x:v>
      </x:c>
    </x:row>
    <x:row r="59">
      <x:c r="A59" t="str">
        <x:v>v1.2 agregado</x:v>
      </x:c>
      <x:c r="B59" t="str">
        <x:v>Non-primary activities</x:v>
      </x:c>
      <x:c r="C59" t="str">
        <x:v>context_only/backlog</x:v>
      </x:c>
      <x:c r="D59" t="str">
        <x:v>No se eliminan del expediente; conservan trazabilidad del WorkMap.</x:v>
      </x:c>
    </x:row>
    <x:row r="61" ht="15" hidden="0" customHeight="1">
      <x:c r="A61" s="92" t="str">
        <x:v>v1.3 Composite</x:v>
      </x:c>
      <x:c r="B61" s="92" t="str">
        <x:v>architecturalSignalPotential</x:v>
      </x:c>
      <x:c r="C61" s="92" t="str">
        <x:v>0.30</x:v>
      </x:c>
      <x:c r="D61" s="92" t="str">
        <x:v>Promedio de señales PM/MoC/PF/OLC bajo incertidumbre; criterio principal.</x:v>
      </x:c>
    </x:row>
    <x:row r="62" ht="26.399999618530273" hidden="0" customHeight="1">
      <x:c r="A62" s="81" t="str">
        <x:v>v1.3 Composite</x:v>
      </x:c>
      <x:c r="B62" s="81" t="str">
        <x:v>operationalCentrality</x:v>
      </x:c>
      <x:c r="C62" s="81" t="str">
        <x:v>0.15</x:v>
      </x:c>
      <x:c r="D62" s="81" t="str">
        <x:v>Centralidad operativa respecto al rol/responsabilidad sin delegar preferencia al usuario.</x:v>
      </x:c>
    </x:row>
    <x:row r="63" ht="26.399999618530273" hidden="0" customHeight="1">
      <x:c r="A63" s="81" t="str">
        <x:v>v1.3 Composite</x:v>
      </x:c>
      <x:c r="B63" s="81" t="str">
        <x:v>transformationObjectSignal</x:v>
      </x:c>
      <x:c r="C63" s="81" t="str">
        <x:v>0.15</x:v>
      </x:c>
      <x:c r="D63" s="81" t="str">
        <x:v>Boost para objetos de negocio, insumos, salidas, transformaciones y estados potenciales.</x:v>
      </x:c>
    </x:row>
    <x:row r="64" ht="26.399999618530273" hidden="0" customHeight="1">
      <x:c r="A64" s="81" t="str">
        <x:v>v1.3 Composite</x:v>
      </x:c>
      <x:c r="B64" s="81" t="str">
        <x:v>handoffDependencySignal</x:v>
      </x:c>
      <x:c r="C64" s="81" t="str">
        <x:v>0.15</x:v>
      </x:c>
      <x:c r="D64" s="81" t="str">
        <x:v>Boost para receptor, proveedor, contratista, firma, área externa, sistema o dependencia.</x:v>
      </x:c>
    </x:row>
    <x:row r="65" ht="26.399999618530273" hidden="0" customHeight="1">
      <x:c r="A65" s="81" t="str">
        <x:v>v1.3 Composite</x:v>
      </x:c>
      <x:c r="B65" s="81" t="str">
        <x:v>timerWaitSignal</x:v>
      </x:c>
      <x:c r="C65" s="81" t="str">
        <x:v>0.05</x:v>
      </x:c>
      <x:c r="D65" s="81" t="str">
        <x:v>Boost para fecha compromiso, calendario, espera, vencimiento, aprobación o respuesta externa.</x:v>
      </x:c>
    </x:row>
    <x:row r="66" ht="26.399999618530273" hidden="0" customHeight="1">
      <x:c r="A66" s="81" t="str">
        <x:v>v1.3 Composite</x:v>
      </x:c>
      <x:c r="B66" s="81" t="str">
        <x:v>synchronizationGovernanceSignal</x:v>
      </x:c>
      <x:c r="C66" s="81" t="str">
        <x:v>0.10</x:v>
      </x:c>
      <x:c r="D66" s="81" t="str">
        <x:v>Boost para firmas, validaciones, aprobaciones, control, protocolo y sincronización transversal.</x:v>
      </x:c>
    </x:row>
    <x:row r="67" ht="26.399999618530273" hidden="0" customHeight="1">
      <x:c r="A67" s="81" t="str">
        <x:v>v1.3 Composite</x:v>
      </x:c>
      <x:c r="B67" s="81" t="str">
        <x:v>frictionExceptionSignal</x:v>
      </x:c>
      <x:c r="C67" s="81" t="str">
        <x:v>0.10</x:v>
      </x:c>
      <x:c r="D67" s="81" t="str">
        <x:v>Boost para desviación, causa raíz, conciliación, comparación sistema-realidad, rechazo o rework probable.</x:v>
      </x:c>
    </x:row>
    <x:row r="68" ht="26.399999618530273" hidden="0" customHeight="1">
      <x:c r="A68" s="81" t="str">
        <x:v>v1.3 Composite</x:v>
      </x:c>
      <x:c r="B68" s="81" t="str">
        <x:v>pfOlcRiskSignal</x:v>
      </x:c>
      <x:c r="C68" s="81" t="str">
        <x:v>0.05</x:v>
      </x:c>
      <x:c r="D68" s="81" t="str">
        <x:v>Boost para autorizaciones, pagos, recepción, carga final, facturas y transiciones causales críticas.</x:v>
      </x:c>
    </x:row>
    <x:row r="69" ht="15" hidden="0" customHeight="1">
      <x:c r="A69" s="81" t="str">
        <x:v>v1.3 Composite</x:v>
      </x:c>
      <x:c r="B69" s="81" t="str">
        <x:v>coverageDiversityValue</x:v>
      </x:c>
      <x:c r="C69" s="81" t="str">
        <x:v>0.05</x:v>
      </x:c>
      <x:c r="D69" s="81" t="str">
        <x:v>Diversidad de cobertura; no puede desplazar señales críticas.</x:v>
      </x:c>
    </x:row>
    <x:row r="70" ht="15" hidden="0" customHeight="1">
      <x:c r="A70" s="81" t="str">
        <x:v>v1.3 Limit</x:v>
      </x:c>
      <x:c r="B70" s="81" t="str">
        <x:v>responsibilityBalanceAdjustment</x:v>
      </x:c>
      <x:c r="C70" s="81" t="str">
        <x:v>max +0.05</x:v>
      </x:c>
      <x:c r="D70" s="81" t="str">
        <x:v>Balance como tiebreaker/corrector, nunca driver dominante.</x:v>
      </x:c>
    </x:row>
    <x:row r="71" ht="26.399999618530273" hidden="0" customHeight="1">
      <x:c r="A71" s="81" t="str">
        <x:v>v1.3 Penalty</x:v>
      </x:c>
      <x:c r="B71" s="81" t="str">
        <x:v>overlySpecificToolPenalty</x:v>
      </x:c>
      <x:c r="C71" s="81" t="str">
        <x:v>resta prudente</x:v>
      </x:c>
      <x:c r="D71" s="81" t="str">
        <x:v>Penaliza actividades demasiado específicas de herramienta/caso si desplazan núcleos arquitectónicos.</x:v>
      </x:c>
    </x:row>
    <x:row r="72" ht="15" hidden="0" customHeight="1">
      <x:c r="A72" s="81" t="str">
        <x:v>v1.3 Penalty</x:v>
      </x:c>
      <x:c r="B72" s="81" t="str">
        <x:v>lateralContextPenalty</x:v>
      </x:c>
      <x:c r="C72" s="81" t="str">
        <x:v>resta prudente</x:v>
      </x:c>
      <x:c r="D72" s="81" t="str">
        <x:v>Penaliza actividades laterales cuando hay alternativas más nucleares.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30" hidden="0" customWidth="1"/>
    <x:col min="6" max="6" width="42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6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2" hidden="0" customWidth="1"/>
    <x:col min="38" max="38" width="20" hidden="0" customWidth="1"/>
    <x:col min="39" max="39" width="20" hidden="0" customWidth="1"/>
    <x:col min="40" max="40" width="18" hidden="0" customWidth="1"/>
    <x:col min="41" max="41" width="20" hidden="0" customWidth="1"/>
    <x:col min="42" max="42" width="20" hidden="0" customWidth="1"/>
    <x:col min="43" max="43" width="24" hidden="0" customWidth="1"/>
    <x:col min="44" max="44" width="32" hidden="0" customWidth="1"/>
    <x:col min="45" max="45" width="32" hidden="0" customWidth="1"/>
  </x:cols>
  <x:sheetData>
    <x:row r="1">
      <x:c r="A1" s="22" t="str">
        <x:v>activity_id</x:v>
      </x:c>
      <x:c r="B1" s="22" t="str">
        <x:v>responsibility_id</x:v>
      </x:c>
      <x:c r="C1" s="22" t="str">
        <x:v>area</x:v>
      </x:c>
      <x:c r="D1" s="22" t="str">
        <x:v>functional_role</x:v>
      </x:c>
      <x:c r="E1" s="22" t="str">
        <x:v>activity_label</x:v>
      </x:c>
      <x:c r="F1" s="22" t="str">
        <x:v>activity_description</x:v>
      </x:c>
      <x:c r="G1" s="22" t="str">
        <x:v>workmap_trace_ok</x:v>
      </x:c>
      <x:c r="H1" s="22" t="str">
        <x:v>is_work_activity</x:v>
      </x:c>
      <x:c r="I1" s="22" t="str">
        <x:v>granularity_status</x:v>
      </x:c>
      <x:c r="J1" s="22" t="str">
        <x:v>duplicate_or_alias</x:v>
      </x:c>
      <x:c r="K1" s="22" t="str">
        <x:v>semantic_clarity_0_5</x:v>
      </x:c>
      <x:c r="L1" s="22" t="str">
        <x:v>process_context_0_5</x:v>
      </x:c>
      <x:c r="M1" s="22" t="str">
        <x:v>customer_receiver_hint_0_5</x:v>
      </x:c>
      <x:c r="N1" s="22" t="str">
        <x:v>trigger_hint_0_5</x:v>
      </x:c>
      <x:c r="O1" s="22" t="str">
        <x:v>transformation_object_0_5</x:v>
      </x:c>
      <x:c r="P1" s="22" t="str">
        <x:v>state_change_0_5</x:v>
      </x:c>
      <x:c r="Q1" s="22" t="str">
        <x:v>handoff_dependency_0_5</x:v>
      </x:c>
      <x:c r="R1" s="22" t="str">
        <x:v>wait_timer_blocking_0_5</x:v>
      </x:c>
      <x:c r="S1" s="22" t="str">
        <x:v>variability_frequency_0_5</x:v>
      </x:c>
      <x:c r="T1" s="22" t="str">
        <x:v>capacity_pressure_0_5</x:v>
      </x:c>
      <x:c r="U1" s="22" t="str">
        <x:v>workaround_rework_0_5</x:v>
      </x:c>
      <x:c r="V1" s="22" t="str">
        <x:v>info_gap_rule_informal_0_5</x:v>
      </x:c>
      <x:c r="W1" s="22" t="str">
        <x:v>human_compensation_0_5</x:v>
      </x:c>
      <x:c r="X1" s="22" t="str">
        <x:v>support_external_process_0_5</x:v>
      </x:c>
      <x:c r="Y1" s="22" t="str">
        <x:v>strategic_value_or_loss_0_5</x:v>
      </x:c>
      <x:c r="Z1" s="22" t="str">
        <x:v>coverage_uniqueness_0_5</x:v>
      </x:c>
      <x:c r="AA1" s="22" t="str">
        <x:v>runtime_feasibility_0_5</x:v>
      </x:c>
      <x:c r="AB1" s="22" t="str">
        <x:v>evidence_quality_0_5</x:v>
      </x:c>
      <x:c r="AC1" s="22" t="str">
        <x:v>Hard_Gate</x:v>
      </x:c>
      <x:c r="AD1" s="22" t="str">
        <x:v>MMABP_Potential</x:v>
      </x:c>
      <x:c r="AE1" s="22" t="str">
        <x:v>Friction_Variety</x:v>
      </x:c>
      <x:c r="AF1" s="22" t="str">
        <x:v>Coverage_Score</x:v>
      </x:c>
      <x:c r="AG1" s="22" t="str">
        <x:v>Evidence_Feasibility</x:v>
      </x:c>
      <x:c r="AH1" s="22" t="str">
        <x:v>Critical_Boost</x:v>
      </x:c>
      <x:c r="AI1" s="22" t="str">
        <x:v>Burden_Risk</x:v>
      </x:c>
      <x:c r="AJ1" s="22" t="str">
        <x:v>Total_Selector_Score</x:v>
      </x:c>
      <x:c r="AK1" s="22" t="str">
        <x:v>Selector_Rank</x:v>
      </x:c>
      <x:c r="AL1" s="22" t="str">
        <x:v>Initial_Selection_Status</x:v>
      </x:c>
      <x:c r="AM1" s="22" t="str">
        <x:v>Coverage_Class</x:v>
      </x:c>
      <x:c r="AN1" s="22" t="str">
        <x:v>Override_Policy</x:v>
      </x:c>
      <x:c r="AO1" s="22" t="str">
        <x:v>Final_Selection_Status</x:v>
      </x:c>
      <x:c r="AP1" s="22" t="str">
        <x:v>Dominant_Reason</x:v>
      </x:c>
      <x:c r="AQ1" s="22" t="str">
        <x:v>Runtime_Opening_Profile</x:v>
      </x:c>
      <x:c r="AR1" s="22" t="str">
        <x:v>Reentry_Review_Policy</x:v>
      </x:c>
      <x:c r="AS1" s="22" t="str">
        <x:v>Notes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6"/>
      <x:c r="AB2" s="36"/>
      <x:c r="AC2" s="23" t="str">
        <x:f>IF($A2="","",IF(OR($G2&lt;&gt;"Sí",$H2&lt;&gt;"Sí",$I2&lt;&gt;"Correcta",$J2="Sí",$K2&lt;2),"BLOQUEADA",IF(OR($J2="Posible",$K2&lt;3,$L2&lt;2),"REVISIÓN","ELEGIBLE")))</x:f>
      </x:c>
      <x:c r="AD2" s="38" t="str">
        <x:f>IF($A2="","",IF($AC2="BLOQUEADA",0,ROUND(($L2*Scoring_Weights!$C$9+$M2*Scoring_Weights!$C$10+$N2*Scoring_Weights!$C$11+$O2*Scoring_Weights!$C$12+$P2*Scoring_Weights!$C$13+$Q2*Scoring_Weights!$C$14+$R2*Scoring_Weights!$C$15+$X2*Scoring_Weights!$C$16+$AB2*Scoring_Weights!$C$17)*20,1)))</x:f>
      </x:c>
      <x:c r="AE2" s="38" t="str">
        <x:f>IF($A2="","",IF($AC2="BLOQUEADA",0,ROUND(($Q2*Scoring_Weights!$C$19+$R2*Scoring_Weights!$C$20+$S2*Scoring_Weights!$C$21+$T2*Scoring_Weights!$C$22+$U2*Scoring_Weights!$C$23+$V2*Scoring_Weights!$C$24+$W2*Scoring_Weights!$C$25)*20,1)))</x:f>
      </x:c>
      <x:c r="AF2" s="38" t="str">
        <x:f>IF($A2="","",IF($AC2="BLOQUEADA",0,ROUND(($Z2*Scoring_Weights!$C$27+$Y2*Scoring_Weights!$C$28+$X2*Scoring_Weights!$C$29)*20,1)))</x:f>
      </x:c>
      <x:c r="AG2" s="38" t="str">
        <x:f>IF($A2="","",IF($AC2="BLOQUEADA",0,ROUND(($AA2*Scoring_Weights!$C$31+$AB2*Scoring_Weights!$C$32+$K2*Scoring_Weights!$C$33)*20,1)))</x:f>
      </x:c>
      <x:c r="AH2" s="38" t="str">
        <x:f>IF($A2="","",IF($AC2="BLOQUEADA",0,MIN(10,IF(OR($O2&gt;=4,$P2&gt;=4),2,0)+IF($Q2&gt;=4,2,0)+IF($R2&gt;=4,2,0)+IF($U2&gt;=4,2,0)+IF($T2&gt;=4,1,0)+IF($V2&gt;=4,1,0))))</x:f>
      </x:c>
      <x:c r="AI2" s="38" t="str">
        <x:f>IF($A2="","",IF($AC2="BLOQUEADA",0,ROUND((MAX(0,5-$K2)+MAX(0,5-$AA2)+IF($I2="Ambigua",2,0)+IF($J2="Posible",2,0))*2,1)))</x:f>
      </x:c>
      <x:c r="AJ2" s="38" t="str">
        <x:f>IF($A2="","",IF($AC2="BLOQUEADA",0,ROUND($AD2*Scoring_Weights!$C$2+$AE2*Scoring_Weights!$C$3+$AF2*Scoring_Weights!$C$4+$AG2*Scoring_Weights!$C$5+$AH2*Scoring_Weights!$C$6-$AI2*Scoring_Weights!$C$7,1)))</x:f>
      </x:c>
      <x:c r="AK2" s="36" t="str">
        <x:f>IF($AC2&lt;&gt;"ELEGIBLE","",COUNTIFS($AC$2:$AC$101,"ELEGIBLE",$AJ$2:$AJ$101,"&gt;"&amp;$AJ2)+COUNTIFS($AC$2:$AC2,"ELEGIBLE",$AJ$2:$AJ2,$AJ2))</x:f>
      </x:c>
      <x:c r="AL2" s="23" t="str">
        <x:f>IF($A2="","",IF($AC2="BLOQUEADA","No seleccionable",IF($AC2="REVISIÓN","Revisión previa",IF($AK2&lt;=8,"Primaria propuesta","Contexto / backlog"))))</x:f>
      </x:c>
      <x:c r="AM2" s="23" t="str">
        <x:f>IF($A2="","",IF(MAX($O2,$P2)&gt;=MAX($Q2,$R2,$T2,$U2,$W2),"Transformación/OLC",IF(MAX($Q2,$R2)&gt;=MAX($T2,$U2,$W2),"Handoff/Flujo",IF(MAX($T2,$U2,$V2,$W2)&gt;=3,"Capacidad/Compensación","Contexto/PM"))))</x:f>
      </x:c>
      <x:c r="AN2" s="23"/>
      <x:c r="AO2" s="23" t="str">
        <x:f>IF($A2="","",IF($AN2="Forzar primaria","Primaria forzada",IF($AN2="Excluir","Excluida",IF($AN2="Revisión","Revisión previa",$AL2))))</x:f>
      </x:c>
      <x:c r="AP2" s="23" t="str">
        <x:f>IF($A2="","",IF($AC2="BLOQUEADA","Gate duro",IF($AD2&gt;=MAX($AE2,$AF2,$AG2),"Potencial MMABP",IF($AE2&gt;=MAX($AD2,$AF2,$AG2),"Fricción/variedad",IF($AF2&gt;=MAX($AD2,$AE2,$AG2),"Cobertura","Evidencia/feasibilidad")))))</x:f>
      </x:c>
      <x:c r="AQ2" s="23" t="str">
        <x:f>IF($A2="","",IF(LEFT($AO2,8)="Primaria",IF($AE2&gt;=75,"40+20 probable",IF($AD2&gt;=75,"40 base + causales selectivas","40 base + probes mínimos")),"No abre Runtime profundo"))</x:f>
      </x:c>
      <x:c r="AR2" s="23" t="str">
        <x:f>IF($A2="","",IF($AC2="BLOQUEADA","Corregir WorkMap/B0 antes de selección",IF($AC2="REVISIÓN","Microconfirmación B0 o resolución semántica",IF($AO2="Contexto / backlog","Conservar como contexto total","Enviar a Runtime"))))</x:f>
      </x:c>
      <x:c r="AS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  <x:c r="AC3" s="23" t="str">
        <x:f>IF($A3="","",IF(OR($G3&lt;&gt;"Sí",$H3&lt;&gt;"Sí",$I3&lt;&gt;"Correcta",$J3="Sí",$K3&lt;2),"BLOQUEADA",IF(OR($J3="Posible",$K3&lt;3,$L3&lt;2),"REVISIÓN","ELEGIBLE")))</x:f>
      </x:c>
      <x:c r="AD3" s="38" t="str">
        <x:f>IF($A3="","",IF($AC3="BLOQUEADA",0,ROUND(($L3*Scoring_Weights!$C$9+$M3*Scoring_Weights!$C$10+$N3*Scoring_Weights!$C$11+$O3*Scoring_Weights!$C$12+$P3*Scoring_Weights!$C$13+$Q3*Scoring_Weights!$C$14+$R3*Scoring_Weights!$C$15+$X3*Scoring_Weights!$C$16+$AB3*Scoring_Weights!$C$17)*20,1)))</x:f>
      </x:c>
      <x:c r="AE3" s="38" t="str">
        <x:f>IF($A3="","",IF($AC3="BLOQUEADA",0,ROUND(($Q3*Scoring_Weights!$C$19+$R3*Scoring_Weights!$C$20+$S3*Scoring_Weights!$C$21+$T3*Scoring_Weights!$C$22+$U3*Scoring_Weights!$C$23+$V3*Scoring_Weights!$C$24+$W3*Scoring_Weights!$C$25)*20,1)))</x:f>
      </x:c>
      <x:c r="AF3" s="38" t="str">
        <x:f>IF($A3="","",IF($AC3="BLOQUEADA",0,ROUND(($Z3*Scoring_Weights!$C$27+$Y3*Scoring_Weights!$C$28+$X3*Scoring_Weights!$C$29)*20,1)))</x:f>
      </x:c>
      <x:c r="AG3" s="38" t="str">
        <x:f>IF($A3="","",IF($AC3="BLOQUEADA",0,ROUND(($AA3*Scoring_Weights!$C$31+$AB3*Scoring_Weights!$C$32+$K3*Scoring_Weights!$C$33)*20,1)))</x:f>
      </x:c>
      <x:c r="AH3" s="38" t="str">
        <x:f>IF($A3="","",IF($AC3="BLOQUEADA",0,MIN(10,IF(OR($O3&gt;=4,$P3&gt;=4),2,0)+IF($Q3&gt;=4,2,0)+IF($R3&gt;=4,2,0)+IF($U3&gt;=4,2,0)+IF($T3&gt;=4,1,0)+IF($V3&gt;=4,1,0))))</x:f>
      </x:c>
      <x:c r="AI3" s="38" t="str">
        <x:f>IF($A3="","",IF($AC3="BLOQUEADA",0,ROUND((MAX(0,5-$K3)+MAX(0,5-$AA3)+IF($I3="Ambigua",2,0)+IF($J3="Posible",2,0))*2,1)))</x:f>
      </x:c>
      <x:c r="AJ3" s="38" t="str">
        <x:f>IF($A3="","",IF($AC3="BLOQUEADA",0,ROUND($AD3*Scoring_Weights!$C$2+$AE3*Scoring_Weights!$C$3+$AF3*Scoring_Weights!$C$4+$AG3*Scoring_Weights!$C$5+$AH3*Scoring_Weights!$C$6-$AI3*Scoring_Weights!$C$7,1)))</x:f>
      </x:c>
      <x:c r="AK3" s="36" t="str">
        <x:f>IF($AC3&lt;&gt;"ELEGIBLE","",COUNTIFS($AC$2:$AC$101,"ELEGIBLE",$AJ$2:$AJ$101,"&gt;"&amp;$AJ3)+COUNTIFS($AC$2:$AC3,"ELEGIBLE",$AJ$2:$AJ3,$AJ3))</x:f>
      </x:c>
      <x:c r="AL3" s="23" t="str">
        <x:f>IF($A3="","",IF($AC3="BLOQUEADA","No seleccionable",IF($AC3="REVISIÓN","Revisión previa",IF($AK3&lt;=8,"Primaria propuesta","Contexto / backlog"))))</x:f>
      </x:c>
      <x:c r="AM3" s="23" t="str">
        <x:f>IF($A3="","",IF(MAX($O3,$P3)&gt;=MAX($Q3,$R3,$T3,$U3,$W3),"Transformación/OLC",IF(MAX($Q3,$R3)&gt;=MAX($T3,$U3,$W3),"Handoff/Flujo",IF(MAX($T3,$U3,$V3,$W3)&gt;=3,"Capacidad/Compensación","Contexto/PM"))))</x:f>
      </x:c>
      <x:c r="AN3" s="23"/>
      <x:c r="AO3" s="23" t="str">
        <x:f>IF($A3="","",IF($AN3="Forzar primaria","Primaria forzada",IF($AN3="Excluir","Excluida",IF($AN3="Revisión","Revisión previa",$AL3))))</x:f>
      </x:c>
      <x:c r="AP3" s="23" t="str">
        <x:f>IF($A3="","",IF($AC3="BLOQUEADA","Gate duro",IF($AD3&gt;=MAX($AE3,$AF3,$AG3),"Potencial MMABP",IF($AE3&gt;=MAX($AD3,$AF3,$AG3),"Fricción/variedad",IF($AF3&gt;=MAX($AD3,$AE3,$AG3),"Cobertura","Evidencia/feasibilidad")))))</x:f>
      </x:c>
      <x:c r="AQ3" s="23" t="str">
        <x:f>IF($A3="","",IF(LEFT($AO3,8)="Primaria",IF($AE3&gt;=75,"40+20 probable",IF($AD3&gt;=75,"40 base + causales selectivas","40 base + probes mínimos")),"No abre Runtime profundo"))</x:f>
      </x:c>
      <x:c r="AR3" s="23" t="str">
        <x:f>IF($A3="","",IF($AC3="BLOQUEADA","Corregir WorkMap/B0 antes de selección",IF($AC3="REVISIÓN","Microconfirmación B0 o resolución semántica",IF($AO3="Contexto / backlog","Conservar como contexto total","Enviar a Runtime"))))</x:f>
      </x:c>
      <x:c r="AS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23" t="str">
        <x:f>IF($A4="","",IF(OR($G4&lt;&gt;"Sí",$H4&lt;&gt;"Sí",$I4&lt;&gt;"Correcta",$J4="Sí",$K4&lt;2),"BLOQUEADA",IF(OR($J4="Posible",$K4&lt;3,$L4&lt;2),"REVISIÓN","ELEGIBLE")))</x:f>
      </x:c>
      <x:c r="AD4" s="38" t="str">
        <x:f>IF($A4="","",IF($AC4="BLOQUEADA",0,ROUND(($L4*Scoring_Weights!$C$9+$M4*Scoring_Weights!$C$10+$N4*Scoring_Weights!$C$11+$O4*Scoring_Weights!$C$12+$P4*Scoring_Weights!$C$13+$Q4*Scoring_Weights!$C$14+$R4*Scoring_Weights!$C$15+$X4*Scoring_Weights!$C$16+$AB4*Scoring_Weights!$C$17)*20,1)))</x:f>
      </x:c>
      <x:c r="AE4" s="38" t="str">
        <x:f>IF($A4="","",IF($AC4="BLOQUEADA",0,ROUND(($Q4*Scoring_Weights!$C$19+$R4*Scoring_Weights!$C$20+$S4*Scoring_Weights!$C$21+$T4*Scoring_Weights!$C$22+$U4*Scoring_Weights!$C$23+$V4*Scoring_Weights!$C$24+$W4*Scoring_Weights!$C$25)*20,1)))</x:f>
      </x:c>
      <x:c r="AF4" s="38" t="str">
        <x:f>IF($A4="","",IF($AC4="BLOQUEADA",0,ROUND(($Z4*Scoring_Weights!$C$27+$Y4*Scoring_Weights!$C$28+$X4*Scoring_Weights!$C$29)*20,1)))</x:f>
      </x:c>
      <x:c r="AG4" s="38" t="str">
        <x:f>IF($A4="","",IF($AC4="BLOQUEADA",0,ROUND(($AA4*Scoring_Weights!$C$31+$AB4*Scoring_Weights!$C$32+$K4*Scoring_Weights!$C$33)*20,1)))</x:f>
      </x:c>
      <x:c r="AH4" s="38" t="str">
        <x:f>IF($A4="","",IF($AC4="BLOQUEADA",0,MIN(10,IF(OR($O4&gt;=4,$P4&gt;=4),2,0)+IF($Q4&gt;=4,2,0)+IF($R4&gt;=4,2,0)+IF($U4&gt;=4,2,0)+IF($T4&gt;=4,1,0)+IF($V4&gt;=4,1,0))))</x:f>
      </x:c>
      <x:c r="AI4" s="38" t="str">
        <x:f>IF($A4="","",IF($AC4="BLOQUEADA",0,ROUND((MAX(0,5-$K4)+MAX(0,5-$AA4)+IF($I4="Ambigua",2,0)+IF($J4="Posible",2,0))*2,1)))</x:f>
      </x:c>
      <x:c r="AJ4" s="38" t="str">
        <x:f>IF($A4="","",IF($AC4="BLOQUEADA",0,ROUND($AD4*Scoring_Weights!$C$2+$AE4*Scoring_Weights!$C$3+$AF4*Scoring_Weights!$C$4+$AG4*Scoring_Weights!$C$5+$AH4*Scoring_Weights!$C$6-$AI4*Scoring_Weights!$C$7,1)))</x:f>
      </x:c>
      <x:c r="AK4" s="36" t="str">
        <x:f>IF($AC4&lt;&gt;"ELEGIBLE","",COUNTIFS($AC$2:$AC$101,"ELEGIBLE",$AJ$2:$AJ$101,"&gt;"&amp;$AJ4)+COUNTIFS($AC$2:$AC4,"ELEGIBLE",$AJ$2:$AJ4,$AJ4))</x:f>
      </x:c>
      <x:c r="AL4" s="23" t="str">
        <x:f>IF($A4="","",IF($AC4="BLOQUEADA","No seleccionable",IF($AC4="REVISIÓN","Revisión previa",IF($AK4&lt;=8,"Primaria propuesta","Contexto / backlog"))))</x:f>
      </x:c>
      <x:c r="AM4" s="23" t="str">
        <x:f>IF($A4="","",IF(MAX($O4,$P4)&gt;=MAX($Q4,$R4,$T4,$U4,$W4),"Transformación/OLC",IF(MAX($Q4,$R4)&gt;=MAX($T4,$U4,$W4),"Handoff/Flujo",IF(MAX($T4,$U4,$V4,$W4)&gt;=3,"Capacidad/Compensación","Contexto/PM"))))</x:f>
      </x:c>
      <x:c r="AN4" s="23"/>
      <x:c r="AO4" s="23" t="str">
        <x:f>IF($A4="","",IF($AN4="Forzar primaria","Primaria forzada",IF($AN4="Excluir","Excluida",IF($AN4="Revisión","Revisión previa",$AL4))))</x:f>
      </x:c>
      <x:c r="AP4" s="23" t="str">
        <x:f>IF($A4="","",IF($AC4="BLOQUEADA","Gate duro",IF($AD4&gt;=MAX($AE4,$AF4,$AG4),"Potencial MMABP",IF($AE4&gt;=MAX($AD4,$AF4,$AG4),"Fricción/variedad",IF($AF4&gt;=MAX($AD4,$AE4,$AG4),"Cobertura","Evidencia/feasibilidad")))))</x:f>
      </x:c>
      <x:c r="AQ4" s="23" t="str">
        <x:f>IF($A4="","",IF(LEFT($AO4,8)="Primaria",IF($AE4&gt;=75,"40+20 probable",IF($AD4&gt;=75,"40 base + causales selectivas","40 base + probes mínimos")),"No abre Runtime profundo"))</x:f>
      </x:c>
      <x:c r="AR4" s="23" t="str">
        <x:f>IF($A4="","",IF($AC4="BLOQUEADA","Corregir WorkMap/B0 antes de selección",IF($AC4="REVISIÓN","Microconfirmación B0 o resolución semántica",IF($AO4="Contexto / backlog","Conservar como contexto total","Enviar a Runtime"))))</x:f>
      </x:c>
      <x:c r="AS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23" t="str">
        <x:f>IF($A5="","",IF(OR($G5&lt;&gt;"Sí",$H5&lt;&gt;"Sí",$I5&lt;&gt;"Correcta",$J5="Sí",$K5&lt;2),"BLOQUEADA",IF(OR($J5="Posible",$K5&lt;3,$L5&lt;2),"REVISIÓN","ELEGIBLE")))</x:f>
      </x:c>
      <x:c r="AD5" s="38" t="str">
        <x:f>IF($A5="","",IF($AC5="BLOQUEADA",0,ROUND(($L5*Scoring_Weights!$C$9+$M5*Scoring_Weights!$C$10+$N5*Scoring_Weights!$C$11+$O5*Scoring_Weights!$C$12+$P5*Scoring_Weights!$C$13+$Q5*Scoring_Weights!$C$14+$R5*Scoring_Weights!$C$15+$X5*Scoring_Weights!$C$16+$AB5*Scoring_Weights!$C$17)*20,1)))</x:f>
      </x:c>
      <x:c r="AE5" s="38" t="str">
        <x:f>IF($A5="","",IF($AC5="BLOQUEADA",0,ROUND(($Q5*Scoring_Weights!$C$19+$R5*Scoring_Weights!$C$20+$S5*Scoring_Weights!$C$21+$T5*Scoring_Weights!$C$22+$U5*Scoring_Weights!$C$23+$V5*Scoring_Weights!$C$24+$W5*Scoring_Weights!$C$25)*20,1)))</x:f>
      </x:c>
      <x:c r="AF5" s="38" t="str">
        <x:f>IF($A5="","",IF($AC5="BLOQUEADA",0,ROUND(($Z5*Scoring_Weights!$C$27+$Y5*Scoring_Weights!$C$28+$X5*Scoring_Weights!$C$29)*20,1)))</x:f>
      </x:c>
      <x:c r="AG5" s="38" t="str">
        <x:f>IF($A5="","",IF($AC5="BLOQUEADA",0,ROUND(($AA5*Scoring_Weights!$C$31+$AB5*Scoring_Weights!$C$32+$K5*Scoring_Weights!$C$33)*20,1)))</x:f>
      </x:c>
      <x:c r="AH5" s="38" t="str">
        <x:f>IF($A5="","",IF($AC5="BLOQUEADA",0,MIN(10,IF(OR($O5&gt;=4,$P5&gt;=4),2,0)+IF($Q5&gt;=4,2,0)+IF($R5&gt;=4,2,0)+IF($U5&gt;=4,2,0)+IF($T5&gt;=4,1,0)+IF($V5&gt;=4,1,0))))</x:f>
      </x:c>
      <x:c r="AI5" s="38" t="str">
        <x:f>IF($A5="","",IF($AC5="BLOQUEADA",0,ROUND((MAX(0,5-$K5)+MAX(0,5-$AA5)+IF($I5="Ambigua",2,0)+IF($J5="Posible",2,0))*2,1)))</x:f>
      </x:c>
      <x:c r="AJ5" s="38" t="str">
        <x:f>IF($A5="","",IF($AC5="BLOQUEADA",0,ROUND($AD5*Scoring_Weights!$C$2+$AE5*Scoring_Weights!$C$3+$AF5*Scoring_Weights!$C$4+$AG5*Scoring_Weights!$C$5+$AH5*Scoring_Weights!$C$6-$AI5*Scoring_Weights!$C$7,1)))</x:f>
      </x:c>
      <x:c r="AK5" s="36" t="str">
        <x:f>IF($AC5&lt;&gt;"ELEGIBLE","",COUNTIFS($AC$2:$AC$101,"ELEGIBLE",$AJ$2:$AJ$101,"&gt;"&amp;$AJ5)+COUNTIFS($AC$2:$AC5,"ELEGIBLE",$AJ$2:$AJ5,$AJ5))</x:f>
      </x:c>
      <x:c r="AL5" s="23" t="str">
        <x:f>IF($A5="","",IF($AC5="BLOQUEADA","No seleccionable",IF($AC5="REVISIÓN","Revisión previa",IF($AK5&lt;=8,"Primaria propuesta","Contexto / backlog"))))</x:f>
      </x:c>
      <x:c r="AM5" s="23" t="str">
        <x:f>IF($A5="","",IF(MAX($O5,$P5)&gt;=MAX($Q5,$R5,$T5,$U5,$W5),"Transformación/OLC",IF(MAX($Q5,$R5)&gt;=MAX($T5,$U5,$W5),"Handoff/Flujo",IF(MAX($T5,$U5,$V5,$W5)&gt;=3,"Capacidad/Compensación","Contexto/PM"))))</x:f>
      </x:c>
      <x:c r="AN5" s="23"/>
      <x:c r="AO5" s="23" t="str">
        <x:f>IF($A5="","",IF($AN5="Forzar primaria","Primaria forzada",IF($AN5="Excluir","Excluida",IF($AN5="Revisión","Revisión previa",$AL5))))</x:f>
      </x:c>
      <x:c r="AP5" s="23" t="str">
        <x:f>IF($A5="","",IF($AC5="BLOQUEADA","Gate duro",IF($AD5&gt;=MAX($AE5,$AF5,$AG5),"Potencial MMABP",IF($AE5&gt;=MAX($AD5,$AF5,$AG5),"Fricción/variedad",IF($AF5&gt;=MAX($AD5,$AE5,$AG5),"Cobertura","Evidencia/feasibilidad")))))</x:f>
      </x:c>
      <x:c r="AQ5" s="23" t="str">
        <x:f>IF($A5="","",IF(LEFT($AO5,8)="Primaria",IF($AE5&gt;=75,"40+20 probable",IF($AD5&gt;=75,"40 base + causales selectivas","40 base + probes mínimos")),"No abre Runtime profundo"))</x:f>
      </x:c>
      <x:c r="AR5" s="23" t="str">
        <x:f>IF($A5="","",IF($AC5="BLOQUEADA","Corregir WorkMap/B0 antes de selección",IF($AC5="REVISIÓN","Microconfirmación B0 o resolución semántica",IF($AO5="Contexto / backlog","Conservar como contexto total","Enviar a Runtime"))))</x:f>
      </x:c>
      <x:c r="AS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  <x:c r="AC6" s="23" t="str">
        <x:f>IF($A6="","",IF(OR($G6&lt;&gt;"Sí",$H6&lt;&gt;"Sí",$I6&lt;&gt;"Correcta",$J6="Sí",$K6&lt;2),"BLOQUEADA",IF(OR($J6="Posible",$K6&lt;3,$L6&lt;2),"REVISIÓN","ELEGIBLE")))</x:f>
      </x:c>
      <x:c r="AD6" s="38" t="str">
        <x:f>IF($A6="","",IF($AC6="BLOQUEADA",0,ROUND(($L6*Scoring_Weights!$C$9+$M6*Scoring_Weights!$C$10+$N6*Scoring_Weights!$C$11+$O6*Scoring_Weights!$C$12+$P6*Scoring_Weights!$C$13+$Q6*Scoring_Weights!$C$14+$R6*Scoring_Weights!$C$15+$X6*Scoring_Weights!$C$16+$AB6*Scoring_Weights!$C$17)*20,1)))</x:f>
      </x:c>
      <x:c r="AE6" s="38" t="str">
        <x:f>IF($A6="","",IF($AC6="BLOQUEADA",0,ROUND(($Q6*Scoring_Weights!$C$19+$R6*Scoring_Weights!$C$20+$S6*Scoring_Weights!$C$21+$T6*Scoring_Weights!$C$22+$U6*Scoring_Weights!$C$23+$V6*Scoring_Weights!$C$24+$W6*Scoring_Weights!$C$25)*20,1)))</x:f>
      </x:c>
      <x:c r="AF6" s="38" t="str">
        <x:f>IF($A6="","",IF($AC6="BLOQUEADA",0,ROUND(($Z6*Scoring_Weights!$C$27+$Y6*Scoring_Weights!$C$28+$X6*Scoring_Weights!$C$29)*20,1)))</x:f>
      </x:c>
      <x:c r="AG6" s="38" t="str">
        <x:f>IF($A6="","",IF($AC6="BLOQUEADA",0,ROUND(($AA6*Scoring_Weights!$C$31+$AB6*Scoring_Weights!$C$32+$K6*Scoring_Weights!$C$33)*20,1)))</x:f>
      </x:c>
      <x:c r="AH6" s="38" t="str">
        <x:f>IF($A6="","",IF($AC6="BLOQUEADA",0,MIN(10,IF(OR($O6&gt;=4,$P6&gt;=4),2,0)+IF($Q6&gt;=4,2,0)+IF($R6&gt;=4,2,0)+IF($U6&gt;=4,2,0)+IF($T6&gt;=4,1,0)+IF($V6&gt;=4,1,0))))</x:f>
      </x:c>
      <x:c r="AI6" s="38" t="str">
        <x:f>IF($A6="","",IF($AC6="BLOQUEADA",0,ROUND((MAX(0,5-$K6)+MAX(0,5-$AA6)+IF($I6="Ambigua",2,0)+IF($J6="Posible",2,0))*2,1)))</x:f>
      </x:c>
      <x:c r="AJ6" s="38" t="str">
        <x:f>IF($A6="","",IF($AC6="BLOQUEADA",0,ROUND($AD6*Scoring_Weights!$C$2+$AE6*Scoring_Weights!$C$3+$AF6*Scoring_Weights!$C$4+$AG6*Scoring_Weights!$C$5+$AH6*Scoring_Weights!$C$6-$AI6*Scoring_Weights!$C$7,1)))</x:f>
      </x:c>
      <x:c r="AK6" s="36" t="str">
        <x:f>IF($AC6&lt;&gt;"ELEGIBLE","",COUNTIFS($AC$2:$AC$101,"ELEGIBLE",$AJ$2:$AJ$101,"&gt;"&amp;$AJ6)+COUNTIFS($AC$2:$AC6,"ELEGIBLE",$AJ$2:$AJ6,$AJ6))</x:f>
      </x:c>
      <x:c r="AL6" s="23" t="str">
        <x:f>IF($A6="","",IF($AC6="BLOQUEADA","No seleccionable",IF($AC6="REVISIÓN","Revisión previa",IF($AK6&lt;=8,"Primaria propuesta","Contexto / backlog"))))</x:f>
      </x:c>
      <x:c r="AM6" s="23" t="str">
        <x:f>IF($A6="","",IF(MAX($O6,$P6)&gt;=MAX($Q6,$R6,$T6,$U6,$W6),"Transformación/OLC",IF(MAX($Q6,$R6)&gt;=MAX($T6,$U6,$W6),"Handoff/Flujo",IF(MAX($T6,$U6,$V6,$W6)&gt;=3,"Capacidad/Compensación","Contexto/PM"))))</x:f>
      </x:c>
      <x:c r="AN6" s="23"/>
      <x:c r="AO6" s="23" t="str">
        <x:f>IF($A6="","",IF($AN6="Forzar primaria","Primaria forzada",IF($AN6="Excluir","Excluida",IF($AN6="Revisión","Revisión previa",$AL6))))</x:f>
      </x:c>
      <x:c r="AP6" s="23" t="str">
        <x:f>IF($A6="","",IF($AC6="BLOQUEADA","Gate duro",IF($AD6&gt;=MAX($AE6,$AF6,$AG6),"Potencial MMABP",IF($AE6&gt;=MAX($AD6,$AF6,$AG6),"Fricción/variedad",IF($AF6&gt;=MAX($AD6,$AE6,$AG6),"Cobertura","Evidencia/feasibilidad")))))</x:f>
      </x:c>
      <x:c r="AQ6" s="23" t="str">
        <x:f>IF($A6="","",IF(LEFT($AO6,8)="Primaria",IF($AE6&gt;=75,"40+20 probable",IF($AD6&gt;=75,"40 base + causales selectivas","40 base + probes mínimos")),"No abre Runtime profundo"))</x:f>
      </x:c>
      <x:c r="AR6" s="23" t="str">
        <x:f>IF($A6="","",IF($AC6="BLOQUEADA","Corregir WorkMap/B0 antes de selección",IF($AC6="REVISIÓN","Microconfirmación B0 o resolución semántica",IF($AO6="Contexto / backlog","Conservar como contexto total","Enviar a Runtime"))))</x:f>
      </x:c>
      <x:c r="AS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23" t="str">
        <x:f>IF($A7="","",IF(OR($G7&lt;&gt;"Sí",$H7&lt;&gt;"Sí",$I7&lt;&gt;"Correcta",$J7="Sí",$K7&lt;2),"BLOQUEADA",IF(OR($J7="Posible",$K7&lt;3,$L7&lt;2),"REVISIÓN","ELEGIBLE")))</x:f>
      </x:c>
      <x:c r="AD7" s="38" t="str">
        <x:f>IF($A7="","",IF($AC7="BLOQUEADA",0,ROUND(($L7*Scoring_Weights!$C$9+$M7*Scoring_Weights!$C$10+$N7*Scoring_Weights!$C$11+$O7*Scoring_Weights!$C$12+$P7*Scoring_Weights!$C$13+$Q7*Scoring_Weights!$C$14+$R7*Scoring_Weights!$C$15+$X7*Scoring_Weights!$C$16+$AB7*Scoring_Weights!$C$17)*20,1)))</x:f>
      </x:c>
      <x:c r="AE7" s="38" t="str">
        <x:f>IF($A7="","",IF($AC7="BLOQUEADA",0,ROUND(($Q7*Scoring_Weights!$C$19+$R7*Scoring_Weights!$C$20+$S7*Scoring_Weights!$C$21+$T7*Scoring_Weights!$C$22+$U7*Scoring_Weights!$C$23+$V7*Scoring_Weights!$C$24+$W7*Scoring_Weights!$C$25)*20,1)))</x:f>
      </x:c>
      <x:c r="AF7" s="38" t="str">
        <x:f>IF($A7="","",IF($AC7="BLOQUEADA",0,ROUND(($Z7*Scoring_Weights!$C$27+$Y7*Scoring_Weights!$C$28+$X7*Scoring_Weights!$C$29)*20,1)))</x:f>
      </x:c>
      <x:c r="AG7" s="38" t="str">
        <x:f>IF($A7="","",IF($AC7="BLOQUEADA",0,ROUND(($AA7*Scoring_Weights!$C$31+$AB7*Scoring_Weights!$C$32+$K7*Scoring_Weights!$C$33)*20,1)))</x:f>
      </x:c>
      <x:c r="AH7" s="38" t="str">
        <x:f>IF($A7="","",IF($AC7="BLOQUEADA",0,MIN(10,IF(OR($O7&gt;=4,$P7&gt;=4),2,0)+IF($Q7&gt;=4,2,0)+IF($R7&gt;=4,2,0)+IF($U7&gt;=4,2,0)+IF($T7&gt;=4,1,0)+IF($V7&gt;=4,1,0))))</x:f>
      </x:c>
      <x:c r="AI7" s="38" t="str">
        <x:f>IF($A7="","",IF($AC7="BLOQUEADA",0,ROUND((MAX(0,5-$K7)+MAX(0,5-$AA7)+IF($I7="Ambigua",2,0)+IF($J7="Posible",2,0))*2,1)))</x:f>
      </x:c>
      <x:c r="AJ7" s="38" t="str">
        <x:f>IF($A7="","",IF($AC7="BLOQUEADA",0,ROUND($AD7*Scoring_Weights!$C$2+$AE7*Scoring_Weights!$C$3+$AF7*Scoring_Weights!$C$4+$AG7*Scoring_Weights!$C$5+$AH7*Scoring_Weights!$C$6-$AI7*Scoring_Weights!$C$7,1)))</x:f>
      </x:c>
      <x:c r="AK7" s="36" t="str">
        <x:f>IF($AC7&lt;&gt;"ELEGIBLE","",COUNTIFS($AC$2:$AC$101,"ELEGIBLE",$AJ$2:$AJ$101,"&gt;"&amp;$AJ7)+COUNTIFS($AC$2:$AC7,"ELEGIBLE",$AJ$2:$AJ7,$AJ7))</x:f>
      </x:c>
      <x:c r="AL7" s="23" t="str">
        <x:f>IF($A7="","",IF($AC7="BLOQUEADA","No seleccionable",IF($AC7="REVISIÓN","Revisión previa",IF($AK7&lt;=8,"Primaria propuesta","Contexto / backlog"))))</x:f>
      </x:c>
      <x:c r="AM7" s="23" t="str">
        <x:f>IF($A7="","",IF(MAX($O7,$P7)&gt;=MAX($Q7,$R7,$T7,$U7,$W7),"Transformación/OLC",IF(MAX($Q7,$R7)&gt;=MAX($T7,$U7,$W7),"Handoff/Flujo",IF(MAX($T7,$U7,$V7,$W7)&gt;=3,"Capacidad/Compensación","Contexto/PM"))))</x:f>
      </x:c>
      <x:c r="AN7" s="23"/>
      <x:c r="AO7" s="23" t="str">
        <x:f>IF($A7="","",IF($AN7="Forzar primaria","Primaria forzada",IF($AN7="Excluir","Excluida",IF($AN7="Revisión","Revisión previa",$AL7))))</x:f>
      </x:c>
      <x:c r="AP7" s="23" t="str">
        <x:f>IF($A7="","",IF($AC7="BLOQUEADA","Gate duro",IF($AD7&gt;=MAX($AE7,$AF7,$AG7),"Potencial MMABP",IF($AE7&gt;=MAX($AD7,$AF7,$AG7),"Fricción/variedad",IF($AF7&gt;=MAX($AD7,$AE7,$AG7),"Cobertura","Evidencia/feasibilidad")))))</x:f>
      </x:c>
      <x:c r="AQ7" s="23" t="str">
        <x:f>IF($A7="","",IF(LEFT($AO7,8)="Primaria",IF($AE7&gt;=75,"40+20 probable",IF($AD7&gt;=75,"40 base + causales selectivas","40 base + probes mínimos")),"No abre Runtime profundo"))</x:f>
      </x:c>
      <x:c r="AR7" s="23" t="str">
        <x:f>IF($A7="","",IF($AC7="BLOQUEADA","Corregir WorkMap/B0 antes de selección",IF($AC7="REVISIÓN","Microconfirmación B0 o resolución semántica",IF($AO7="Contexto / backlog","Conservar como contexto total","Enviar a Runtime"))))</x:f>
      </x:c>
      <x:c r="AS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23" t="str">
        <x:f>IF($A8="","",IF(OR($G8&lt;&gt;"Sí",$H8&lt;&gt;"Sí",$I8&lt;&gt;"Correcta",$J8="Sí",$K8&lt;2),"BLOQUEADA",IF(OR($J8="Posible",$K8&lt;3,$L8&lt;2),"REVISIÓN","ELEGIBLE")))</x:f>
      </x:c>
      <x:c r="AD8" s="38" t="str">
        <x:f>IF($A8="","",IF($AC8="BLOQUEADA",0,ROUND(($L8*Scoring_Weights!$C$9+$M8*Scoring_Weights!$C$10+$N8*Scoring_Weights!$C$11+$O8*Scoring_Weights!$C$12+$P8*Scoring_Weights!$C$13+$Q8*Scoring_Weights!$C$14+$R8*Scoring_Weights!$C$15+$X8*Scoring_Weights!$C$16+$AB8*Scoring_Weights!$C$17)*20,1)))</x:f>
      </x:c>
      <x:c r="AE8" s="38" t="str">
        <x:f>IF($A8="","",IF($AC8="BLOQUEADA",0,ROUND(($Q8*Scoring_Weights!$C$19+$R8*Scoring_Weights!$C$20+$S8*Scoring_Weights!$C$21+$T8*Scoring_Weights!$C$22+$U8*Scoring_Weights!$C$23+$V8*Scoring_Weights!$C$24+$W8*Scoring_Weights!$C$25)*20,1)))</x:f>
      </x:c>
      <x:c r="AF8" s="38" t="str">
        <x:f>IF($A8="","",IF($AC8="BLOQUEADA",0,ROUND(($Z8*Scoring_Weights!$C$27+$Y8*Scoring_Weights!$C$28+$X8*Scoring_Weights!$C$29)*20,1)))</x:f>
      </x:c>
      <x:c r="AG8" s="38" t="str">
        <x:f>IF($A8="","",IF($AC8="BLOQUEADA",0,ROUND(($AA8*Scoring_Weights!$C$31+$AB8*Scoring_Weights!$C$32+$K8*Scoring_Weights!$C$33)*20,1)))</x:f>
      </x:c>
      <x:c r="AH8" s="38" t="str">
        <x:f>IF($A8="","",IF($AC8="BLOQUEADA",0,MIN(10,IF(OR($O8&gt;=4,$P8&gt;=4),2,0)+IF($Q8&gt;=4,2,0)+IF($R8&gt;=4,2,0)+IF($U8&gt;=4,2,0)+IF($T8&gt;=4,1,0)+IF($V8&gt;=4,1,0))))</x:f>
      </x:c>
      <x:c r="AI8" s="38" t="str">
        <x:f>IF($A8="","",IF($AC8="BLOQUEADA",0,ROUND((MAX(0,5-$K8)+MAX(0,5-$AA8)+IF($I8="Ambigua",2,0)+IF($J8="Posible",2,0))*2,1)))</x:f>
      </x:c>
      <x:c r="AJ8" s="38" t="str">
        <x:f>IF($A8="","",IF($AC8="BLOQUEADA",0,ROUND($AD8*Scoring_Weights!$C$2+$AE8*Scoring_Weights!$C$3+$AF8*Scoring_Weights!$C$4+$AG8*Scoring_Weights!$C$5+$AH8*Scoring_Weights!$C$6-$AI8*Scoring_Weights!$C$7,1)))</x:f>
      </x:c>
      <x:c r="AK8" s="36" t="str">
        <x:f>IF($AC8&lt;&gt;"ELEGIBLE","",COUNTIFS($AC$2:$AC$101,"ELEGIBLE",$AJ$2:$AJ$101,"&gt;"&amp;$AJ8)+COUNTIFS($AC$2:$AC8,"ELEGIBLE",$AJ$2:$AJ8,$AJ8))</x:f>
      </x:c>
      <x:c r="AL8" s="23" t="str">
        <x:f>IF($A8="","",IF($AC8="BLOQUEADA","No seleccionable",IF($AC8="REVISIÓN","Revisión previa",IF($AK8&lt;=8,"Primaria propuesta","Contexto / backlog"))))</x:f>
      </x:c>
      <x:c r="AM8" s="23" t="str">
        <x:f>IF($A8="","",IF(MAX($O8,$P8)&gt;=MAX($Q8,$R8,$T8,$U8,$W8),"Transformación/OLC",IF(MAX($Q8,$R8)&gt;=MAX($T8,$U8,$W8),"Handoff/Flujo",IF(MAX($T8,$U8,$V8,$W8)&gt;=3,"Capacidad/Compensación","Contexto/PM"))))</x:f>
      </x:c>
      <x:c r="AN8" s="23"/>
      <x:c r="AO8" s="23" t="str">
        <x:f>IF($A8="","",IF($AN8="Forzar primaria","Primaria forzada",IF($AN8="Excluir","Excluida",IF($AN8="Revisión","Revisión previa",$AL8))))</x:f>
      </x:c>
      <x:c r="AP8" s="23" t="str">
        <x:f>IF($A8="","",IF($AC8="BLOQUEADA","Gate duro",IF($AD8&gt;=MAX($AE8,$AF8,$AG8),"Potencial MMABP",IF($AE8&gt;=MAX($AD8,$AF8,$AG8),"Fricción/variedad",IF($AF8&gt;=MAX($AD8,$AE8,$AG8),"Cobertura","Evidencia/feasibilidad")))))</x:f>
      </x:c>
      <x:c r="AQ8" s="23" t="str">
        <x:f>IF($A8="","",IF(LEFT($AO8,8)="Primaria",IF($AE8&gt;=75,"40+20 probable",IF($AD8&gt;=75,"40 base + causales selectivas","40 base + probes mínimos")),"No abre Runtime profundo"))</x:f>
      </x:c>
      <x:c r="AR8" s="23" t="str">
        <x:f>IF($A8="","",IF($AC8="BLOQUEADA","Corregir WorkMap/B0 antes de selección",IF($AC8="REVISIÓN","Microconfirmación B0 o resolución semántica",IF($AO8="Contexto / backlog","Conservar como contexto total","Enviar a Runtime"))))</x:f>
      </x:c>
      <x:c r="AS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  <x:c r="AC9" s="23" t="str">
        <x:f>IF($A9="","",IF(OR($G9&lt;&gt;"Sí",$H9&lt;&gt;"Sí",$I9&lt;&gt;"Correcta",$J9="Sí",$K9&lt;2),"BLOQUEADA",IF(OR($J9="Posible",$K9&lt;3,$L9&lt;2),"REVISIÓN","ELEGIBLE")))</x:f>
      </x:c>
      <x:c r="AD9" s="38" t="str">
        <x:f>IF($A9="","",IF($AC9="BLOQUEADA",0,ROUND(($L9*Scoring_Weights!$C$9+$M9*Scoring_Weights!$C$10+$N9*Scoring_Weights!$C$11+$O9*Scoring_Weights!$C$12+$P9*Scoring_Weights!$C$13+$Q9*Scoring_Weights!$C$14+$R9*Scoring_Weights!$C$15+$X9*Scoring_Weights!$C$16+$AB9*Scoring_Weights!$C$17)*20,1)))</x:f>
      </x:c>
      <x:c r="AE9" s="38" t="str">
        <x:f>IF($A9="","",IF($AC9="BLOQUEADA",0,ROUND(($Q9*Scoring_Weights!$C$19+$R9*Scoring_Weights!$C$20+$S9*Scoring_Weights!$C$21+$T9*Scoring_Weights!$C$22+$U9*Scoring_Weights!$C$23+$V9*Scoring_Weights!$C$24+$W9*Scoring_Weights!$C$25)*20,1)))</x:f>
      </x:c>
      <x:c r="AF9" s="38" t="str">
        <x:f>IF($A9="","",IF($AC9="BLOQUEADA",0,ROUND(($Z9*Scoring_Weights!$C$27+$Y9*Scoring_Weights!$C$28+$X9*Scoring_Weights!$C$29)*20,1)))</x:f>
      </x:c>
      <x:c r="AG9" s="38" t="str">
        <x:f>IF($A9="","",IF($AC9="BLOQUEADA",0,ROUND(($AA9*Scoring_Weights!$C$31+$AB9*Scoring_Weights!$C$32+$K9*Scoring_Weights!$C$33)*20,1)))</x:f>
      </x:c>
      <x:c r="AH9" s="38" t="str">
        <x:f>IF($A9="","",IF($AC9="BLOQUEADA",0,MIN(10,IF(OR($O9&gt;=4,$P9&gt;=4),2,0)+IF($Q9&gt;=4,2,0)+IF($R9&gt;=4,2,0)+IF($U9&gt;=4,2,0)+IF($T9&gt;=4,1,0)+IF($V9&gt;=4,1,0))))</x:f>
      </x:c>
      <x:c r="AI9" s="38" t="str">
        <x:f>IF($A9="","",IF($AC9="BLOQUEADA",0,ROUND((MAX(0,5-$K9)+MAX(0,5-$AA9)+IF($I9="Ambigua",2,0)+IF($J9="Posible",2,0))*2,1)))</x:f>
      </x:c>
      <x:c r="AJ9" s="38" t="str">
        <x:f>IF($A9="","",IF($AC9="BLOQUEADA",0,ROUND($AD9*Scoring_Weights!$C$2+$AE9*Scoring_Weights!$C$3+$AF9*Scoring_Weights!$C$4+$AG9*Scoring_Weights!$C$5+$AH9*Scoring_Weights!$C$6-$AI9*Scoring_Weights!$C$7,1)))</x:f>
      </x:c>
      <x:c r="AK9" s="36" t="str">
        <x:f>IF($AC9&lt;&gt;"ELEGIBLE","",COUNTIFS($AC$2:$AC$101,"ELEGIBLE",$AJ$2:$AJ$101,"&gt;"&amp;$AJ9)+COUNTIFS($AC$2:$AC9,"ELEGIBLE",$AJ$2:$AJ9,$AJ9))</x:f>
      </x:c>
      <x:c r="AL9" s="23" t="str">
        <x:f>IF($A9="","",IF($AC9="BLOQUEADA","No seleccionable",IF($AC9="REVISIÓN","Revisión previa",IF($AK9&lt;=8,"Primaria propuesta","Contexto / backlog"))))</x:f>
      </x:c>
      <x:c r="AM9" s="23" t="str">
        <x:f>IF($A9="","",IF(MAX($O9,$P9)&gt;=MAX($Q9,$R9,$T9,$U9,$W9),"Transformación/OLC",IF(MAX($Q9,$R9)&gt;=MAX($T9,$U9,$W9),"Handoff/Flujo",IF(MAX($T9,$U9,$V9,$W9)&gt;=3,"Capacidad/Compensación","Contexto/PM"))))</x:f>
      </x:c>
      <x:c r="AN9" s="23"/>
      <x:c r="AO9" s="23" t="str">
        <x:f>IF($A9="","",IF($AN9="Forzar primaria","Primaria forzada",IF($AN9="Excluir","Excluida",IF($AN9="Revisión","Revisión previa",$AL9))))</x:f>
      </x:c>
      <x:c r="AP9" s="23" t="str">
        <x:f>IF($A9="","",IF($AC9="BLOQUEADA","Gate duro",IF($AD9&gt;=MAX($AE9,$AF9,$AG9),"Potencial MMABP",IF($AE9&gt;=MAX($AD9,$AF9,$AG9),"Fricción/variedad",IF($AF9&gt;=MAX($AD9,$AE9,$AG9),"Cobertura","Evidencia/feasibilidad")))))</x:f>
      </x:c>
      <x:c r="AQ9" s="23" t="str">
        <x:f>IF($A9="","",IF(LEFT($AO9,8)="Primaria",IF($AE9&gt;=75,"40+20 probable",IF($AD9&gt;=75,"40 base + causales selectivas","40 base + probes mínimos")),"No abre Runtime profundo"))</x:f>
      </x:c>
      <x:c r="AR9" s="23" t="str">
        <x:f>IF($A9="","",IF($AC9="BLOQUEADA","Corregir WorkMap/B0 antes de selección",IF($AC9="REVISIÓN","Microconfirmación B0 o resolución semántica",IF($AO9="Contexto / backlog","Conservar como contexto total","Enviar a Runtime"))))</x:f>
      </x:c>
      <x:c r="AS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  <x:c r="AA10" s="36"/>
      <x:c r="AB10" s="36"/>
      <x:c r="AC10" s="23" t="str">
        <x:f>IF($A10="","",IF(OR($G10&lt;&gt;"Sí",$H10&lt;&gt;"Sí",$I10&lt;&gt;"Correcta",$J10="Sí",$K10&lt;2),"BLOQUEADA",IF(OR($J10="Posible",$K10&lt;3,$L10&lt;2),"REVISIÓN","ELEGIBLE")))</x:f>
      </x:c>
      <x:c r="AD10" s="38" t="str">
        <x:f>IF($A10="","",IF($AC10="BLOQUEADA",0,ROUND(($L10*Scoring_Weights!$C$9+$M10*Scoring_Weights!$C$10+$N10*Scoring_Weights!$C$11+$O10*Scoring_Weights!$C$12+$P10*Scoring_Weights!$C$13+$Q10*Scoring_Weights!$C$14+$R10*Scoring_Weights!$C$15+$X10*Scoring_Weights!$C$16+$AB10*Scoring_Weights!$C$17)*20,1)))</x:f>
      </x:c>
      <x:c r="AE10" s="38" t="str">
        <x:f>IF($A10="","",IF($AC10="BLOQUEADA",0,ROUND(($Q10*Scoring_Weights!$C$19+$R10*Scoring_Weights!$C$20+$S10*Scoring_Weights!$C$21+$T10*Scoring_Weights!$C$22+$U10*Scoring_Weights!$C$23+$V10*Scoring_Weights!$C$24+$W10*Scoring_Weights!$C$25)*20,1)))</x:f>
      </x:c>
      <x:c r="AF10" s="38" t="str">
        <x:f>IF($A10="","",IF($AC10="BLOQUEADA",0,ROUND(($Z10*Scoring_Weights!$C$27+$Y10*Scoring_Weights!$C$28+$X10*Scoring_Weights!$C$29)*20,1)))</x:f>
      </x:c>
      <x:c r="AG10" s="38" t="str">
        <x:f>IF($A10="","",IF($AC10="BLOQUEADA",0,ROUND(($AA10*Scoring_Weights!$C$31+$AB10*Scoring_Weights!$C$32+$K10*Scoring_Weights!$C$33)*20,1)))</x:f>
      </x:c>
      <x:c r="AH10" s="38" t="str">
        <x:f>IF($A10="","",IF($AC10="BLOQUEADA",0,MIN(10,IF(OR($O10&gt;=4,$P10&gt;=4),2,0)+IF($Q10&gt;=4,2,0)+IF($R10&gt;=4,2,0)+IF($U10&gt;=4,2,0)+IF($T10&gt;=4,1,0)+IF($V10&gt;=4,1,0))))</x:f>
      </x:c>
      <x:c r="AI10" s="38" t="str">
        <x:f>IF($A10="","",IF($AC10="BLOQUEADA",0,ROUND((MAX(0,5-$K10)+MAX(0,5-$AA10)+IF($I10="Ambigua",2,0)+IF($J10="Posible",2,0))*2,1)))</x:f>
      </x:c>
      <x:c r="AJ10" s="38" t="str">
        <x:f>IF($A10="","",IF($AC10="BLOQUEADA",0,ROUND($AD10*Scoring_Weights!$C$2+$AE10*Scoring_Weights!$C$3+$AF10*Scoring_Weights!$C$4+$AG10*Scoring_Weights!$C$5+$AH10*Scoring_Weights!$C$6-$AI10*Scoring_Weights!$C$7,1)))</x:f>
      </x:c>
      <x:c r="AK10" s="36" t="str">
        <x:f>IF($AC10&lt;&gt;"ELEGIBLE","",COUNTIFS($AC$2:$AC$101,"ELEGIBLE",$AJ$2:$AJ$101,"&gt;"&amp;$AJ10)+COUNTIFS($AC$2:$AC10,"ELEGIBLE",$AJ$2:$AJ10,$AJ10))</x:f>
      </x:c>
      <x:c r="AL10" s="23" t="str">
        <x:f>IF($A10="","",IF($AC10="BLOQUEADA","No seleccionable",IF($AC10="REVISIÓN","Revisión previa",IF($AK10&lt;=8,"Primaria propuesta","Contexto / backlog"))))</x:f>
      </x:c>
      <x:c r="AM10" s="23" t="str">
        <x:f>IF($A10="","",IF(MAX($O10,$P10)&gt;=MAX($Q10,$R10,$T10,$U10,$W10),"Transformación/OLC",IF(MAX($Q10,$R10)&gt;=MAX($T10,$U10,$W10),"Handoff/Flujo",IF(MAX($T10,$U10,$V10,$W10)&gt;=3,"Capacidad/Compensación","Contexto/PM"))))</x:f>
      </x:c>
      <x:c r="AN10" s="23"/>
      <x:c r="AO10" s="23" t="str">
        <x:f>IF($A10="","",IF($AN10="Forzar primaria","Primaria forzada",IF($AN10="Excluir","Excluida",IF($AN10="Revisión","Revisión previa",$AL10))))</x:f>
      </x:c>
      <x:c r="AP10" s="23" t="str">
        <x:f>IF($A10="","",IF($AC10="BLOQUEADA","Gate duro",IF($AD10&gt;=MAX($AE10,$AF10,$AG10),"Potencial MMABP",IF($AE10&gt;=MAX($AD10,$AF10,$AG10),"Fricción/variedad",IF($AF10&gt;=MAX($AD10,$AE10,$AG10),"Cobertura","Evidencia/feasibilidad")))))</x:f>
      </x:c>
      <x:c r="AQ10" s="23" t="str">
        <x:f>IF($A10="","",IF(LEFT($AO10,8)="Primaria",IF($AE10&gt;=75,"40+20 probable",IF($AD10&gt;=75,"40 base + causales selectivas","40 base + probes mínimos")),"No abre Runtime profundo"))</x:f>
      </x:c>
      <x:c r="AR10" s="23" t="str">
        <x:f>IF($A10="","",IF($AC10="BLOQUEADA","Corregir WorkMap/B0 antes de selección",IF($AC10="REVISIÓN","Microconfirmación B0 o resolución semántica",IF($AO10="Contexto / backlog","Conservar como contexto total","Enviar a Runtime"))))</x:f>
      </x:c>
      <x:c r="AS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23" t="str">
        <x:f>IF($A11="","",IF(OR($G11&lt;&gt;"Sí",$H11&lt;&gt;"Sí",$I11&lt;&gt;"Correcta",$J11="Sí",$K11&lt;2),"BLOQUEADA",IF(OR($J11="Posible",$K11&lt;3,$L11&lt;2),"REVISIÓN","ELEGIBLE")))</x:f>
      </x:c>
      <x:c r="AD11" s="38" t="str">
        <x:f>IF($A11="","",IF($AC11="BLOQUEADA",0,ROUND(($L11*Scoring_Weights!$C$9+$M11*Scoring_Weights!$C$10+$N11*Scoring_Weights!$C$11+$O11*Scoring_Weights!$C$12+$P11*Scoring_Weights!$C$13+$Q11*Scoring_Weights!$C$14+$R11*Scoring_Weights!$C$15+$X11*Scoring_Weights!$C$16+$AB11*Scoring_Weights!$C$17)*20,1)))</x:f>
      </x:c>
      <x:c r="AE11" s="38" t="str">
        <x:f>IF($A11="","",IF($AC11="BLOQUEADA",0,ROUND(($Q11*Scoring_Weights!$C$19+$R11*Scoring_Weights!$C$20+$S11*Scoring_Weights!$C$21+$T11*Scoring_Weights!$C$22+$U11*Scoring_Weights!$C$23+$V11*Scoring_Weights!$C$24+$W11*Scoring_Weights!$C$25)*20,1)))</x:f>
      </x:c>
      <x:c r="AF11" s="38" t="str">
        <x:f>IF($A11="","",IF($AC11="BLOQUEADA",0,ROUND(($Z11*Scoring_Weights!$C$27+$Y11*Scoring_Weights!$C$28+$X11*Scoring_Weights!$C$29)*20,1)))</x:f>
      </x:c>
      <x:c r="AG11" s="38" t="str">
        <x:f>IF($A11="","",IF($AC11="BLOQUEADA",0,ROUND(($AA11*Scoring_Weights!$C$31+$AB11*Scoring_Weights!$C$32+$K11*Scoring_Weights!$C$33)*20,1)))</x:f>
      </x:c>
      <x:c r="AH11" s="38" t="str">
        <x:f>IF($A11="","",IF($AC11="BLOQUEADA",0,MIN(10,IF(OR($O11&gt;=4,$P11&gt;=4),2,0)+IF($Q11&gt;=4,2,0)+IF($R11&gt;=4,2,0)+IF($U11&gt;=4,2,0)+IF($T11&gt;=4,1,0)+IF($V11&gt;=4,1,0))))</x:f>
      </x:c>
      <x:c r="AI11" s="38" t="str">
        <x:f>IF($A11="","",IF($AC11="BLOQUEADA",0,ROUND((MAX(0,5-$K11)+MAX(0,5-$AA11)+IF($I11="Ambigua",2,0)+IF($J11="Posible",2,0))*2,1)))</x:f>
      </x:c>
      <x:c r="AJ11" s="38" t="str">
        <x:f>IF($A11="","",IF($AC11="BLOQUEADA",0,ROUND($AD11*Scoring_Weights!$C$2+$AE11*Scoring_Weights!$C$3+$AF11*Scoring_Weights!$C$4+$AG11*Scoring_Weights!$C$5+$AH11*Scoring_Weights!$C$6-$AI11*Scoring_Weights!$C$7,1)))</x:f>
      </x:c>
      <x:c r="AK11" s="36" t="str">
        <x:f>IF($AC11&lt;&gt;"ELEGIBLE","",COUNTIFS($AC$2:$AC$101,"ELEGIBLE",$AJ$2:$AJ$101,"&gt;"&amp;$AJ11)+COUNTIFS($AC$2:$AC11,"ELEGIBLE",$AJ$2:$AJ11,$AJ11))</x:f>
      </x:c>
      <x:c r="AL11" s="23" t="str">
        <x:f>IF($A11="","",IF($AC11="BLOQUEADA","No seleccionable",IF($AC11="REVISIÓN","Revisión previa",IF($AK11&lt;=8,"Primaria propuesta","Contexto / backlog"))))</x:f>
      </x:c>
      <x:c r="AM11" s="23" t="str">
        <x:f>IF($A11="","",IF(MAX($O11,$P11)&gt;=MAX($Q11,$R11,$T11,$U11,$W11),"Transformación/OLC",IF(MAX($Q11,$R11)&gt;=MAX($T11,$U11,$W11),"Handoff/Flujo",IF(MAX($T11,$U11,$V11,$W11)&gt;=3,"Capacidad/Compensación","Contexto/PM"))))</x:f>
      </x:c>
      <x:c r="AN11" s="23"/>
      <x:c r="AO11" s="23" t="str">
        <x:f>IF($A11="","",IF($AN11="Forzar primaria","Primaria forzada",IF($AN11="Excluir","Excluida",IF($AN11="Revisión","Revisión previa",$AL11))))</x:f>
      </x:c>
      <x:c r="AP11" s="23" t="str">
        <x:f>IF($A11="","",IF($AC11="BLOQUEADA","Gate duro",IF($AD11&gt;=MAX($AE11,$AF11,$AG11),"Potencial MMABP",IF($AE11&gt;=MAX($AD11,$AF11,$AG11),"Fricción/variedad",IF($AF11&gt;=MAX($AD11,$AE11,$AG11),"Cobertura","Evidencia/feasibilidad")))))</x:f>
      </x:c>
      <x:c r="AQ11" s="23" t="str">
        <x:f>IF($A11="","",IF(LEFT($AO11,8)="Primaria",IF($AE11&gt;=75,"40+20 probable",IF($AD11&gt;=75,"40 base + causales selectivas","40 base + probes mínimos")),"No abre Runtime profundo"))</x:f>
      </x:c>
      <x:c r="AR11" s="23" t="str">
        <x:f>IF($A11="","",IF($AC11="BLOQUEADA","Corregir WorkMap/B0 antes de selección",IF($AC11="REVISIÓN","Microconfirmación B0 o resolución semántica",IF($AO11="Contexto / backlog","Conservar como contexto total","Enviar a Runtime"))))</x:f>
      </x:c>
      <x:c r="AS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  <x:c r="AA12" s="36"/>
      <x:c r="AB12" s="36"/>
      <x:c r="AC12" s="23" t="str">
        <x:f>IF($A12="","",IF(OR($G12&lt;&gt;"Sí",$H12&lt;&gt;"Sí",$I12&lt;&gt;"Correcta",$J12="Sí",$K12&lt;2),"BLOQUEADA",IF(OR($J12="Posible",$K12&lt;3,$L12&lt;2),"REVISIÓN","ELEGIBLE")))</x:f>
      </x:c>
      <x:c r="AD12" s="38" t="str">
        <x:f>IF($A12="","",IF($AC12="BLOQUEADA",0,ROUND(($L12*Scoring_Weights!$C$9+$M12*Scoring_Weights!$C$10+$N12*Scoring_Weights!$C$11+$O12*Scoring_Weights!$C$12+$P12*Scoring_Weights!$C$13+$Q12*Scoring_Weights!$C$14+$R12*Scoring_Weights!$C$15+$X12*Scoring_Weights!$C$16+$AB12*Scoring_Weights!$C$17)*20,1)))</x:f>
      </x:c>
      <x:c r="AE12" s="38" t="str">
        <x:f>IF($A12="","",IF($AC12="BLOQUEADA",0,ROUND(($Q12*Scoring_Weights!$C$19+$R12*Scoring_Weights!$C$20+$S12*Scoring_Weights!$C$21+$T12*Scoring_Weights!$C$22+$U12*Scoring_Weights!$C$23+$V12*Scoring_Weights!$C$24+$W12*Scoring_Weights!$C$25)*20,1)))</x:f>
      </x:c>
      <x:c r="AF12" s="38" t="str">
        <x:f>IF($A12="","",IF($AC12="BLOQUEADA",0,ROUND(($Z12*Scoring_Weights!$C$27+$Y12*Scoring_Weights!$C$28+$X12*Scoring_Weights!$C$29)*20,1)))</x:f>
      </x:c>
      <x:c r="AG12" s="38" t="str">
        <x:f>IF($A12="","",IF($AC12="BLOQUEADA",0,ROUND(($AA12*Scoring_Weights!$C$31+$AB12*Scoring_Weights!$C$32+$K12*Scoring_Weights!$C$33)*20,1)))</x:f>
      </x:c>
      <x:c r="AH12" s="38" t="str">
        <x:f>IF($A12="","",IF($AC12="BLOQUEADA",0,MIN(10,IF(OR($O12&gt;=4,$P12&gt;=4),2,0)+IF($Q12&gt;=4,2,0)+IF($R12&gt;=4,2,0)+IF($U12&gt;=4,2,0)+IF($T12&gt;=4,1,0)+IF($V12&gt;=4,1,0))))</x:f>
      </x:c>
      <x:c r="AI12" s="38" t="str">
        <x:f>IF($A12="","",IF($AC12="BLOQUEADA",0,ROUND((MAX(0,5-$K12)+MAX(0,5-$AA12)+IF($I12="Ambigua",2,0)+IF($J12="Posible",2,0))*2,1)))</x:f>
      </x:c>
      <x:c r="AJ12" s="38" t="str">
        <x:f>IF($A12="","",IF($AC12="BLOQUEADA",0,ROUND($AD12*Scoring_Weights!$C$2+$AE12*Scoring_Weights!$C$3+$AF12*Scoring_Weights!$C$4+$AG12*Scoring_Weights!$C$5+$AH12*Scoring_Weights!$C$6-$AI12*Scoring_Weights!$C$7,1)))</x:f>
      </x:c>
      <x:c r="AK12" s="36" t="str">
        <x:f>IF($AC12&lt;&gt;"ELEGIBLE","",COUNTIFS($AC$2:$AC$101,"ELEGIBLE",$AJ$2:$AJ$101,"&gt;"&amp;$AJ12)+COUNTIFS($AC$2:$AC12,"ELEGIBLE",$AJ$2:$AJ12,$AJ12))</x:f>
      </x:c>
      <x:c r="AL12" s="23" t="str">
        <x:f>IF($A12="","",IF($AC12="BLOQUEADA","No seleccionable",IF($AC12="REVISIÓN","Revisión previa",IF($AK12&lt;=8,"Primaria propuesta","Contexto / backlog"))))</x:f>
      </x:c>
      <x:c r="AM12" s="23" t="str">
        <x:f>IF($A12="","",IF(MAX($O12,$P12)&gt;=MAX($Q12,$R12,$T12,$U12,$W12),"Transformación/OLC",IF(MAX($Q12,$R12)&gt;=MAX($T12,$U12,$W12),"Handoff/Flujo",IF(MAX($T12,$U12,$V12,$W12)&gt;=3,"Capacidad/Compensación","Contexto/PM"))))</x:f>
      </x:c>
      <x:c r="AN12" s="23"/>
      <x:c r="AO12" s="23" t="str">
        <x:f>IF($A12="","",IF($AN12="Forzar primaria","Primaria forzada",IF($AN12="Excluir","Excluida",IF($AN12="Revisión","Revisión previa",$AL12))))</x:f>
      </x:c>
      <x:c r="AP12" s="23" t="str">
        <x:f>IF($A12="","",IF($AC12="BLOQUEADA","Gate duro",IF($AD12&gt;=MAX($AE12,$AF12,$AG12),"Potencial MMABP",IF($AE12&gt;=MAX($AD12,$AF12,$AG12),"Fricción/variedad",IF($AF12&gt;=MAX($AD12,$AE12,$AG12),"Cobertura","Evidencia/feasibilidad")))))</x:f>
      </x:c>
      <x:c r="AQ12" s="23" t="str">
        <x:f>IF($A12="","",IF(LEFT($AO12,8)="Primaria",IF($AE12&gt;=75,"40+20 probable",IF($AD12&gt;=75,"40 base + causales selectivas","40 base + probes mínimos")),"No abre Runtime profundo"))</x:f>
      </x:c>
      <x:c r="AR12" s="23" t="str">
        <x:f>IF($A12="","",IF($AC12="BLOQUEADA","Corregir WorkMap/B0 antes de selección",IF($AC12="REVISIÓN","Microconfirmación B0 o resolución semántica",IF($AO12="Contexto / backlog","Conservar como contexto total","Enviar a Runtime"))))</x:f>
      </x:c>
      <x:c r="AS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  <x:c r="AA13" s="36"/>
      <x:c r="AB13" s="36"/>
      <x:c r="AC13" s="23" t="str">
        <x:f>IF($A13="","",IF(OR($G13&lt;&gt;"Sí",$H13&lt;&gt;"Sí",$I13&lt;&gt;"Correcta",$J13="Sí",$K13&lt;2),"BLOQUEADA",IF(OR($J13="Posible",$K13&lt;3,$L13&lt;2),"REVISIÓN","ELEGIBLE")))</x:f>
      </x:c>
      <x:c r="AD13" s="38" t="str">
        <x:f>IF($A13="","",IF($AC13="BLOQUEADA",0,ROUND(($L13*Scoring_Weights!$C$9+$M13*Scoring_Weights!$C$10+$N13*Scoring_Weights!$C$11+$O13*Scoring_Weights!$C$12+$P13*Scoring_Weights!$C$13+$Q13*Scoring_Weights!$C$14+$R13*Scoring_Weights!$C$15+$X13*Scoring_Weights!$C$16+$AB13*Scoring_Weights!$C$17)*20,1)))</x:f>
      </x:c>
      <x:c r="AE13" s="38" t="str">
        <x:f>IF($A13="","",IF($AC13="BLOQUEADA",0,ROUND(($Q13*Scoring_Weights!$C$19+$R13*Scoring_Weights!$C$20+$S13*Scoring_Weights!$C$21+$T13*Scoring_Weights!$C$22+$U13*Scoring_Weights!$C$23+$V13*Scoring_Weights!$C$24+$W13*Scoring_Weights!$C$25)*20,1)))</x:f>
      </x:c>
      <x:c r="AF13" s="38" t="str">
        <x:f>IF($A13="","",IF($AC13="BLOQUEADA",0,ROUND(($Z13*Scoring_Weights!$C$27+$Y13*Scoring_Weights!$C$28+$X13*Scoring_Weights!$C$29)*20,1)))</x:f>
      </x:c>
      <x:c r="AG13" s="38" t="str">
        <x:f>IF($A13="","",IF($AC13="BLOQUEADA",0,ROUND(($AA13*Scoring_Weights!$C$31+$AB13*Scoring_Weights!$C$32+$K13*Scoring_Weights!$C$33)*20,1)))</x:f>
      </x:c>
      <x:c r="AH13" s="38" t="str">
        <x:f>IF($A13="","",IF($AC13="BLOQUEADA",0,MIN(10,IF(OR($O13&gt;=4,$P13&gt;=4),2,0)+IF($Q13&gt;=4,2,0)+IF($R13&gt;=4,2,0)+IF($U13&gt;=4,2,0)+IF($T13&gt;=4,1,0)+IF($V13&gt;=4,1,0))))</x:f>
      </x:c>
      <x:c r="AI13" s="38" t="str">
        <x:f>IF($A13="","",IF($AC13="BLOQUEADA",0,ROUND((MAX(0,5-$K13)+MAX(0,5-$AA13)+IF($I13="Ambigua",2,0)+IF($J13="Posible",2,0))*2,1)))</x:f>
      </x:c>
      <x:c r="AJ13" s="38" t="str">
        <x:f>IF($A13="","",IF($AC13="BLOQUEADA",0,ROUND($AD13*Scoring_Weights!$C$2+$AE13*Scoring_Weights!$C$3+$AF13*Scoring_Weights!$C$4+$AG13*Scoring_Weights!$C$5+$AH13*Scoring_Weights!$C$6-$AI13*Scoring_Weights!$C$7,1)))</x:f>
      </x:c>
      <x:c r="AK13" s="36" t="str">
        <x:f>IF($AC13&lt;&gt;"ELEGIBLE","",COUNTIFS($AC$2:$AC$101,"ELEGIBLE",$AJ$2:$AJ$101,"&gt;"&amp;$AJ13)+COUNTIFS($AC$2:$AC13,"ELEGIBLE",$AJ$2:$AJ13,$AJ13))</x:f>
      </x:c>
      <x:c r="AL13" s="23" t="str">
        <x:f>IF($A13="","",IF($AC13="BLOQUEADA","No seleccionable",IF($AC13="REVISIÓN","Revisión previa",IF($AK13&lt;=8,"Primaria propuesta","Contexto / backlog"))))</x:f>
      </x:c>
      <x:c r="AM13" s="23" t="str">
        <x:f>IF($A13="","",IF(MAX($O13,$P13)&gt;=MAX($Q13,$R13,$T13,$U13,$W13),"Transformación/OLC",IF(MAX($Q13,$R13)&gt;=MAX($T13,$U13,$W13),"Handoff/Flujo",IF(MAX($T13,$U13,$V13,$W13)&gt;=3,"Capacidad/Compensación","Contexto/PM"))))</x:f>
      </x:c>
      <x:c r="AN13" s="23"/>
      <x:c r="AO13" s="23" t="str">
        <x:f>IF($A13="","",IF($AN13="Forzar primaria","Primaria forzada",IF($AN13="Excluir","Excluida",IF($AN13="Revisión","Revisión previa",$AL13))))</x:f>
      </x:c>
      <x:c r="AP13" s="23" t="str">
        <x:f>IF($A13="","",IF($AC13="BLOQUEADA","Gate duro",IF($AD13&gt;=MAX($AE13,$AF13,$AG13),"Potencial MMABP",IF($AE13&gt;=MAX($AD13,$AF13,$AG13),"Fricción/variedad",IF($AF13&gt;=MAX($AD13,$AE13,$AG13),"Cobertura","Evidencia/feasibilidad")))))</x:f>
      </x:c>
      <x:c r="AQ13" s="23" t="str">
        <x:f>IF($A13="","",IF(LEFT($AO13,8)="Primaria",IF($AE13&gt;=75,"40+20 probable",IF($AD13&gt;=75,"40 base + causales selectivas","40 base + probes mínimos")),"No abre Runtime profundo"))</x:f>
      </x:c>
      <x:c r="AR13" s="23" t="str">
        <x:f>IF($A13="","",IF($AC13="BLOQUEADA","Corregir WorkMap/B0 antes de selección",IF($AC13="REVISIÓN","Microconfirmación B0 o resolución semántica",IF($AO13="Contexto / backlog","Conservar como contexto total","Enviar a Runtime"))))</x:f>
      </x:c>
      <x:c r="AS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23" t="str">
        <x:f>IF($A14="","",IF(OR($G14&lt;&gt;"Sí",$H14&lt;&gt;"Sí",$I14&lt;&gt;"Correcta",$J14="Sí",$K14&lt;2),"BLOQUEADA",IF(OR($J14="Posible",$K14&lt;3,$L14&lt;2),"REVISIÓN","ELEGIBLE")))</x:f>
      </x:c>
      <x:c r="AD14" s="38" t="str">
        <x:f>IF($A14="","",IF($AC14="BLOQUEADA",0,ROUND(($L14*Scoring_Weights!$C$9+$M14*Scoring_Weights!$C$10+$N14*Scoring_Weights!$C$11+$O14*Scoring_Weights!$C$12+$P14*Scoring_Weights!$C$13+$Q14*Scoring_Weights!$C$14+$R14*Scoring_Weights!$C$15+$X14*Scoring_Weights!$C$16+$AB14*Scoring_Weights!$C$17)*20,1)))</x:f>
      </x:c>
      <x:c r="AE14" s="38" t="str">
        <x:f>IF($A14="","",IF($AC14="BLOQUEADA",0,ROUND(($Q14*Scoring_Weights!$C$19+$R14*Scoring_Weights!$C$20+$S14*Scoring_Weights!$C$21+$T14*Scoring_Weights!$C$22+$U14*Scoring_Weights!$C$23+$V14*Scoring_Weights!$C$24+$W14*Scoring_Weights!$C$25)*20,1)))</x:f>
      </x:c>
      <x:c r="AF14" s="38" t="str">
        <x:f>IF($A14="","",IF($AC14="BLOQUEADA",0,ROUND(($Z14*Scoring_Weights!$C$27+$Y14*Scoring_Weights!$C$28+$X14*Scoring_Weights!$C$29)*20,1)))</x:f>
      </x:c>
      <x:c r="AG14" s="38" t="str">
        <x:f>IF($A14="","",IF($AC14="BLOQUEADA",0,ROUND(($AA14*Scoring_Weights!$C$31+$AB14*Scoring_Weights!$C$32+$K14*Scoring_Weights!$C$33)*20,1)))</x:f>
      </x:c>
      <x:c r="AH14" s="38" t="str">
        <x:f>IF($A14="","",IF($AC14="BLOQUEADA",0,MIN(10,IF(OR($O14&gt;=4,$P14&gt;=4),2,0)+IF($Q14&gt;=4,2,0)+IF($R14&gt;=4,2,0)+IF($U14&gt;=4,2,0)+IF($T14&gt;=4,1,0)+IF($V14&gt;=4,1,0))))</x:f>
      </x:c>
      <x:c r="AI14" s="38" t="str">
        <x:f>IF($A14="","",IF($AC14="BLOQUEADA",0,ROUND((MAX(0,5-$K14)+MAX(0,5-$AA14)+IF($I14="Ambigua",2,0)+IF($J14="Posible",2,0))*2,1)))</x:f>
      </x:c>
      <x:c r="AJ14" s="38" t="str">
        <x:f>IF($A14="","",IF($AC14="BLOQUEADA",0,ROUND($AD14*Scoring_Weights!$C$2+$AE14*Scoring_Weights!$C$3+$AF14*Scoring_Weights!$C$4+$AG14*Scoring_Weights!$C$5+$AH14*Scoring_Weights!$C$6-$AI14*Scoring_Weights!$C$7,1)))</x:f>
      </x:c>
      <x:c r="AK14" s="36" t="str">
        <x:f>IF($AC14&lt;&gt;"ELEGIBLE","",COUNTIFS($AC$2:$AC$101,"ELEGIBLE",$AJ$2:$AJ$101,"&gt;"&amp;$AJ14)+COUNTIFS($AC$2:$AC14,"ELEGIBLE",$AJ$2:$AJ14,$AJ14))</x:f>
      </x:c>
      <x:c r="AL14" s="23" t="str">
        <x:f>IF($A14="","",IF($AC14="BLOQUEADA","No seleccionable",IF($AC14="REVISIÓN","Revisión previa",IF($AK14&lt;=8,"Primaria propuesta","Contexto / backlog"))))</x:f>
      </x:c>
      <x:c r="AM14" s="23" t="str">
        <x:f>IF($A14="","",IF(MAX($O14,$P14)&gt;=MAX($Q14,$R14,$T14,$U14,$W14),"Transformación/OLC",IF(MAX($Q14,$R14)&gt;=MAX($T14,$U14,$W14),"Handoff/Flujo",IF(MAX($T14,$U14,$V14,$W14)&gt;=3,"Capacidad/Compensación","Contexto/PM"))))</x:f>
      </x:c>
      <x:c r="AN14" s="23"/>
      <x:c r="AO14" s="23" t="str">
        <x:f>IF($A14="","",IF($AN14="Forzar primaria","Primaria forzada",IF($AN14="Excluir","Excluida",IF($AN14="Revisión","Revisión previa",$AL14))))</x:f>
      </x:c>
      <x:c r="AP14" s="23" t="str">
        <x:f>IF($A14="","",IF($AC14="BLOQUEADA","Gate duro",IF($AD14&gt;=MAX($AE14,$AF14,$AG14),"Potencial MMABP",IF($AE14&gt;=MAX($AD14,$AF14,$AG14),"Fricción/variedad",IF($AF14&gt;=MAX($AD14,$AE14,$AG14),"Cobertura","Evidencia/feasibilidad")))))</x:f>
      </x:c>
      <x:c r="AQ14" s="23" t="str">
        <x:f>IF($A14="","",IF(LEFT($AO14,8)="Primaria",IF($AE14&gt;=75,"40+20 probable",IF($AD14&gt;=75,"40 base + causales selectivas","40 base + probes mínimos")),"No abre Runtime profundo"))</x:f>
      </x:c>
      <x:c r="AR14" s="23" t="str">
        <x:f>IF($A14="","",IF($AC14="BLOQUEADA","Corregir WorkMap/B0 antes de selección",IF($AC14="REVISIÓN","Microconfirmación B0 o resolución semántica",IF($AO14="Contexto / backlog","Conservar como contexto total","Enviar a Runtime"))))</x:f>
      </x:c>
      <x:c r="AS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  <x:c r="AA15" s="36"/>
      <x:c r="AB15" s="36"/>
      <x:c r="AC15" s="23" t="str">
        <x:f>IF($A15="","",IF(OR($G15&lt;&gt;"Sí",$H15&lt;&gt;"Sí",$I15&lt;&gt;"Correcta",$J15="Sí",$K15&lt;2),"BLOQUEADA",IF(OR($J15="Posible",$K15&lt;3,$L15&lt;2),"REVISIÓN","ELEGIBLE")))</x:f>
      </x:c>
      <x:c r="AD15" s="38" t="str">
        <x:f>IF($A15="","",IF($AC15="BLOQUEADA",0,ROUND(($L15*Scoring_Weights!$C$9+$M15*Scoring_Weights!$C$10+$N15*Scoring_Weights!$C$11+$O15*Scoring_Weights!$C$12+$P15*Scoring_Weights!$C$13+$Q15*Scoring_Weights!$C$14+$R15*Scoring_Weights!$C$15+$X15*Scoring_Weights!$C$16+$AB15*Scoring_Weights!$C$17)*20,1)))</x:f>
      </x:c>
      <x:c r="AE15" s="38" t="str">
        <x:f>IF($A15="","",IF($AC15="BLOQUEADA",0,ROUND(($Q15*Scoring_Weights!$C$19+$R15*Scoring_Weights!$C$20+$S15*Scoring_Weights!$C$21+$T15*Scoring_Weights!$C$22+$U15*Scoring_Weights!$C$23+$V15*Scoring_Weights!$C$24+$W15*Scoring_Weights!$C$25)*20,1)))</x:f>
      </x:c>
      <x:c r="AF15" s="38" t="str">
        <x:f>IF($A15="","",IF($AC15="BLOQUEADA",0,ROUND(($Z15*Scoring_Weights!$C$27+$Y15*Scoring_Weights!$C$28+$X15*Scoring_Weights!$C$29)*20,1)))</x:f>
      </x:c>
      <x:c r="AG15" s="38" t="str">
        <x:f>IF($A15="","",IF($AC15="BLOQUEADA",0,ROUND(($AA15*Scoring_Weights!$C$31+$AB15*Scoring_Weights!$C$32+$K15*Scoring_Weights!$C$33)*20,1)))</x:f>
      </x:c>
      <x:c r="AH15" s="38" t="str">
        <x:f>IF($A15="","",IF($AC15="BLOQUEADA",0,MIN(10,IF(OR($O15&gt;=4,$P15&gt;=4),2,0)+IF($Q15&gt;=4,2,0)+IF($R15&gt;=4,2,0)+IF($U15&gt;=4,2,0)+IF($T15&gt;=4,1,0)+IF($V15&gt;=4,1,0))))</x:f>
      </x:c>
      <x:c r="AI15" s="38" t="str">
        <x:f>IF($A15="","",IF($AC15="BLOQUEADA",0,ROUND((MAX(0,5-$K15)+MAX(0,5-$AA15)+IF($I15="Ambigua",2,0)+IF($J15="Posible",2,0))*2,1)))</x:f>
      </x:c>
      <x:c r="AJ15" s="38" t="str">
        <x:f>IF($A15="","",IF($AC15="BLOQUEADA",0,ROUND($AD15*Scoring_Weights!$C$2+$AE15*Scoring_Weights!$C$3+$AF15*Scoring_Weights!$C$4+$AG15*Scoring_Weights!$C$5+$AH15*Scoring_Weights!$C$6-$AI15*Scoring_Weights!$C$7,1)))</x:f>
      </x:c>
      <x:c r="AK15" s="36" t="str">
        <x:f>IF($AC15&lt;&gt;"ELEGIBLE","",COUNTIFS($AC$2:$AC$101,"ELEGIBLE",$AJ$2:$AJ$101,"&gt;"&amp;$AJ15)+COUNTIFS($AC$2:$AC15,"ELEGIBLE",$AJ$2:$AJ15,$AJ15))</x:f>
      </x:c>
      <x:c r="AL15" s="23" t="str">
        <x:f>IF($A15="","",IF($AC15="BLOQUEADA","No seleccionable",IF($AC15="REVISIÓN","Revisión previa",IF($AK15&lt;=8,"Primaria propuesta","Contexto / backlog"))))</x:f>
      </x:c>
      <x:c r="AM15" s="23" t="str">
        <x:f>IF($A15="","",IF(MAX($O15,$P15)&gt;=MAX($Q15,$R15,$T15,$U15,$W15),"Transformación/OLC",IF(MAX($Q15,$R15)&gt;=MAX($T15,$U15,$W15),"Handoff/Flujo",IF(MAX($T15,$U15,$V15,$W15)&gt;=3,"Capacidad/Compensación","Contexto/PM"))))</x:f>
      </x:c>
      <x:c r="AN15" s="23"/>
      <x:c r="AO15" s="23" t="str">
        <x:f>IF($A15="","",IF($AN15="Forzar primaria","Primaria forzada",IF($AN15="Excluir","Excluida",IF($AN15="Revisión","Revisión previa",$AL15))))</x:f>
      </x:c>
      <x:c r="AP15" s="23" t="str">
        <x:f>IF($A15="","",IF($AC15="BLOQUEADA","Gate duro",IF($AD15&gt;=MAX($AE15,$AF15,$AG15),"Potencial MMABP",IF($AE15&gt;=MAX($AD15,$AF15,$AG15),"Fricción/variedad",IF($AF15&gt;=MAX($AD15,$AE15,$AG15),"Cobertura","Evidencia/feasibilidad")))))</x:f>
      </x:c>
      <x:c r="AQ15" s="23" t="str">
        <x:f>IF($A15="","",IF(LEFT($AO15,8)="Primaria",IF($AE15&gt;=75,"40+20 probable",IF($AD15&gt;=75,"40 base + causales selectivas","40 base + probes mínimos")),"No abre Runtime profundo"))</x:f>
      </x:c>
      <x:c r="AR15" s="23" t="str">
        <x:f>IF($A15="","",IF($AC15="BLOQUEADA","Corregir WorkMap/B0 antes de selección",IF($AC15="REVISIÓN","Microconfirmación B0 o resolución semántica",IF($AO15="Contexto / backlog","Conservar como contexto total","Enviar a Runtime"))))</x:f>
      </x:c>
      <x:c r="AS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  <x:c r="AA16" s="36"/>
      <x:c r="AB16" s="36"/>
      <x:c r="AC16" s="23" t="str">
        <x:f>IF($A16="","",IF(OR($G16&lt;&gt;"Sí",$H16&lt;&gt;"Sí",$I16&lt;&gt;"Correcta",$J16="Sí",$K16&lt;2),"BLOQUEADA",IF(OR($J16="Posible",$K16&lt;3,$L16&lt;2),"REVISIÓN","ELEGIBLE")))</x:f>
      </x:c>
      <x:c r="AD16" s="38" t="str">
        <x:f>IF($A16="","",IF($AC16="BLOQUEADA",0,ROUND(($L16*Scoring_Weights!$C$9+$M16*Scoring_Weights!$C$10+$N16*Scoring_Weights!$C$11+$O16*Scoring_Weights!$C$12+$P16*Scoring_Weights!$C$13+$Q16*Scoring_Weights!$C$14+$R16*Scoring_Weights!$C$15+$X16*Scoring_Weights!$C$16+$AB16*Scoring_Weights!$C$17)*20,1)))</x:f>
      </x:c>
      <x:c r="AE16" s="38" t="str">
        <x:f>IF($A16="","",IF($AC16="BLOQUEADA",0,ROUND(($Q16*Scoring_Weights!$C$19+$R16*Scoring_Weights!$C$20+$S16*Scoring_Weights!$C$21+$T16*Scoring_Weights!$C$22+$U16*Scoring_Weights!$C$23+$V16*Scoring_Weights!$C$24+$W16*Scoring_Weights!$C$25)*20,1)))</x:f>
      </x:c>
      <x:c r="AF16" s="38" t="str">
        <x:f>IF($A16="","",IF($AC16="BLOQUEADA",0,ROUND(($Z16*Scoring_Weights!$C$27+$Y16*Scoring_Weights!$C$28+$X16*Scoring_Weights!$C$29)*20,1)))</x:f>
      </x:c>
      <x:c r="AG16" s="38" t="str">
        <x:f>IF($A16="","",IF($AC16="BLOQUEADA",0,ROUND(($AA16*Scoring_Weights!$C$31+$AB16*Scoring_Weights!$C$32+$K16*Scoring_Weights!$C$33)*20,1)))</x:f>
      </x:c>
      <x:c r="AH16" s="38" t="str">
        <x:f>IF($A16="","",IF($AC16="BLOQUEADA",0,MIN(10,IF(OR($O16&gt;=4,$P16&gt;=4),2,0)+IF($Q16&gt;=4,2,0)+IF($R16&gt;=4,2,0)+IF($U16&gt;=4,2,0)+IF($T16&gt;=4,1,0)+IF($V16&gt;=4,1,0))))</x:f>
      </x:c>
      <x:c r="AI16" s="38" t="str">
        <x:f>IF($A16="","",IF($AC16="BLOQUEADA",0,ROUND((MAX(0,5-$K16)+MAX(0,5-$AA16)+IF($I16="Ambigua",2,0)+IF($J16="Posible",2,0))*2,1)))</x:f>
      </x:c>
      <x:c r="AJ16" s="38" t="str">
        <x:f>IF($A16="","",IF($AC16="BLOQUEADA",0,ROUND($AD16*Scoring_Weights!$C$2+$AE16*Scoring_Weights!$C$3+$AF16*Scoring_Weights!$C$4+$AG16*Scoring_Weights!$C$5+$AH16*Scoring_Weights!$C$6-$AI16*Scoring_Weights!$C$7,1)))</x:f>
      </x:c>
      <x:c r="AK16" s="36" t="str">
        <x:f>IF($AC16&lt;&gt;"ELEGIBLE","",COUNTIFS($AC$2:$AC$101,"ELEGIBLE",$AJ$2:$AJ$101,"&gt;"&amp;$AJ16)+COUNTIFS($AC$2:$AC16,"ELEGIBLE",$AJ$2:$AJ16,$AJ16))</x:f>
      </x:c>
      <x:c r="AL16" s="23" t="str">
        <x:f>IF($A16="","",IF($AC16="BLOQUEADA","No seleccionable",IF($AC16="REVISIÓN","Revisión previa",IF($AK16&lt;=8,"Primaria propuesta","Contexto / backlog"))))</x:f>
      </x:c>
      <x:c r="AM16" s="23" t="str">
        <x:f>IF($A16="","",IF(MAX($O16,$P16)&gt;=MAX($Q16,$R16,$T16,$U16,$W16),"Transformación/OLC",IF(MAX($Q16,$R16)&gt;=MAX($T16,$U16,$W16),"Handoff/Flujo",IF(MAX($T16,$U16,$V16,$W16)&gt;=3,"Capacidad/Compensación","Contexto/PM"))))</x:f>
      </x:c>
      <x:c r="AN16" s="23"/>
      <x:c r="AO16" s="23" t="str">
        <x:f>IF($A16="","",IF($AN16="Forzar primaria","Primaria forzada",IF($AN16="Excluir","Excluida",IF($AN16="Revisión","Revisión previa",$AL16))))</x:f>
      </x:c>
      <x:c r="AP16" s="23" t="str">
        <x:f>IF($A16="","",IF($AC16="BLOQUEADA","Gate duro",IF($AD16&gt;=MAX($AE16,$AF16,$AG16),"Potencial MMABP",IF($AE16&gt;=MAX($AD16,$AF16,$AG16),"Fricción/variedad",IF($AF16&gt;=MAX($AD16,$AE16,$AG16),"Cobertura","Evidencia/feasibilidad")))))</x:f>
      </x:c>
      <x:c r="AQ16" s="23" t="str">
        <x:f>IF($A16="","",IF(LEFT($AO16,8)="Primaria",IF($AE16&gt;=75,"40+20 probable",IF($AD16&gt;=75,"40 base + causales selectivas","40 base + probes mínimos")),"No abre Runtime profundo"))</x:f>
      </x:c>
      <x:c r="AR16" s="23" t="str">
        <x:f>IF($A16="","",IF($AC16="BLOQUEADA","Corregir WorkMap/B0 antes de selección",IF($AC16="REVISIÓN","Microconfirmación B0 o resolución semántica",IF($AO16="Contexto / backlog","Conservar como contexto total","Enviar a Runtime"))))</x:f>
      </x:c>
      <x:c r="AS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  <x:c r="AA17" s="36"/>
      <x:c r="AB17" s="36"/>
      <x:c r="AC17" s="23" t="str">
        <x:f>IF($A17="","",IF(OR($G17&lt;&gt;"Sí",$H17&lt;&gt;"Sí",$I17&lt;&gt;"Correcta",$J17="Sí",$K17&lt;2),"BLOQUEADA",IF(OR($J17="Posible",$K17&lt;3,$L17&lt;2),"REVISIÓN","ELEGIBLE")))</x:f>
      </x:c>
      <x:c r="AD17" s="38" t="str">
        <x:f>IF($A17="","",IF($AC17="BLOQUEADA",0,ROUND(($L17*Scoring_Weights!$C$9+$M17*Scoring_Weights!$C$10+$N17*Scoring_Weights!$C$11+$O17*Scoring_Weights!$C$12+$P17*Scoring_Weights!$C$13+$Q17*Scoring_Weights!$C$14+$R17*Scoring_Weights!$C$15+$X17*Scoring_Weights!$C$16+$AB17*Scoring_Weights!$C$17)*20,1)))</x:f>
      </x:c>
      <x:c r="AE17" s="38" t="str">
        <x:f>IF($A17="","",IF($AC17="BLOQUEADA",0,ROUND(($Q17*Scoring_Weights!$C$19+$R17*Scoring_Weights!$C$20+$S17*Scoring_Weights!$C$21+$T17*Scoring_Weights!$C$22+$U17*Scoring_Weights!$C$23+$V17*Scoring_Weights!$C$24+$W17*Scoring_Weights!$C$25)*20,1)))</x:f>
      </x:c>
      <x:c r="AF17" s="38" t="str">
        <x:f>IF($A17="","",IF($AC17="BLOQUEADA",0,ROUND(($Z17*Scoring_Weights!$C$27+$Y17*Scoring_Weights!$C$28+$X17*Scoring_Weights!$C$29)*20,1)))</x:f>
      </x:c>
      <x:c r="AG17" s="38" t="str">
        <x:f>IF($A17="","",IF($AC17="BLOQUEADA",0,ROUND(($AA17*Scoring_Weights!$C$31+$AB17*Scoring_Weights!$C$32+$K17*Scoring_Weights!$C$33)*20,1)))</x:f>
      </x:c>
      <x:c r="AH17" s="38" t="str">
        <x:f>IF($A17="","",IF($AC17="BLOQUEADA",0,MIN(10,IF(OR($O17&gt;=4,$P17&gt;=4),2,0)+IF($Q17&gt;=4,2,0)+IF($R17&gt;=4,2,0)+IF($U17&gt;=4,2,0)+IF($T17&gt;=4,1,0)+IF($V17&gt;=4,1,0))))</x:f>
      </x:c>
      <x:c r="AI17" s="38" t="str">
        <x:f>IF($A17="","",IF($AC17="BLOQUEADA",0,ROUND((MAX(0,5-$K17)+MAX(0,5-$AA17)+IF($I17="Ambigua",2,0)+IF($J17="Posible",2,0))*2,1)))</x:f>
      </x:c>
      <x:c r="AJ17" s="38" t="str">
        <x:f>IF($A17="","",IF($AC17="BLOQUEADA",0,ROUND($AD17*Scoring_Weights!$C$2+$AE17*Scoring_Weights!$C$3+$AF17*Scoring_Weights!$C$4+$AG17*Scoring_Weights!$C$5+$AH17*Scoring_Weights!$C$6-$AI17*Scoring_Weights!$C$7,1)))</x:f>
      </x:c>
      <x:c r="AK17" s="36" t="str">
        <x:f>IF($AC17&lt;&gt;"ELEGIBLE","",COUNTIFS($AC$2:$AC$101,"ELEGIBLE",$AJ$2:$AJ$101,"&gt;"&amp;$AJ17)+COUNTIFS($AC$2:$AC17,"ELEGIBLE",$AJ$2:$AJ17,$AJ17))</x:f>
      </x:c>
      <x:c r="AL17" s="23" t="str">
        <x:f>IF($A17="","",IF($AC17="BLOQUEADA","No seleccionable",IF($AC17="REVISIÓN","Revisión previa",IF($AK17&lt;=8,"Primaria propuesta","Contexto / backlog"))))</x:f>
      </x:c>
      <x:c r="AM17" s="23" t="str">
        <x:f>IF($A17="","",IF(MAX($O17,$P17)&gt;=MAX($Q17,$R17,$T17,$U17,$W17),"Transformación/OLC",IF(MAX($Q17,$R17)&gt;=MAX($T17,$U17,$W17),"Handoff/Flujo",IF(MAX($T17,$U17,$V17,$W17)&gt;=3,"Capacidad/Compensación","Contexto/PM"))))</x:f>
      </x:c>
      <x:c r="AN17" s="23"/>
      <x:c r="AO17" s="23" t="str">
        <x:f>IF($A17="","",IF($AN17="Forzar primaria","Primaria forzada",IF($AN17="Excluir","Excluida",IF($AN17="Revisión","Revisión previa",$AL17))))</x:f>
      </x:c>
      <x:c r="AP17" s="23" t="str">
        <x:f>IF($A17="","",IF($AC17="BLOQUEADA","Gate duro",IF($AD17&gt;=MAX($AE17,$AF17,$AG17),"Potencial MMABP",IF($AE17&gt;=MAX($AD17,$AF17,$AG17),"Fricción/variedad",IF($AF17&gt;=MAX($AD17,$AE17,$AG17),"Cobertura","Evidencia/feasibilidad")))))</x:f>
      </x:c>
      <x:c r="AQ17" s="23" t="str">
        <x:f>IF($A17="","",IF(LEFT($AO17,8)="Primaria",IF($AE17&gt;=75,"40+20 probable",IF($AD17&gt;=75,"40 base + causales selectivas","40 base + probes mínimos")),"No abre Runtime profundo"))</x:f>
      </x:c>
      <x:c r="AR17" s="23" t="str">
        <x:f>IF($A17="","",IF($AC17="BLOQUEADA","Corregir WorkMap/B0 antes de selección",IF($AC17="REVISIÓN","Microconfirmación B0 o resolución semántica",IF($AO17="Contexto / backlog","Conservar como contexto total","Enviar a Runtime"))))</x:f>
      </x:c>
      <x:c r="AS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  <x:c r="AA18" s="36"/>
      <x:c r="AB18" s="36"/>
      <x:c r="AC18" s="23" t="str">
        <x:f>IF($A18="","",IF(OR($G18&lt;&gt;"Sí",$H18&lt;&gt;"Sí",$I18&lt;&gt;"Correcta",$J18="Sí",$K18&lt;2),"BLOQUEADA",IF(OR($J18="Posible",$K18&lt;3,$L18&lt;2),"REVISIÓN","ELEGIBLE")))</x:f>
      </x:c>
      <x:c r="AD18" s="38" t="str">
        <x:f>IF($A18="","",IF($AC18="BLOQUEADA",0,ROUND(($L18*Scoring_Weights!$C$9+$M18*Scoring_Weights!$C$10+$N18*Scoring_Weights!$C$11+$O18*Scoring_Weights!$C$12+$P18*Scoring_Weights!$C$13+$Q18*Scoring_Weights!$C$14+$R18*Scoring_Weights!$C$15+$X18*Scoring_Weights!$C$16+$AB18*Scoring_Weights!$C$17)*20,1)))</x:f>
      </x:c>
      <x:c r="AE18" s="38" t="str">
        <x:f>IF($A18="","",IF($AC18="BLOQUEADA",0,ROUND(($Q18*Scoring_Weights!$C$19+$R18*Scoring_Weights!$C$20+$S18*Scoring_Weights!$C$21+$T18*Scoring_Weights!$C$22+$U18*Scoring_Weights!$C$23+$V18*Scoring_Weights!$C$24+$W18*Scoring_Weights!$C$25)*20,1)))</x:f>
      </x:c>
      <x:c r="AF18" s="38" t="str">
        <x:f>IF($A18="","",IF($AC18="BLOQUEADA",0,ROUND(($Z18*Scoring_Weights!$C$27+$Y18*Scoring_Weights!$C$28+$X18*Scoring_Weights!$C$29)*20,1)))</x:f>
      </x:c>
      <x:c r="AG18" s="38" t="str">
        <x:f>IF($A18="","",IF($AC18="BLOQUEADA",0,ROUND(($AA18*Scoring_Weights!$C$31+$AB18*Scoring_Weights!$C$32+$K18*Scoring_Weights!$C$33)*20,1)))</x:f>
      </x:c>
      <x:c r="AH18" s="38" t="str">
        <x:f>IF($A18="","",IF($AC18="BLOQUEADA",0,MIN(10,IF(OR($O18&gt;=4,$P18&gt;=4),2,0)+IF($Q18&gt;=4,2,0)+IF($R18&gt;=4,2,0)+IF($U18&gt;=4,2,0)+IF($T18&gt;=4,1,0)+IF($V18&gt;=4,1,0))))</x:f>
      </x:c>
      <x:c r="AI18" s="38" t="str">
        <x:f>IF($A18="","",IF($AC18="BLOQUEADA",0,ROUND((MAX(0,5-$K18)+MAX(0,5-$AA18)+IF($I18="Ambigua",2,0)+IF($J18="Posible",2,0))*2,1)))</x:f>
      </x:c>
      <x:c r="AJ18" s="38" t="str">
        <x:f>IF($A18="","",IF($AC18="BLOQUEADA",0,ROUND($AD18*Scoring_Weights!$C$2+$AE18*Scoring_Weights!$C$3+$AF18*Scoring_Weights!$C$4+$AG18*Scoring_Weights!$C$5+$AH18*Scoring_Weights!$C$6-$AI18*Scoring_Weights!$C$7,1)))</x:f>
      </x:c>
      <x:c r="AK18" s="36" t="str">
        <x:f>IF($AC18&lt;&gt;"ELEGIBLE","",COUNTIFS($AC$2:$AC$101,"ELEGIBLE",$AJ$2:$AJ$101,"&gt;"&amp;$AJ18)+COUNTIFS($AC$2:$AC18,"ELEGIBLE",$AJ$2:$AJ18,$AJ18))</x:f>
      </x:c>
      <x:c r="AL18" s="23" t="str">
        <x:f>IF($A18="","",IF($AC18="BLOQUEADA","No seleccionable",IF($AC18="REVISIÓN","Revisión previa",IF($AK18&lt;=8,"Primaria propuesta","Contexto / backlog"))))</x:f>
      </x:c>
      <x:c r="AM18" s="23" t="str">
        <x:f>IF($A18="","",IF(MAX($O18,$P18)&gt;=MAX($Q18,$R18,$T18,$U18,$W18),"Transformación/OLC",IF(MAX($Q18,$R18)&gt;=MAX($T18,$U18,$W18),"Handoff/Flujo",IF(MAX($T18,$U18,$V18,$W18)&gt;=3,"Capacidad/Compensación","Contexto/PM"))))</x:f>
      </x:c>
      <x:c r="AN18" s="23"/>
      <x:c r="AO18" s="23" t="str">
        <x:f>IF($A18="","",IF($AN18="Forzar primaria","Primaria forzada",IF($AN18="Excluir","Excluida",IF($AN18="Revisión","Revisión previa",$AL18))))</x:f>
      </x:c>
      <x:c r="AP18" s="23" t="str">
        <x:f>IF($A18="","",IF($AC18="BLOQUEADA","Gate duro",IF($AD18&gt;=MAX($AE18,$AF18,$AG18),"Potencial MMABP",IF($AE18&gt;=MAX($AD18,$AF18,$AG18),"Fricción/variedad",IF($AF18&gt;=MAX($AD18,$AE18,$AG18),"Cobertura","Evidencia/feasibilidad")))))</x:f>
      </x:c>
      <x:c r="AQ18" s="23" t="str">
        <x:f>IF($A18="","",IF(LEFT($AO18,8)="Primaria",IF($AE18&gt;=75,"40+20 probable",IF($AD18&gt;=75,"40 base + causales selectivas","40 base + probes mínimos")),"No abre Runtime profundo"))</x:f>
      </x:c>
      <x:c r="AR18" s="23" t="str">
        <x:f>IF($A18="","",IF($AC18="BLOQUEADA","Corregir WorkMap/B0 antes de selección",IF($AC18="REVISIÓN","Microconfirmación B0 o resolución semántica",IF($AO18="Contexto / backlog","Conservar como contexto total","Enviar a Runtime"))))</x:f>
      </x:c>
      <x:c r="AS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23" t="str">
        <x:f>IF($A19="","",IF(OR($G19&lt;&gt;"Sí",$H19&lt;&gt;"Sí",$I19&lt;&gt;"Correcta",$J19="Sí",$K19&lt;2),"BLOQUEADA",IF(OR($J19="Posible",$K19&lt;3,$L19&lt;2),"REVISIÓN","ELEGIBLE")))</x:f>
      </x:c>
      <x:c r="AD19" s="38" t="str">
        <x:f>IF($A19="","",IF($AC19="BLOQUEADA",0,ROUND(($L19*Scoring_Weights!$C$9+$M19*Scoring_Weights!$C$10+$N19*Scoring_Weights!$C$11+$O19*Scoring_Weights!$C$12+$P19*Scoring_Weights!$C$13+$Q19*Scoring_Weights!$C$14+$R19*Scoring_Weights!$C$15+$X19*Scoring_Weights!$C$16+$AB19*Scoring_Weights!$C$17)*20,1)))</x:f>
      </x:c>
      <x:c r="AE19" s="38" t="str">
        <x:f>IF($A19="","",IF($AC19="BLOQUEADA",0,ROUND(($Q19*Scoring_Weights!$C$19+$R19*Scoring_Weights!$C$20+$S19*Scoring_Weights!$C$21+$T19*Scoring_Weights!$C$22+$U19*Scoring_Weights!$C$23+$V19*Scoring_Weights!$C$24+$W19*Scoring_Weights!$C$25)*20,1)))</x:f>
      </x:c>
      <x:c r="AF19" s="38" t="str">
        <x:f>IF($A19="","",IF($AC19="BLOQUEADA",0,ROUND(($Z19*Scoring_Weights!$C$27+$Y19*Scoring_Weights!$C$28+$X19*Scoring_Weights!$C$29)*20,1)))</x:f>
      </x:c>
      <x:c r="AG19" s="38" t="str">
        <x:f>IF($A19="","",IF($AC19="BLOQUEADA",0,ROUND(($AA19*Scoring_Weights!$C$31+$AB19*Scoring_Weights!$C$32+$K19*Scoring_Weights!$C$33)*20,1)))</x:f>
      </x:c>
      <x:c r="AH19" s="38" t="str">
        <x:f>IF($A19="","",IF($AC19="BLOQUEADA",0,MIN(10,IF(OR($O19&gt;=4,$P19&gt;=4),2,0)+IF($Q19&gt;=4,2,0)+IF($R19&gt;=4,2,0)+IF($U19&gt;=4,2,0)+IF($T19&gt;=4,1,0)+IF($V19&gt;=4,1,0))))</x:f>
      </x:c>
      <x:c r="AI19" s="38" t="str">
        <x:f>IF($A19="","",IF($AC19="BLOQUEADA",0,ROUND((MAX(0,5-$K19)+MAX(0,5-$AA19)+IF($I19="Ambigua",2,0)+IF($J19="Posible",2,0))*2,1)))</x:f>
      </x:c>
      <x:c r="AJ19" s="38" t="str">
        <x:f>IF($A19="","",IF($AC19="BLOQUEADA",0,ROUND($AD19*Scoring_Weights!$C$2+$AE19*Scoring_Weights!$C$3+$AF19*Scoring_Weights!$C$4+$AG19*Scoring_Weights!$C$5+$AH19*Scoring_Weights!$C$6-$AI19*Scoring_Weights!$C$7,1)))</x:f>
      </x:c>
      <x:c r="AK19" s="36" t="str">
        <x:f>IF($AC19&lt;&gt;"ELEGIBLE","",COUNTIFS($AC$2:$AC$101,"ELEGIBLE",$AJ$2:$AJ$101,"&gt;"&amp;$AJ19)+COUNTIFS($AC$2:$AC19,"ELEGIBLE",$AJ$2:$AJ19,$AJ19))</x:f>
      </x:c>
      <x:c r="AL19" s="23" t="str">
        <x:f>IF($A19="","",IF($AC19="BLOQUEADA","No seleccionable",IF($AC19="REVISIÓN","Revisión previa",IF($AK19&lt;=8,"Primaria propuesta","Contexto / backlog"))))</x:f>
      </x:c>
      <x:c r="AM19" s="23" t="str">
        <x:f>IF($A19="","",IF(MAX($O19,$P19)&gt;=MAX($Q19,$R19,$T19,$U19,$W19),"Transformación/OLC",IF(MAX($Q19,$R19)&gt;=MAX($T19,$U19,$W19),"Handoff/Flujo",IF(MAX($T19,$U19,$V19,$W19)&gt;=3,"Capacidad/Compensación","Contexto/PM"))))</x:f>
      </x:c>
      <x:c r="AN19" s="23"/>
      <x:c r="AO19" s="23" t="str">
        <x:f>IF($A19="","",IF($AN19="Forzar primaria","Primaria forzada",IF($AN19="Excluir","Excluida",IF($AN19="Revisión","Revisión previa",$AL19))))</x:f>
      </x:c>
      <x:c r="AP19" s="23" t="str">
        <x:f>IF($A19="","",IF($AC19="BLOQUEADA","Gate duro",IF($AD19&gt;=MAX($AE19,$AF19,$AG19),"Potencial MMABP",IF($AE19&gt;=MAX($AD19,$AF19,$AG19),"Fricción/variedad",IF($AF19&gt;=MAX($AD19,$AE19,$AG19),"Cobertura","Evidencia/feasibilidad")))))</x:f>
      </x:c>
      <x:c r="AQ19" s="23" t="str">
        <x:f>IF($A19="","",IF(LEFT($AO19,8)="Primaria",IF($AE19&gt;=75,"40+20 probable",IF($AD19&gt;=75,"40 base + causales selectivas","40 base + probes mínimos")),"No abre Runtime profundo"))</x:f>
      </x:c>
      <x:c r="AR19" s="23" t="str">
        <x:f>IF($A19="","",IF($AC19="BLOQUEADA","Corregir WorkMap/B0 antes de selección",IF($AC19="REVISIÓN","Microconfirmación B0 o resolución semántica",IF($AO19="Contexto / backlog","Conservar como contexto total","Enviar a Runtime"))))</x:f>
      </x:c>
      <x:c r="AS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  <x:c r="AA20" s="36"/>
      <x:c r="AB20" s="36"/>
      <x:c r="AC20" s="23" t="str">
        <x:f>IF($A20="","",IF(OR($G20&lt;&gt;"Sí",$H20&lt;&gt;"Sí",$I20&lt;&gt;"Correcta",$J20="Sí",$K20&lt;2),"BLOQUEADA",IF(OR($J20="Posible",$K20&lt;3,$L20&lt;2),"REVISIÓN","ELEGIBLE")))</x:f>
      </x:c>
      <x:c r="AD20" s="38" t="str">
        <x:f>IF($A20="","",IF($AC20="BLOQUEADA",0,ROUND(($L20*Scoring_Weights!$C$9+$M20*Scoring_Weights!$C$10+$N20*Scoring_Weights!$C$11+$O20*Scoring_Weights!$C$12+$P20*Scoring_Weights!$C$13+$Q20*Scoring_Weights!$C$14+$R20*Scoring_Weights!$C$15+$X20*Scoring_Weights!$C$16+$AB20*Scoring_Weights!$C$17)*20,1)))</x:f>
      </x:c>
      <x:c r="AE20" s="38" t="str">
        <x:f>IF($A20="","",IF($AC20="BLOQUEADA",0,ROUND(($Q20*Scoring_Weights!$C$19+$R20*Scoring_Weights!$C$20+$S20*Scoring_Weights!$C$21+$T20*Scoring_Weights!$C$22+$U20*Scoring_Weights!$C$23+$V20*Scoring_Weights!$C$24+$W20*Scoring_Weights!$C$25)*20,1)))</x:f>
      </x:c>
      <x:c r="AF20" s="38" t="str">
        <x:f>IF($A20="","",IF($AC20="BLOQUEADA",0,ROUND(($Z20*Scoring_Weights!$C$27+$Y20*Scoring_Weights!$C$28+$X20*Scoring_Weights!$C$29)*20,1)))</x:f>
      </x:c>
      <x:c r="AG20" s="38" t="str">
        <x:f>IF($A20="","",IF($AC20="BLOQUEADA",0,ROUND(($AA20*Scoring_Weights!$C$31+$AB20*Scoring_Weights!$C$32+$K20*Scoring_Weights!$C$33)*20,1)))</x:f>
      </x:c>
      <x:c r="AH20" s="38" t="str">
        <x:f>IF($A20="","",IF($AC20="BLOQUEADA",0,MIN(10,IF(OR($O20&gt;=4,$P20&gt;=4),2,0)+IF($Q20&gt;=4,2,0)+IF($R20&gt;=4,2,0)+IF($U20&gt;=4,2,0)+IF($T20&gt;=4,1,0)+IF($V20&gt;=4,1,0))))</x:f>
      </x:c>
      <x:c r="AI20" s="38" t="str">
        <x:f>IF($A20="","",IF($AC20="BLOQUEADA",0,ROUND((MAX(0,5-$K20)+MAX(0,5-$AA20)+IF($I20="Ambigua",2,0)+IF($J20="Posible",2,0))*2,1)))</x:f>
      </x:c>
      <x:c r="AJ20" s="38" t="str">
        <x:f>IF($A20="","",IF($AC20="BLOQUEADA",0,ROUND($AD20*Scoring_Weights!$C$2+$AE20*Scoring_Weights!$C$3+$AF20*Scoring_Weights!$C$4+$AG20*Scoring_Weights!$C$5+$AH20*Scoring_Weights!$C$6-$AI20*Scoring_Weights!$C$7,1)))</x:f>
      </x:c>
      <x:c r="AK20" s="36" t="str">
        <x:f>IF($AC20&lt;&gt;"ELEGIBLE","",COUNTIFS($AC$2:$AC$101,"ELEGIBLE",$AJ$2:$AJ$101,"&gt;"&amp;$AJ20)+COUNTIFS($AC$2:$AC20,"ELEGIBLE",$AJ$2:$AJ20,$AJ20))</x:f>
      </x:c>
      <x:c r="AL20" s="23" t="str">
        <x:f>IF($A20="","",IF($AC20="BLOQUEADA","No seleccionable",IF($AC20="REVISIÓN","Revisión previa",IF($AK20&lt;=8,"Primaria propuesta","Contexto / backlog"))))</x:f>
      </x:c>
      <x:c r="AM20" s="23" t="str">
        <x:f>IF($A20="","",IF(MAX($O20,$P20)&gt;=MAX($Q20,$R20,$T20,$U20,$W20),"Transformación/OLC",IF(MAX($Q20,$R20)&gt;=MAX($T20,$U20,$W20),"Handoff/Flujo",IF(MAX($T20,$U20,$V20,$W20)&gt;=3,"Capacidad/Compensación","Contexto/PM"))))</x:f>
      </x:c>
      <x:c r="AN20" s="23"/>
      <x:c r="AO20" s="23" t="str">
        <x:f>IF($A20="","",IF($AN20="Forzar primaria","Primaria forzada",IF($AN20="Excluir","Excluida",IF($AN20="Revisión","Revisión previa",$AL20))))</x:f>
      </x:c>
      <x:c r="AP20" s="23" t="str">
        <x:f>IF($A20="","",IF($AC20="BLOQUEADA","Gate duro",IF($AD20&gt;=MAX($AE20,$AF20,$AG20),"Potencial MMABP",IF($AE20&gt;=MAX($AD20,$AF20,$AG20),"Fricción/variedad",IF($AF20&gt;=MAX($AD20,$AE20,$AG20),"Cobertura","Evidencia/feasibilidad")))))</x:f>
      </x:c>
      <x:c r="AQ20" s="23" t="str">
        <x:f>IF($A20="","",IF(LEFT($AO20,8)="Primaria",IF($AE20&gt;=75,"40+20 probable",IF($AD20&gt;=75,"40 base + causales selectivas","40 base + probes mínimos")),"No abre Runtime profundo"))</x:f>
      </x:c>
      <x:c r="AR20" s="23" t="str">
        <x:f>IF($A20="","",IF($AC20="BLOQUEADA","Corregir WorkMap/B0 antes de selección",IF($AC20="REVISIÓN","Microconfirmación B0 o resolución semántica",IF($AO20="Contexto / backlog","Conservar como contexto total","Enviar a Runtime"))))</x:f>
      </x:c>
      <x:c r="AS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  <x:c r="AA21" s="36"/>
      <x:c r="AB21" s="36"/>
      <x:c r="AC21" s="23" t="str">
        <x:f>IF($A21="","",IF(OR($G21&lt;&gt;"Sí",$H21&lt;&gt;"Sí",$I21&lt;&gt;"Correcta",$J21="Sí",$K21&lt;2),"BLOQUEADA",IF(OR($J21="Posible",$K21&lt;3,$L21&lt;2),"REVISIÓN","ELEGIBLE")))</x:f>
      </x:c>
      <x:c r="AD21" s="38" t="str">
        <x:f>IF($A21="","",IF($AC21="BLOQUEADA",0,ROUND(($L21*Scoring_Weights!$C$9+$M21*Scoring_Weights!$C$10+$N21*Scoring_Weights!$C$11+$O21*Scoring_Weights!$C$12+$P21*Scoring_Weights!$C$13+$Q21*Scoring_Weights!$C$14+$R21*Scoring_Weights!$C$15+$X21*Scoring_Weights!$C$16+$AB21*Scoring_Weights!$C$17)*20,1)))</x:f>
      </x:c>
      <x:c r="AE21" s="38" t="str">
        <x:f>IF($A21="","",IF($AC21="BLOQUEADA",0,ROUND(($Q21*Scoring_Weights!$C$19+$R21*Scoring_Weights!$C$20+$S21*Scoring_Weights!$C$21+$T21*Scoring_Weights!$C$22+$U21*Scoring_Weights!$C$23+$V21*Scoring_Weights!$C$24+$W21*Scoring_Weights!$C$25)*20,1)))</x:f>
      </x:c>
      <x:c r="AF21" s="38" t="str">
        <x:f>IF($A21="","",IF($AC21="BLOQUEADA",0,ROUND(($Z21*Scoring_Weights!$C$27+$Y21*Scoring_Weights!$C$28+$X21*Scoring_Weights!$C$29)*20,1)))</x:f>
      </x:c>
      <x:c r="AG21" s="38" t="str">
        <x:f>IF($A21="","",IF($AC21="BLOQUEADA",0,ROUND(($AA21*Scoring_Weights!$C$31+$AB21*Scoring_Weights!$C$32+$K21*Scoring_Weights!$C$33)*20,1)))</x:f>
      </x:c>
      <x:c r="AH21" s="38" t="str">
        <x:f>IF($A21="","",IF($AC21="BLOQUEADA",0,MIN(10,IF(OR($O21&gt;=4,$P21&gt;=4),2,0)+IF($Q21&gt;=4,2,0)+IF($R21&gt;=4,2,0)+IF($U21&gt;=4,2,0)+IF($T21&gt;=4,1,0)+IF($V21&gt;=4,1,0))))</x:f>
      </x:c>
      <x:c r="AI21" s="38" t="str">
        <x:f>IF($A21="","",IF($AC21="BLOQUEADA",0,ROUND((MAX(0,5-$K21)+MAX(0,5-$AA21)+IF($I21="Ambigua",2,0)+IF($J21="Posible",2,0))*2,1)))</x:f>
      </x:c>
      <x:c r="AJ21" s="38" t="str">
        <x:f>IF($A21="","",IF($AC21="BLOQUEADA",0,ROUND($AD21*Scoring_Weights!$C$2+$AE21*Scoring_Weights!$C$3+$AF21*Scoring_Weights!$C$4+$AG21*Scoring_Weights!$C$5+$AH21*Scoring_Weights!$C$6-$AI21*Scoring_Weights!$C$7,1)))</x:f>
      </x:c>
      <x:c r="AK21" s="36" t="str">
        <x:f>IF($AC21&lt;&gt;"ELEGIBLE","",COUNTIFS($AC$2:$AC$101,"ELEGIBLE",$AJ$2:$AJ$101,"&gt;"&amp;$AJ21)+COUNTIFS($AC$2:$AC21,"ELEGIBLE",$AJ$2:$AJ21,$AJ21))</x:f>
      </x:c>
      <x:c r="AL21" s="23" t="str">
        <x:f>IF($A21="","",IF($AC21="BLOQUEADA","No seleccionable",IF($AC21="REVISIÓN","Revisión previa",IF($AK21&lt;=8,"Primaria propuesta","Contexto / backlog"))))</x:f>
      </x:c>
      <x:c r="AM21" s="23" t="str">
        <x:f>IF($A21="","",IF(MAX($O21,$P21)&gt;=MAX($Q21,$R21,$T21,$U21,$W21),"Transformación/OLC",IF(MAX($Q21,$R21)&gt;=MAX($T21,$U21,$W21),"Handoff/Flujo",IF(MAX($T21,$U21,$V21,$W21)&gt;=3,"Capacidad/Compensación","Contexto/PM"))))</x:f>
      </x:c>
      <x:c r="AN21" s="23"/>
      <x:c r="AO21" s="23" t="str">
        <x:f>IF($A21="","",IF($AN21="Forzar primaria","Primaria forzada",IF($AN21="Excluir","Excluida",IF($AN21="Revisión","Revisión previa",$AL21))))</x:f>
      </x:c>
      <x:c r="AP21" s="23" t="str">
        <x:f>IF($A21="","",IF($AC21="BLOQUEADA","Gate duro",IF($AD21&gt;=MAX($AE21,$AF21,$AG21),"Potencial MMABP",IF($AE21&gt;=MAX($AD21,$AF21,$AG21),"Fricción/variedad",IF($AF21&gt;=MAX($AD21,$AE21,$AG21),"Cobertura","Evidencia/feasibilidad")))))</x:f>
      </x:c>
      <x:c r="AQ21" s="23" t="str">
        <x:f>IF($A21="","",IF(LEFT($AO21,8)="Primaria",IF($AE21&gt;=75,"40+20 probable",IF($AD21&gt;=75,"40 base + causales selectivas","40 base + probes mínimos")),"No abre Runtime profundo"))</x:f>
      </x:c>
      <x:c r="AR21" s="23" t="str">
        <x:f>IF($A21="","",IF($AC21="BLOQUEADA","Corregir WorkMap/B0 antes de selección",IF($AC21="REVISIÓN","Microconfirmación B0 o resolución semántica",IF($AO21="Contexto / backlog","Conservar como contexto total","Enviar a Runtime"))))</x:f>
      </x:c>
      <x:c r="AS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  <x:c r="AA22" s="36"/>
      <x:c r="AB22" s="36"/>
      <x:c r="AC22" s="23" t="str">
        <x:f>IF($A22="","",IF(OR($G22&lt;&gt;"Sí",$H22&lt;&gt;"Sí",$I22&lt;&gt;"Correcta",$J22="Sí",$K22&lt;2),"BLOQUEADA",IF(OR($J22="Posible",$K22&lt;3,$L22&lt;2),"REVISIÓN","ELEGIBLE")))</x:f>
      </x:c>
      <x:c r="AD22" s="38" t="str">
        <x:f>IF($A22="","",IF($AC22="BLOQUEADA",0,ROUND(($L22*Scoring_Weights!$C$9+$M22*Scoring_Weights!$C$10+$N22*Scoring_Weights!$C$11+$O22*Scoring_Weights!$C$12+$P22*Scoring_Weights!$C$13+$Q22*Scoring_Weights!$C$14+$R22*Scoring_Weights!$C$15+$X22*Scoring_Weights!$C$16+$AB22*Scoring_Weights!$C$17)*20,1)))</x:f>
      </x:c>
      <x:c r="AE22" s="38" t="str">
        <x:f>IF($A22="","",IF($AC22="BLOQUEADA",0,ROUND(($Q22*Scoring_Weights!$C$19+$R22*Scoring_Weights!$C$20+$S22*Scoring_Weights!$C$21+$T22*Scoring_Weights!$C$22+$U22*Scoring_Weights!$C$23+$V22*Scoring_Weights!$C$24+$W22*Scoring_Weights!$C$25)*20,1)))</x:f>
      </x:c>
      <x:c r="AF22" s="38" t="str">
        <x:f>IF($A22="","",IF($AC22="BLOQUEADA",0,ROUND(($Z22*Scoring_Weights!$C$27+$Y22*Scoring_Weights!$C$28+$X22*Scoring_Weights!$C$29)*20,1)))</x:f>
      </x:c>
      <x:c r="AG22" s="38" t="str">
        <x:f>IF($A22="","",IF($AC22="BLOQUEADA",0,ROUND(($AA22*Scoring_Weights!$C$31+$AB22*Scoring_Weights!$C$32+$K22*Scoring_Weights!$C$33)*20,1)))</x:f>
      </x:c>
      <x:c r="AH22" s="38" t="str">
        <x:f>IF($A22="","",IF($AC22="BLOQUEADA",0,MIN(10,IF(OR($O22&gt;=4,$P22&gt;=4),2,0)+IF($Q22&gt;=4,2,0)+IF($R22&gt;=4,2,0)+IF($U22&gt;=4,2,0)+IF($T22&gt;=4,1,0)+IF($V22&gt;=4,1,0))))</x:f>
      </x:c>
      <x:c r="AI22" s="38" t="str">
        <x:f>IF($A22="","",IF($AC22="BLOQUEADA",0,ROUND((MAX(0,5-$K22)+MAX(0,5-$AA22)+IF($I22="Ambigua",2,0)+IF($J22="Posible",2,0))*2,1)))</x:f>
      </x:c>
      <x:c r="AJ22" s="38" t="str">
        <x:f>IF($A22="","",IF($AC22="BLOQUEADA",0,ROUND($AD22*Scoring_Weights!$C$2+$AE22*Scoring_Weights!$C$3+$AF22*Scoring_Weights!$C$4+$AG22*Scoring_Weights!$C$5+$AH22*Scoring_Weights!$C$6-$AI22*Scoring_Weights!$C$7,1)))</x:f>
      </x:c>
      <x:c r="AK22" s="36" t="str">
        <x:f>IF($AC22&lt;&gt;"ELEGIBLE","",COUNTIFS($AC$2:$AC$101,"ELEGIBLE",$AJ$2:$AJ$101,"&gt;"&amp;$AJ22)+COUNTIFS($AC$2:$AC22,"ELEGIBLE",$AJ$2:$AJ22,$AJ22))</x:f>
      </x:c>
      <x:c r="AL22" s="23" t="str">
        <x:f>IF($A22="","",IF($AC22="BLOQUEADA","No seleccionable",IF($AC22="REVISIÓN","Revisión previa",IF($AK22&lt;=8,"Primaria propuesta","Contexto / backlog"))))</x:f>
      </x:c>
      <x:c r="AM22" s="23" t="str">
        <x:f>IF($A22="","",IF(MAX($O22,$P22)&gt;=MAX($Q22,$R22,$T22,$U22,$W22),"Transformación/OLC",IF(MAX($Q22,$R22)&gt;=MAX($T22,$U22,$W22),"Handoff/Flujo",IF(MAX($T22,$U22,$V22,$W22)&gt;=3,"Capacidad/Compensación","Contexto/PM"))))</x:f>
      </x:c>
      <x:c r="AN22" s="23"/>
      <x:c r="AO22" s="23" t="str">
        <x:f>IF($A22="","",IF($AN22="Forzar primaria","Primaria forzada",IF($AN22="Excluir","Excluida",IF($AN22="Revisión","Revisión previa",$AL22))))</x:f>
      </x:c>
      <x:c r="AP22" s="23" t="str">
        <x:f>IF($A22="","",IF($AC22="BLOQUEADA","Gate duro",IF($AD22&gt;=MAX($AE22,$AF22,$AG22),"Potencial MMABP",IF($AE22&gt;=MAX($AD22,$AF22,$AG22),"Fricción/variedad",IF($AF22&gt;=MAX($AD22,$AE22,$AG22),"Cobertura","Evidencia/feasibilidad")))))</x:f>
      </x:c>
      <x:c r="AQ22" s="23" t="str">
        <x:f>IF($A22="","",IF(LEFT($AO22,8)="Primaria",IF($AE22&gt;=75,"40+20 probable",IF($AD22&gt;=75,"40 base + causales selectivas","40 base + probes mínimos")),"No abre Runtime profundo"))</x:f>
      </x:c>
      <x:c r="AR22" s="23" t="str">
        <x:f>IF($A22="","",IF($AC22="BLOQUEADA","Corregir WorkMap/B0 antes de selección",IF($AC22="REVISIÓN","Microconfirmación B0 o resolución semántica",IF($AO22="Contexto / backlog","Conservar como contexto total","Enviar a Runtime"))))</x:f>
      </x:c>
      <x:c r="AS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  <x:c r="AA23" s="36"/>
      <x:c r="AB23" s="36"/>
      <x:c r="AC23" s="23" t="str">
        <x:f>IF($A23="","",IF(OR($G23&lt;&gt;"Sí",$H23&lt;&gt;"Sí",$I23&lt;&gt;"Correcta",$J23="Sí",$K23&lt;2),"BLOQUEADA",IF(OR($J23="Posible",$K23&lt;3,$L23&lt;2),"REVISIÓN","ELEGIBLE")))</x:f>
      </x:c>
      <x:c r="AD23" s="38" t="str">
        <x:f>IF($A23="","",IF($AC23="BLOQUEADA",0,ROUND(($L23*Scoring_Weights!$C$9+$M23*Scoring_Weights!$C$10+$N23*Scoring_Weights!$C$11+$O23*Scoring_Weights!$C$12+$P23*Scoring_Weights!$C$13+$Q23*Scoring_Weights!$C$14+$R23*Scoring_Weights!$C$15+$X23*Scoring_Weights!$C$16+$AB23*Scoring_Weights!$C$17)*20,1)))</x:f>
      </x:c>
      <x:c r="AE23" s="38" t="str">
        <x:f>IF($A23="","",IF($AC23="BLOQUEADA",0,ROUND(($Q23*Scoring_Weights!$C$19+$R23*Scoring_Weights!$C$20+$S23*Scoring_Weights!$C$21+$T23*Scoring_Weights!$C$22+$U23*Scoring_Weights!$C$23+$V23*Scoring_Weights!$C$24+$W23*Scoring_Weights!$C$25)*20,1)))</x:f>
      </x:c>
      <x:c r="AF23" s="38" t="str">
        <x:f>IF($A23="","",IF($AC23="BLOQUEADA",0,ROUND(($Z23*Scoring_Weights!$C$27+$Y23*Scoring_Weights!$C$28+$X23*Scoring_Weights!$C$29)*20,1)))</x:f>
      </x:c>
      <x:c r="AG23" s="38" t="str">
        <x:f>IF($A23="","",IF($AC23="BLOQUEADA",0,ROUND(($AA23*Scoring_Weights!$C$31+$AB23*Scoring_Weights!$C$32+$K23*Scoring_Weights!$C$33)*20,1)))</x:f>
      </x:c>
      <x:c r="AH23" s="38" t="str">
        <x:f>IF($A23="","",IF($AC23="BLOQUEADA",0,MIN(10,IF(OR($O23&gt;=4,$P23&gt;=4),2,0)+IF($Q23&gt;=4,2,0)+IF($R23&gt;=4,2,0)+IF($U23&gt;=4,2,0)+IF($T23&gt;=4,1,0)+IF($V23&gt;=4,1,0))))</x:f>
      </x:c>
      <x:c r="AI23" s="38" t="str">
        <x:f>IF($A23="","",IF($AC23="BLOQUEADA",0,ROUND((MAX(0,5-$K23)+MAX(0,5-$AA23)+IF($I23="Ambigua",2,0)+IF($J23="Posible",2,0))*2,1)))</x:f>
      </x:c>
      <x:c r="AJ23" s="38" t="str">
        <x:f>IF($A23="","",IF($AC23="BLOQUEADA",0,ROUND($AD23*Scoring_Weights!$C$2+$AE23*Scoring_Weights!$C$3+$AF23*Scoring_Weights!$C$4+$AG23*Scoring_Weights!$C$5+$AH23*Scoring_Weights!$C$6-$AI23*Scoring_Weights!$C$7,1)))</x:f>
      </x:c>
      <x:c r="AK23" s="36" t="str">
        <x:f>IF($AC23&lt;&gt;"ELEGIBLE","",COUNTIFS($AC$2:$AC$101,"ELEGIBLE",$AJ$2:$AJ$101,"&gt;"&amp;$AJ23)+COUNTIFS($AC$2:$AC23,"ELEGIBLE",$AJ$2:$AJ23,$AJ23))</x:f>
      </x:c>
      <x:c r="AL23" s="23" t="str">
        <x:f>IF($A23="","",IF($AC23="BLOQUEADA","No seleccionable",IF($AC23="REVISIÓN","Revisión previa",IF($AK23&lt;=8,"Primaria propuesta","Contexto / backlog"))))</x:f>
      </x:c>
      <x:c r="AM23" s="23" t="str">
        <x:f>IF($A23="","",IF(MAX($O23,$P23)&gt;=MAX($Q23,$R23,$T23,$U23,$W23),"Transformación/OLC",IF(MAX($Q23,$R23)&gt;=MAX($T23,$U23,$W23),"Handoff/Flujo",IF(MAX($T23,$U23,$V23,$W23)&gt;=3,"Capacidad/Compensación","Contexto/PM"))))</x:f>
      </x:c>
      <x:c r="AN23" s="23"/>
      <x:c r="AO23" s="23" t="str">
        <x:f>IF($A23="","",IF($AN23="Forzar primaria","Primaria forzada",IF($AN23="Excluir","Excluida",IF($AN23="Revisión","Revisión previa",$AL23))))</x:f>
      </x:c>
      <x:c r="AP23" s="23" t="str">
        <x:f>IF($A23="","",IF($AC23="BLOQUEADA","Gate duro",IF($AD23&gt;=MAX($AE23,$AF23,$AG23),"Potencial MMABP",IF($AE23&gt;=MAX($AD23,$AF23,$AG23),"Fricción/variedad",IF($AF23&gt;=MAX($AD23,$AE23,$AG23),"Cobertura","Evidencia/feasibilidad")))))</x:f>
      </x:c>
      <x:c r="AQ23" s="23" t="str">
        <x:f>IF($A23="","",IF(LEFT($AO23,8)="Primaria",IF($AE23&gt;=75,"40+20 probable",IF($AD23&gt;=75,"40 base + causales selectivas","40 base + probes mínimos")),"No abre Runtime profundo"))</x:f>
      </x:c>
      <x:c r="AR23" s="23" t="str">
        <x:f>IF($A23="","",IF($AC23="BLOQUEADA","Corregir WorkMap/B0 antes de selección",IF($AC23="REVISIÓN","Microconfirmación B0 o resolución semántica",IF($AO23="Contexto / backlog","Conservar como contexto total","Enviar a Runtime"))))</x:f>
      </x:c>
      <x:c r="AS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  <x:c r="AA24" s="36"/>
      <x:c r="AB24" s="36"/>
      <x:c r="AC24" s="23" t="str">
        <x:f>IF($A24="","",IF(OR($G24&lt;&gt;"Sí",$H24&lt;&gt;"Sí",$I24&lt;&gt;"Correcta",$J24="Sí",$K24&lt;2),"BLOQUEADA",IF(OR($J24="Posible",$K24&lt;3,$L24&lt;2),"REVISIÓN","ELEGIBLE")))</x:f>
      </x:c>
      <x:c r="AD24" s="38" t="str">
        <x:f>IF($A24="","",IF($AC24="BLOQUEADA",0,ROUND(($L24*Scoring_Weights!$C$9+$M24*Scoring_Weights!$C$10+$N24*Scoring_Weights!$C$11+$O24*Scoring_Weights!$C$12+$P24*Scoring_Weights!$C$13+$Q24*Scoring_Weights!$C$14+$R24*Scoring_Weights!$C$15+$X24*Scoring_Weights!$C$16+$AB24*Scoring_Weights!$C$17)*20,1)))</x:f>
      </x:c>
      <x:c r="AE24" s="38" t="str">
        <x:f>IF($A24="","",IF($AC24="BLOQUEADA",0,ROUND(($Q24*Scoring_Weights!$C$19+$R24*Scoring_Weights!$C$20+$S24*Scoring_Weights!$C$21+$T24*Scoring_Weights!$C$22+$U24*Scoring_Weights!$C$23+$V24*Scoring_Weights!$C$24+$W24*Scoring_Weights!$C$25)*20,1)))</x:f>
      </x:c>
      <x:c r="AF24" s="38" t="str">
        <x:f>IF($A24="","",IF($AC24="BLOQUEADA",0,ROUND(($Z24*Scoring_Weights!$C$27+$Y24*Scoring_Weights!$C$28+$X24*Scoring_Weights!$C$29)*20,1)))</x:f>
      </x:c>
      <x:c r="AG24" s="38" t="str">
        <x:f>IF($A24="","",IF($AC24="BLOQUEADA",0,ROUND(($AA24*Scoring_Weights!$C$31+$AB24*Scoring_Weights!$C$32+$K24*Scoring_Weights!$C$33)*20,1)))</x:f>
      </x:c>
      <x:c r="AH24" s="38" t="str">
        <x:f>IF($A24="","",IF($AC24="BLOQUEADA",0,MIN(10,IF(OR($O24&gt;=4,$P24&gt;=4),2,0)+IF($Q24&gt;=4,2,0)+IF($R24&gt;=4,2,0)+IF($U24&gt;=4,2,0)+IF($T24&gt;=4,1,0)+IF($V24&gt;=4,1,0))))</x:f>
      </x:c>
      <x:c r="AI24" s="38" t="str">
        <x:f>IF($A24="","",IF($AC24="BLOQUEADA",0,ROUND((MAX(0,5-$K24)+MAX(0,5-$AA24)+IF($I24="Ambigua",2,0)+IF($J24="Posible",2,0))*2,1)))</x:f>
      </x:c>
      <x:c r="AJ24" s="38" t="str">
        <x:f>IF($A24="","",IF($AC24="BLOQUEADA",0,ROUND($AD24*Scoring_Weights!$C$2+$AE24*Scoring_Weights!$C$3+$AF24*Scoring_Weights!$C$4+$AG24*Scoring_Weights!$C$5+$AH24*Scoring_Weights!$C$6-$AI24*Scoring_Weights!$C$7,1)))</x:f>
      </x:c>
      <x:c r="AK24" s="36" t="str">
        <x:f>IF($AC24&lt;&gt;"ELEGIBLE","",COUNTIFS($AC$2:$AC$101,"ELEGIBLE",$AJ$2:$AJ$101,"&gt;"&amp;$AJ24)+COUNTIFS($AC$2:$AC24,"ELEGIBLE",$AJ$2:$AJ24,$AJ24))</x:f>
      </x:c>
      <x:c r="AL24" s="23" t="str">
        <x:f>IF($A24="","",IF($AC24="BLOQUEADA","No seleccionable",IF($AC24="REVISIÓN","Revisión previa",IF($AK24&lt;=8,"Primaria propuesta","Contexto / backlog"))))</x:f>
      </x:c>
      <x:c r="AM24" s="23" t="str">
        <x:f>IF($A24="","",IF(MAX($O24,$P24)&gt;=MAX($Q24,$R24,$T24,$U24,$W24),"Transformación/OLC",IF(MAX($Q24,$R24)&gt;=MAX($T24,$U24,$W24),"Handoff/Flujo",IF(MAX($T24,$U24,$V24,$W24)&gt;=3,"Capacidad/Compensación","Contexto/PM"))))</x:f>
      </x:c>
      <x:c r="AN24" s="23"/>
      <x:c r="AO24" s="23" t="str">
        <x:f>IF($A24="","",IF($AN24="Forzar primaria","Primaria forzada",IF($AN24="Excluir","Excluida",IF($AN24="Revisión","Revisión previa",$AL24))))</x:f>
      </x:c>
      <x:c r="AP24" s="23" t="str">
        <x:f>IF($A24="","",IF($AC24="BLOQUEADA","Gate duro",IF($AD24&gt;=MAX($AE24,$AF24,$AG24),"Potencial MMABP",IF($AE24&gt;=MAX($AD24,$AF24,$AG24),"Fricción/variedad",IF($AF24&gt;=MAX($AD24,$AE24,$AG24),"Cobertura","Evidencia/feasibilidad")))))</x:f>
      </x:c>
      <x:c r="AQ24" s="23" t="str">
        <x:f>IF($A24="","",IF(LEFT($AO24,8)="Primaria",IF($AE24&gt;=75,"40+20 probable",IF($AD24&gt;=75,"40 base + causales selectivas","40 base + probes mínimos")),"No abre Runtime profundo"))</x:f>
      </x:c>
      <x:c r="AR24" s="23" t="str">
        <x:f>IF($A24="","",IF($AC24="BLOQUEADA","Corregir WorkMap/B0 antes de selección",IF($AC24="REVISIÓN","Microconfirmación B0 o resolución semántica",IF($AO24="Contexto / backlog","Conservar como contexto total","Enviar a Runtime"))))</x:f>
      </x:c>
      <x:c r="AS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  <x:c r="AA25" s="36"/>
      <x:c r="AB25" s="36"/>
      <x:c r="AC25" s="23" t="str">
        <x:f>IF($A25="","",IF(OR($G25&lt;&gt;"Sí",$H25&lt;&gt;"Sí",$I25&lt;&gt;"Correcta",$J25="Sí",$K25&lt;2),"BLOQUEADA",IF(OR($J25="Posible",$K25&lt;3,$L25&lt;2),"REVISIÓN","ELEGIBLE")))</x:f>
      </x:c>
      <x:c r="AD25" s="38" t="str">
        <x:f>IF($A25="","",IF($AC25="BLOQUEADA",0,ROUND(($L25*Scoring_Weights!$C$9+$M25*Scoring_Weights!$C$10+$N25*Scoring_Weights!$C$11+$O25*Scoring_Weights!$C$12+$P25*Scoring_Weights!$C$13+$Q25*Scoring_Weights!$C$14+$R25*Scoring_Weights!$C$15+$X25*Scoring_Weights!$C$16+$AB25*Scoring_Weights!$C$17)*20,1)))</x:f>
      </x:c>
      <x:c r="AE25" s="38" t="str">
        <x:f>IF($A25="","",IF($AC25="BLOQUEADA",0,ROUND(($Q25*Scoring_Weights!$C$19+$R25*Scoring_Weights!$C$20+$S25*Scoring_Weights!$C$21+$T25*Scoring_Weights!$C$22+$U25*Scoring_Weights!$C$23+$V25*Scoring_Weights!$C$24+$W25*Scoring_Weights!$C$25)*20,1)))</x:f>
      </x:c>
      <x:c r="AF25" s="38" t="str">
        <x:f>IF($A25="","",IF($AC25="BLOQUEADA",0,ROUND(($Z25*Scoring_Weights!$C$27+$Y25*Scoring_Weights!$C$28+$X25*Scoring_Weights!$C$29)*20,1)))</x:f>
      </x:c>
      <x:c r="AG25" s="38" t="str">
        <x:f>IF($A25="","",IF($AC25="BLOQUEADA",0,ROUND(($AA25*Scoring_Weights!$C$31+$AB25*Scoring_Weights!$C$32+$K25*Scoring_Weights!$C$33)*20,1)))</x:f>
      </x:c>
      <x:c r="AH25" s="38" t="str">
        <x:f>IF($A25="","",IF($AC25="BLOQUEADA",0,MIN(10,IF(OR($O25&gt;=4,$P25&gt;=4),2,0)+IF($Q25&gt;=4,2,0)+IF($R25&gt;=4,2,0)+IF($U25&gt;=4,2,0)+IF($T25&gt;=4,1,0)+IF($V25&gt;=4,1,0))))</x:f>
      </x:c>
      <x:c r="AI25" s="38" t="str">
        <x:f>IF($A25="","",IF($AC25="BLOQUEADA",0,ROUND((MAX(0,5-$K25)+MAX(0,5-$AA25)+IF($I25="Ambigua",2,0)+IF($J25="Posible",2,0))*2,1)))</x:f>
      </x:c>
      <x:c r="AJ25" s="38" t="str">
        <x:f>IF($A25="","",IF($AC25="BLOQUEADA",0,ROUND($AD25*Scoring_Weights!$C$2+$AE25*Scoring_Weights!$C$3+$AF25*Scoring_Weights!$C$4+$AG25*Scoring_Weights!$C$5+$AH25*Scoring_Weights!$C$6-$AI25*Scoring_Weights!$C$7,1)))</x:f>
      </x:c>
      <x:c r="AK25" s="36" t="str">
        <x:f>IF($AC25&lt;&gt;"ELEGIBLE","",COUNTIFS($AC$2:$AC$101,"ELEGIBLE",$AJ$2:$AJ$101,"&gt;"&amp;$AJ25)+COUNTIFS($AC$2:$AC25,"ELEGIBLE",$AJ$2:$AJ25,$AJ25))</x:f>
      </x:c>
      <x:c r="AL25" s="23" t="str">
        <x:f>IF($A25="","",IF($AC25="BLOQUEADA","No seleccionable",IF($AC25="REVISIÓN","Revisión previa",IF($AK25&lt;=8,"Primaria propuesta","Contexto / backlog"))))</x:f>
      </x:c>
      <x:c r="AM25" s="23" t="str">
        <x:f>IF($A25="","",IF(MAX($O25,$P25)&gt;=MAX($Q25,$R25,$T25,$U25,$W25),"Transformación/OLC",IF(MAX($Q25,$R25)&gt;=MAX($T25,$U25,$W25),"Handoff/Flujo",IF(MAX($T25,$U25,$V25,$W25)&gt;=3,"Capacidad/Compensación","Contexto/PM"))))</x:f>
      </x:c>
      <x:c r="AN25" s="23"/>
      <x:c r="AO25" s="23" t="str">
        <x:f>IF($A25="","",IF($AN25="Forzar primaria","Primaria forzada",IF($AN25="Excluir","Excluida",IF($AN25="Revisión","Revisión previa",$AL25))))</x:f>
      </x:c>
      <x:c r="AP25" s="23" t="str">
        <x:f>IF($A25="","",IF($AC25="BLOQUEADA","Gate duro",IF($AD25&gt;=MAX($AE25,$AF25,$AG25),"Potencial MMABP",IF($AE25&gt;=MAX($AD25,$AF25,$AG25),"Fricción/variedad",IF($AF25&gt;=MAX($AD25,$AE25,$AG25),"Cobertura","Evidencia/feasibilidad")))))</x:f>
      </x:c>
      <x:c r="AQ25" s="23" t="str">
        <x:f>IF($A25="","",IF(LEFT($AO25,8)="Primaria",IF($AE25&gt;=75,"40+20 probable",IF($AD25&gt;=75,"40 base + causales selectivas","40 base + probes mínimos")),"No abre Runtime profundo"))</x:f>
      </x:c>
      <x:c r="AR25" s="23" t="str">
        <x:f>IF($A25="","",IF($AC25="BLOQUEADA","Corregir WorkMap/B0 antes de selección",IF($AC25="REVISIÓN","Microconfirmación B0 o resolución semántica",IF($AO25="Contexto / backlog","Conservar como contexto total","Enviar a Runtime"))))</x:f>
      </x:c>
      <x:c r="AS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  <x:c r="AA26" s="36"/>
      <x:c r="AB26" s="36"/>
      <x:c r="AC26" s="23" t="str">
        <x:f>IF($A26="","",IF(OR($G26&lt;&gt;"Sí",$H26&lt;&gt;"Sí",$I26&lt;&gt;"Correcta",$J26="Sí",$K26&lt;2),"BLOQUEADA",IF(OR($J26="Posible",$K26&lt;3,$L26&lt;2),"REVISIÓN","ELEGIBLE")))</x:f>
      </x:c>
      <x:c r="AD26" s="38" t="str">
        <x:f>IF($A26="","",IF($AC26="BLOQUEADA",0,ROUND(($L26*Scoring_Weights!$C$9+$M26*Scoring_Weights!$C$10+$N26*Scoring_Weights!$C$11+$O26*Scoring_Weights!$C$12+$P26*Scoring_Weights!$C$13+$Q26*Scoring_Weights!$C$14+$R26*Scoring_Weights!$C$15+$X26*Scoring_Weights!$C$16+$AB26*Scoring_Weights!$C$17)*20,1)))</x:f>
      </x:c>
      <x:c r="AE26" s="38" t="str">
        <x:f>IF($A26="","",IF($AC26="BLOQUEADA",0,ROUND(($Q26*Scoring_Weights!$C$19+$R26*Scoring_Weights!$C$20+$S26*Scoring_Weights!$C$21+$T26*Scoring_Weights!$C$22+$U26*Scoring_Weights!$C$23+$V26*Scoring_Weights!$C$24+$W26*Scoring_Weights!$C$25)*20,1)))</x:f>
      </x:c>
      <x:c r="AF26" s="38" t="str">
        <x:f>IF($A26="","",IF($AC26="BLOQUEADA",0,ROUND(($Z26*Scoring_Weights!$C$27+$Y26*Scoring_Weights!$C$28+$X26*Scoring_Weights!$C$29)*20,1)))</x:f>
      </x:c>
      <x:c r="AG26" s="38" t="str">
        <x:f>IF($A26="","",IF($AC26="BLOQUEADA",0,ROUND(($AA26*Scoring_Weights!$C$31+$AB26*Scoring_Weights!$C$32+$K26*Scoring_Weights!$C$33)*20,1)))</x:f>
      </x:c>
      <x:c r="AH26" s="38" t="str">
        <x:f>IF($A26="","",IF($AC26="BLOQUEADA",0,MIN(10,IF(OR($O26&gt;=4,$P26&gt;=4),2,0)+IF($Q26&gt;=4,2,0)+IF($R26&gt;=4,2,0)+IF($U26&gt;=4,2,0)+IF($T26&gt;=4,1,0)+IF($V26&gt;=4,1,0))))</x:f>
      </x:c>
      <x:c r="AI26" s="38" t="str">
        <x:f>IF($A26="","",IF($AC26="BLOQUEADA",0,ROUND((MAX(0,5-$K26)+MAX(0,5-$AA26)+IF($I26="Ambigua",2,0)+IF($J26="Posible",2,0))*2,1)))</x:f>
      </x:c>
      <x:c r="AJ26" s="38" t="str">
        <x:f>IF($A26="","",IF($AC26="BLOQUEADA",0,ROUND($AD26*Scoring_Weights!$C$2+$AE26*Scoring_Weights!$C$3+$AF26*Scoring_Weights!$C$4+$AG26*Scoring_Weights!$C$5+$AH26*Scoring_Weights!$C$6-$AI26*Scoring_Weights!$C$7,1)))</x:f>
      </x:c>
      <x:c r="AK26" s="36" t="str">
        <x:f>IF($AC26&lt;&gt;"ELEGIBLE","",COUNTIFS($AC$2:$AC$101,"ELEGIBLE",$AJ$2:$AJ$101,"&gt;"&amp;$AJ26)+COUNTIFS($AC$2:$AC26,"ELEGIBLE",$AJ$2:$AJ26,$AJ26))</x:f>
      </x:c>
      <x:c r="AL26" s="23" t="str">
        <x:f>IF($A26="","",IF($AC26="BLOQUEADA","No seleccionable",IF($AC26="REVISIÓN","Revisión previa",IF($AK26&lt;=8,"Primaria propuesta","Contexto / backlog"))))</x:f>
      </x:c>
      <x:c r="AM26" s="23" t="str">
        <x:f>IF($A26="","",IF(MAX($O26,$P26)&gt;=MAX($Q26,$R26,$T26,$U26,$W26),"Transformación/OLC",IF(MAX($Q26,$R26)&gt;=MAX($T26,$U26,$W26),"Handoff/Flujo",IF(MAX($T26,$U26,$V26,$W26)&gt;=3,"Capacidad/Compensación","Contexto/PM"))))</x:f>
      </x:c>
      <x:c r="AN26" s="23"/>
      <x:c r="AO26" s="23" t="str">
        <x:f>IF($A26="","",IF($AN26="Forzar primaria","Primaria forzada",IF($AN26="Excluir","Excluida",IF($AN26="Revisión","Revisión previa",$AL26))))</x:f>
      </x:c>
      <x:c r="AP26" s="23" t="str">
        <x:f>IF($A26="","",IF($AC26="BLOQUEADA","Gate duro",IF($AD26&gt;=MAX($AE26,$AF26,$AG26),"Potencial MMABP",IF($AE26&gt;=MAX($AD26,$AF26,$AG26),"Fricción/variedad",IF($AF26&gt;=MAX($AD26,$AE26,$AG26),"Cobertura","Evidencia/feasibilidad")))))</x:f>
      </x:c>
      <x:c r="AQ26" s="23" t="str">
        <x:f>IF($A26="","",IF(LEFT($AO26,8)="Primaria",IF($AE26&gt;=75,"40+20 probable",IF($AD26&gt;=75,"40 base + causales selectivas","40 base + probes mínimos")),"No abre Runtime profundo"))</x:f>
      </x:c>
      <x:c r="AR26" s="23" t="str">
        <x:f>IF($A26="","",IF($AC26="BLOQUEADA","Corregir WorkMap/B0 antes de selección",IF($AC26="REVISIÓN","Microconfirmación B0 o resolución semántica",IF($AO26="Contexto / backlog","Conservar como contexto total","Enviar a Runtime"))))</x:f>
      </x:c>
      <x:c r="AS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  <x:c r="AA27" s="36"/>
      <x:c r="AB27" s="36"/>
      <x:c r="AC27" s="23" t="str">
        <x:f>IF($A27="","",IF(OR($G27&lt;&gt;"Sí",$H27&lt;&gt;"Sí",$I27&lt;&gt;"Correcta",$J27="Sí",$K27&lt;2),"BLOQUEADA",IF(OR($J27="Posible",$K27&lt;3,$L27&lt;2),"REVISIÓN","ELEGIBLE")))</x:f>
      </x:c>
      <x:c r="AD27" s="38" t="str">
        <x:f>IF($A27="","",IF($AC27="BLOQUEADA",0,ROUND(($L27*Scoring_Weights!$C$9+$M27*Scoring_Weights!$C$10+$N27*Scoring_Weights!$C$11+$O27*Scoring_Weights!$C$12+$P27*Scoring_Weights!$C$13+$Q27*Scoring_Weights!$C$14+$R27*Scoring_Weights!$C$15+$X27*Scoring_Weights!$C$16+$AB27*Scoring_Weights!$C$17)*20,1)))</x:f>
      </x:c>
      <x:c r="AE27" s="38" t="str">
        <x:f>IF($A27="","",IF($AC27="BLOQUEADA",0,ROUND(($Q27*Scoring_Weights!$C$19+$R27*Scoring_Weights!$C$20+$S27*Scoring_Weights!$C$21+$T27*Scoring_Weights!$C$22+$U27*Scoring_Weights!$C$23+$V27*Scoring_Weights!$C$24+$W27*Scoring_Weights!$C$25)*20,1)))</x:f>
      </x:c>
      <x:c r="AF27" s="38" t="str">
        <x:f>IF($A27="","",IF($AC27="BLOQUEADA",0,ROUND(($Z27*Scoring_Weights!$C$27+$Y27*Scoring_Weights!$C$28+$X27*Scoring_Weights!$C$29)*20,1)))</x:f>
      </x:c>
      <x:c r="AG27" s="38" t="str">
        <x:f>IF($A27="","",IF($AC27="BLOQUEADA",0,ROUND(($AA27*Scoring_Weights!$C$31+$AB27*Scoring_Weights!$C$32+$K27*Scoring_Weights!$C$33)*20,1)))</x:f>
      </x:c>
      <x:c r="AH27" s="38" t="str">
        <x:f>IF($A27="","",IF($AC27="BLOQUEADA",0,MIN(10,IF(OR($O27&gt;=4,$P27&gt;=4),2,0)+IF($Q27&gt;=4,2,0)+IF($R27&gt;=4,2,0)+IF($U27&gt;=4,2,0)+IF($T27&gt;=4,1,0)+IF($V27&gt;=4,1,0))))</x:f>
      </x:c>
      <x:c r="AI27" s="38" t="str">
        <x:f>IF($A27="","",IF($AC27="BLOQUEADA",0,ROUND((MAX(0,5-$K27)+MAX(0,5-$AA27)+IF($I27="Ambigua",2,0)+IF($J27="Posible",2,0))*2,1)))</x:f>
      </x:c>
      <x:c r="AJ27" s="38" t="str">
        <x:f>IF($A27="","",IF($AC27="BLOQUEADA",0,ROUND($AD27*Scoring_Weights!$C$2+$AE27*Scoring_Weights!$C$3+$AF27*Scoring_Weights!$C$4+$AG27*Scoring_Weights!$C$5+$AH27*Scoring_Weights!$C$6-$AI27*Scoring_Weights!$C$7,1)))</x:f>
      </x:c>
      <x:c r="AK27" s="36" t="str">
        <x:f>IF($AC27&lt;&gt;"ELEGIBLE","",COUNTIFS($AC$2:$AC$101,"ELEGIBLE",$AJ$2:$AJ$101,"&gt;"&amp;$AJ27)+COUNTIFS($AC$2:$AC27,"ELEGIBLE",$AJ$2:$AJ27,$AJ27))</x:f>
      </x:c>
      <x:c r="AL27" s="23" t="str">
        <x:f>IF($A27="","",IF($AC27="BLOQUEADA","No seleccionable",IF($AC27="REVISIÓN","Revisión previa",IF($AK27&lt;=8,"Primaria propuesta","Contexto / backlog"))))</x:f>
      </x:c>
      <x:c r="AM27" s="23" t="str">
        <x:f>IF($A27="","",IF(MAX($O27,$P27)&gt;=MAX($Q27,$R27,$T27,$U27,$W27),"Transformación/OLC",IF(MAX($Q27,$R27)&gt;=MAX($T27,$U27,$W27),"Handoff/Flujo",IF(MAX($T27,$U27,$V27,$W27)&gt;=3,"Capacidad/Compensación","Contexto/PM"))))</x:f>
      </x:c>
      <x:c r="AN27" s="23"/>
      <x:c r="AO27" s="23" t="str">
        <x:f>IF($A27="","",IF($AN27="Forzar primaria","Primaria forzada",IF($AN27="Excluir","Excluida",IF($AN27="Revisión","Revisión previa",$AL27))))</x:f>
      </x:c>
      <x:c r="AP27" s="23" t="str">
        <x:f>IF($A27="","",IF($AC27="BLOQUEADA","Gate duro",IF($AD27&gt;=MAX($AE27,$AF27,$AG27),"Potencial MMABP",IF($AE27&gt;=MAX($AD27,$AF27,$AG27),"Fricción/variedad",IF($AF27&gt;=MAX($AD27,$AE27,$AG27),"Cobertura","Evidencia/feasibilidad")))))</x:f>
      </x:c>
      <x:c r="AQ27" s="23" t="str">
        <x:f>IF($A27="","",IF(LEFT($AO27,8)="Primaria",IF($AE27&gt;=75,"40+20 probable",IF($AD27&gt;=75,"40 base + causales selectivas","40 base + probes mínimos")),"No abre Runtime profundo"))</x:f>
      </x:c>
      <x:c r="AR27" s="23" t="str">
        <x:f>IF($A27="","",IF($AC27="BLOQUEADA","Corregir WorkMap/B0 antes de selección",IF($AC27="REVISIÓN","Microconfirmación B0 o resolución semántica",IF($AO27="Contexto / backlog","Conservar como contexto total","Enviar a Runtime"))))</x:f>
      </x:c>
      <x:c r="AS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  <x:c r="AA28" s="36"/>
      <x:c r="AB28" s="36"/>
      <x:c r="AC28" s="23" t="str">
        <x:f>IF($A28="","",IF(OR($G28&lt;&gt;"Sí",$H28&lt;&gt;"Sí",$I28&lt;&gt;"Correcta",$J28="Sí",$K28&lt;2),"BLOQUEADA",IF(OR($J28="Posible",$K28&lt;3,$L28&lt;2),"REVISIÓN","ELEGIBLE")))</x:f>
      </x:c>
      <x:c r="AD28" s="38" t="str">
        <x:f>IF($A28="","",IF($AC28="BLOQUEADA",0,ROUND(($L28*Scoring_Weights!$C$9+$M28*Scoring_Weights!$C$10+$N28*Scoring_Weights!$C$11+$O28*Scoring_Weights!$C$12+$P28*Scoring_Weights!$C$13+$Q28*Scoring_Weights!$C$14+$R28*Scoring_Weights!$C$15+$X28*Scoring_Weights!$C$16+$AB28*Scoring_Weights!$C$17)*20,1)))</x:f>
      </x:c>
      <x:c r="AE28" s="38" t="str">
        <x:f>IF($A28="","",IF($AC28="BLOQUEADA",0,ROUND(($Q28*Scoring_Weights!$C$19+$R28*Scoring_Weights!$C$20+$S28*Scoring_Weights!$C$21+$T28*Scoring_Weights!$C$22+$U28*Scoring_Weights!$C$23+$V28*Scoring_Weights!$C$24+$W28*Scoring_Weights!$C$25)*20,1)))</x:f>
      </x:c>
      <x:c r="AF28" s="38" t="str">
        <x:f>IF($A28="","",IF($AC28="BLOQUEADA",0,ROUND(($Z28*Scoring_Weights!$C$27+$Y28*Scoring_Weights!$C$28+$X28*Scoring_Weights!$C$29)*20,1)))</x:f>
      </x:c>
      <x:c r="AG28" s="38" t="str">
        <x:f>IF($A28="","",IF($AC28="BLOQUEADA",0,ROUND(($AA28*Scoring_Weights!$C$31+$AB28*Scoring_Weights!$C$32+$K28*Scoring_Weights!$C$33)*20,1)))</x:f>
      </x:c>
      <x:c r="AH28" s="38" t="str">
        <x:f>IF($A28="","",IF($AC28="BLOQUEADA",0,MIN(10,IF(OR($O28&gt;=4,$P28&gt;=4),2,0)+IF($Q28&gt;=4,2,0)+IF($R28&gt;=4,2,0)+IF($U28&gt;=4,2,0)+IF($T28&gt;=4,1,0)+IF($V28&gt;=4,1,0))))</x:f>
      </x:c>
      <x:c r="AI28" s="38" t="str">
        <x:f>IF($A28="","",IF($AC28="BLOQUEADA",0,ROUND((MAX(0,5-$K28)+MAX(0,5-$AA28)+IF($I28="Ambigua",2,0)+IF($J28="Posible",2,0))*2,1)))</x:f>
      </x:c>
      <x:c r="AJ28" s="38" t="str">
        <x:f>IF($A28="","",IF($AC28="BLOQUEADA",0,ROUND($AD28*Scoring_Weights!$C$2+$AE28*Scoring_Weights!$C$3+$AF28*Scoring_Weights!$C$4+$AG28*Scoring_Weights!$C$5+$AH28*Scoring_Weights!$C$6-$AI28*Scoring_Weights!$C$7,1)))</x:f>
      </x:c>
      <x:c r="AK28" s="36" t="str">
        <x:f>IF($AC28&lt;&gt;"ELEGIBLE","",COUNTIFS($AC$2:$AC$101,"ELEGIBLE",$AJ$2:$AJ$101,"&gt;"&amp;$AJ28)+COUNTIFS($AC$2:$AC28,"ELEGIBLE",$AJ$2:$AJ28,$AJ28))</x:f>
      </x:c>
      <x:c r="AL28" s="23" t="str">
        <x:f>IF($A28="","",IF($AC28="BLOQUEADA","No seleccionable",IF($AC28="REVISIÓN","Revisión previa",IF($AK28&lt;=8,"Primaria propuesta","Contexto / backlog"))))</x:f>
      </x:c>
      <x:c r="AM28" s="23" t="str">
        <x:f>IF($A28="","",IF(MAX($O28,$P28)&gt;=MAX($Q28,$R28,$T28,$U28,$W28),"Transformación/OLC",IF(MAX($Q28,$R28)&gt;=MAX($T28,$U28,$W28),"Handoff/Flujo",IF(MAX($T28,$U28,$V28,$W28)&gt;=3,"Capacidad/Compensación","Contexto/PM"))))</x:f>
      </x:c>
      <x:c r="AN28" s="23"/>
      <x:c r="AO28" s="23" t="str">
        <x:f>IF($A28="","",IF($AN28="Forzar primaria","Primaria forzada",IF($AN28="Excluir","Excluida",IF($AN28="Revisión","Revisión previa",$AL28))))</x:f>
      </x:c>
      <x:c r="AP28" s="23" t="str">
        <x:f>IF($A28="","",IF($AC28="BLOQUEADA","Gate duro",IF($AD28&gt;=MAX($AE28,$AF28,$AG28),"Potencial MMABP",IF($AE28&gt;=MAX($AD28,$AF28,$AG28),"Fricción/variedad",IF($AF28&gt;=MAX($AD28,$AE28,$AG28),"Cobertura","Evidencia/feasibilidad")))))</x:f>
      </x:c>
      <x:c r="AQ28" s="23" t="str">
        <x:f>IF($A28="","",IF(LEFT($AO28,8)="Primaria",IF($AE28&gt;=75,"40+20 probable",IF($AD28&gt;=75,"40 base + causales selectivas","40 base + probes mínimos")),"No abre Runtime profundo"))</x:f>
      </x:c>
      <x:c r="AR28" s="23" t="str">
        <x:f>IF($A28="","",IF($AC28="BLOQUEADA","Corregir WorkMap/B0 antes de selección",IF($AC28="REVISIÓN","Microconfirmación B0 o resolución semántica",IF($AO28="Contexto / backlog","Conservar como contexto total","Enviar a Runtime"))))</x:f>
      </x:c>
      <x:c r="AS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  <x:c r="AA29" s="36"/>
      <x:c r="AB29" s="36"/>
      <x:c r="AC29" s="23" t="str">
        <x:f>IF($A29="","",IF(OR($G29&lt;&gt;"Sí",$H29&lt;&gt;"Sí",$I29&lt;&gt;"Correcta",$J29="Sí",$K29&lt;2),"BLOQUEADA",IF(OR($J29="Posible",$K29&lt;3,$L29&lt;2),"REVISIÓN","ELEGIBLE")))</x:f>
      </x:c>
      <x:c r="AD29" s="38" t="str">
        <x:f>IF($A29="","",IF($AC29="BLOQUEADA",0,ROUND(($L29*Scoring_Weights!$C$9+$M29*Scoring_Weights!$C$10+$N29*Scoring_Weights!$C$11+$O29*Scoring_Weights!$C$12+$P29*Scoring_Weights!$C$13+$Q29*Scoring_Weights!$C$14+$R29*Scoring_Weights!$C$15+$X29*Scoring_Weights!$C$16+$AB29*Scoring_Weights!$C$17)*20,1)))</x:f>
      </x:c>
      <x:c r="AE29" s="38" t="str">
        <x:f>IF($A29="","",IF($AC29="BLOQUEADA",0,ROUND(($Q29*Scoring_Weights!$C$19+$R29*Scoring_Weights!$C$20+$S29*Scoring_Weights!$C$21+$T29*Scoring_Weights!$C$22+$U29*Scoring_Weights!$C$23+$V29*Scoring_Weights!$C$24+$W29*Scoring_Weights!$C$25)*20,1)))</x:f>
      </x:c>
      <x:c r="AF29" s="38" t="str">
        <x:f>IF($A29="","",IF($AC29="BLOQUEADA",0,ROUND(($Z29*Scoring_Weights!$C$27+$Y29*Scoring_Weights!$C$28+$X29*Scoring_Weights!$C$29)*20,1)))</x:f>
      </x:c>
      <x:c r="AG29" s="38" t="str">
        <x:f>IF($A29="","",IF($AC29="BLOQUEADA",0,ROUND(($AA29*Scoring_Weights!$C$31+$AB29*Scoring_Weights!$C$32+$K29*Scoring_Weights!$C$33)*20,1)))</x:f>
      </x:c>
      <x:c r="AH29" s="38" t="str">
        <x:f>IF($A29="","",IF($AC29="BLOQUEADA",0,MIN(10,IF(OR($O29&gt;=4,$P29&gt;=4),2,0)+IF($Q29&gt;=4,2,0)+IF($R29&gt;=4,2,0)+IF($U29&gt;=4,2,0)+IF($T29&gt;=4,1,0)+IF($V29&gt;=4,1,0))))</x:f>
      </x:c>
      <x:c r="AI29" s="38" t="str">
        <x:f>IF($A29="","",IF($AC29="BLOQUEADA",0,ROUND((MAX(0,5-$K29)+MAX(0,5-$AA29)+IF($I29="Ambigua",2,0)+IF($J29="Posible",2,0))*2,1)))</x:f>
      </x:c>
      <x:c r="AJ29" s="38" t="str">
        <x:f>IF($A29="","",IF($AC29="BLOQUEADA",0,ROUND($AD29*Scoring_Weights!$C$2+$AE29*Scoring_Weights!$C$3+$AF29*Scoring_Weights!$C$4+$AG29*Scoring_Weights!$C$5+$AH29*Scoring_Weights!$C$6-$AI29*Scoring_Weights!$C$7,1)))</x:f>
      </x:c>
      <x:c r="AK29" s="36" t="str">
        <x:f>IF($AC29&lt;&gt;"ELEGIBLE","",COUNTIFS($AC$2:$AC$101,"ELEGIBLE",$AJ$2:$AJ$101,"&gt;"&amp;$AJ29)+COUNTIFS($AC$2:$AC29,"ELEGIBLE",$AJ$2:$AJ29,$AJ29))</x:f>
      </x:c>
      <x:c r="AL29" s="23" t="str">
        <x:f>IF($A29="","",IF($AC29="BLOQUEADA","No seleccionable",IF($AC29="REVISIÓN","Revisión previa",IF($AK29&lt;=8,"Primaria propuesta","Contexto / backlog"))))</x:f>
      </x:c>
      <x:c r="AM29" s="23" t="str">
        <x:f>IF($A29="","",IF(MAX($O29,$P29)&gt;=MAX($Q29,$R29,$T29,$U29,$W29),"Transformación/OLC",IF(MAX($Q29,$R29)&gt;=MAX($T29,$U29,$W29),"Handoff/Flujo",IF(MAX($T29,$U29,$V29,$W29)&gt;=3,"Capacidad/Compensación","Contexto/PM"))))</x:f>
      </x:c>
      <x:c r="AN29" s="23"/>
      <x:c r="AO29" s="23" t="str">
        <x:f>IF($A29="","",IF($AN29="Forzar primaria","Primaria forzada",IF($AN29="Excluir","Excluida",IF($AN29="Revisión","Revisión previa",$AL29))))</x:f>
      </x:c>
      <x:c r="AP29" s="23" t="str">
        <x:f>IF($A29="","",IF($AC29="BLOQUEADA","Gate duro",IF($AD29&gt;=MAX($AE29,$AF29,$AG29),"Potencial MMABP",IF($AE29&gt;=MAX($AD29,$AF29,$AG29),"Fricción/variedad",IF($AF29&gt;=MAX($AD29,$AE29,$AG29),"Cobertura","Evidencia/feasibilidad")))))</x:f>
      </x:c>
      <x:c r="AQ29" s="23" t="str">
        <x:f>IF($A29="","",IF(LEFT($AO29,8)="Primaria",IF($AE29&gt;=75,"40+20 probable",IF($AD29&gt;=75,"40 base + causales selectivas","40 base + probes mínimos")),"No abre Runtime profundo"))</x:f>
      </x:c>
      <x:c r="AR29" s="23" t="str">
        <x:f>IF($A29="","",IF($AC29="BLOQUEADA","Corregir WorkMap/B0 antes de selección",IF($AC29="REVISIÓN","Microconfirmación B0 o resolución semántica",IF($AO29="Contexto / backlog","Conservar como contexto total","Enviar a Runtime"))))</x:f>
      </x:c>
      <x:c r="AS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  <x:c r="AA30" s="36"/>
      <x:c r="AB30" s="36"/>
      <x:c r="AC30" s="23" t="str">
        <x:f>IF($A30="","",IF(OR($G30&lt;&gt;"Sí",$H30&lt;&gt;"Sí",$I30&lt;&gt;"Correcta",$J30="Sí",$K30&lt;2),"BLOQUEADA",IF(OR($J30="Posible",$K30&lt;3,$L30&lt;2),"REVISIÓN","ELEGIBLE")))</x:f>
      </x:c>
      <x:c r="AD30" s="38" t="str">
        <x:f>IF($A30="","",IF($AC30="BLOQUEADA",0,ROUND(($L30*Scoring_Weights!$C$9+$M30*Scoring_Weights!$C$10+$N30*Scoring_Weights!$C$11+$O30*Scoring_Weights!$C$12+$P30*Scoring_Weights!$C$13+$Q30*Scoring_Weights!$C$14+$R30*Scoring_Weights!$C$15+$X30*Scoring_Weights!$C$16+$AB30*Scoring_Weights!$C$17)*20,1)))</x:f>
      </x:c>
      <x:c r="AE30" s="38" t="str">
        <x:f>IF($A30="","",IF($AC30="BLOQUEADA",0,ROUND(($Q30*Scoring_Weights!$C$19+$R30*Scoring_Weights!$C$20+$S30*Scoring_Weights!$C$21+$T30*Scoring_Weights!$C$22+$U30*Scoring_Weights!$C$23+$V30*Scoring_Weights!$C$24+$W30*Scoring_Weights!$C$25)*20,1)))</x:f>
      </x:c>
      <x:c r="AF30" s="38" t="str">
        <x:f>IF($A30="","",IF($AC30="BLOQUEADA",0,ROUND(($Z30*Scoring_Weights!$C$27+$Y30*Scoring_Weights!$C$28+$X30*Scoring_Weights!$C$29)*20,1)))</x:f>
      </x:c>
      <x:c r="AG30" s="38" t="str">
        <x:f>IF($A30="","",IF($AC30="BLOQUEADA",0,ROUND(($AA30*Scoring_Weights!$C$31+$AB30*Scoring_Weights!$C$32+$K30*Scoring_Weights!$C$33)*20,1)))</x:f>
      </x:c>
      <x:c r="AH30" s="38" t="str">
        <x:f>IF($A30="","",IF($AC30="BLOQUEADA",0,MIN(10,IF(OR($O30&gt;=4,$P30&gt;=4),2,0)+IF($Q30&gt;=4,2,0)+IF($R30&gt;=4,2,0)+IF($U30&gt;=4,2,0)+IF($T30&gt;=4,1,0)+IF($V30&gt;=4,1,0))))</x:f>
      </x:c>
      <x:c r="AI30" s="38" t="str">
        <x:f>IF($A30="","",IF($AC30="BLOQUEADA",0,ROUND((MAX(0,5-$K30)+MAX(0,5-$AA30)+IF($I30="Ambigua",2,0)+IF($J30="Posible",2,0))*2,1)))</x:f>
      </x:c>
      <x:c r="AJ30" s="38" t="str">
        <x:f>IF($A30="","",IF($AC30="BLOQUEADA",0,ROUND($AD30*Scoring_Weights!$C$2+$AE30*Scoring_Weights!$C$3+$AF30*Scoring_Weights!$C$4+$AG30*Scoring_Weights!$C$5+$AH30*Scoring_Weights!$C$6-$AI30*Scoring_Weights!$C$7,1)))</x:f>
      </x:c>
      <x:c r="AK30" s="36" t="str">
        <x:f>IF($AC30&lt;&gt;"ELEGIBLE","",COUNTIFS($AC$2:$AC$101,"ELEGIBLE",$AJ$2:$AJ$101,"&gt;"&amp;$AJ30)+COUNTIFS($AC$2:$AC30,"ELEGIBLE",$AJ$2:$AJ30,$AJ30))</x:f>
      </x:c>
      <x:c r="AL30" s="23" t="str">
        <x:f>IF($A30="","",IF($AC30="BLOQUEADA","No seleccionable",IF($AC30="REVISIÓN","Revisión previa",IF($AK30&lt;=8,"Primaria propuesta","Contexto / backlog"))))</x:f>
      </x:c>
      <x:c r="AM30" s="23" t="str">
        <x:f>IF($A30="","",IF(MAX($O30,$P30)&gt;=MAX($Q30,$R30,$T30,$U30,$W30),"Transformación/OLC",IF(MAX($Q30,$R30)&gt;=MAX($T30,$U30,$W30),"Handoff/Flujo",IF(MAX($T30,$U30,$V30,$W30)&gt;=3,"Capacidad/Compensación","Contexto/PM"))))</x:f>
      </x:c>
      <x:c r="AN30" s="23"/>
      <x:c r="AO30" s="23" t="str">
        <x:f>IF($A30="","",IF($AN30="Forzar primaria","Primaria forzada",IF($AN30="Excluir","Excluida",IF($AN30="Revisión","Revisión previa",$AL30))))</x:f>
      </x:c>
      <x:c r="AP30" s="23" t="str">
        <x:f>IF($A30="","",IF($AC30="BLOQUEADA","Gate duro",IF($AD30&gt;=MAX($AE30,$AF30,$AG30),"Potencial MMABP",IF($AE30&gt;=MAX($AD30,$AF30,$AG30),"Fricción/variedad",IF($AF30&gt;=MAX($AD30,$AE30,$AG30),"Cobertura","Evidencia/feasibilidad")))))</x:f>
      </x:c>
      <x:c r="AQ30" s="23" t="str">
        <x:f>IF($A30="","",IF(LEFT($AO30,8)="Primaria",IF($AE30&gt;=75,"40+20 probable",IF($AD30&gt;=75,"40 base + causales selectivas","40 base + probes mínimos")),"No abre Runtime profundo"))</x:f>
      </x:c>
      <x:c r="AR30" s="23" t="str">
        <x:f>IF($A30="","",IF($AC30="BLOQUEADA","Corregir WorkMap/B0 antes de selección",IF($AC30="REVISIÓN","Microconfirmación B0 o resolución semántica",IF($AO30="Contexto / backlog","Conservar como contexto total","Enviar a Runtime"))))</x:f>
      </x:c>
      <x:c r="AS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  <x:c r="AA31" s="36"/>
      <x:c r="AB31" s="36"/>
      <x:c r="AC31" s="23" t="str">
        <x:f>IF($A31="","",IF(OR($G31&lt;&gt;"Sí",$H31&lt;&gt;"Sí",$I31&lt;&gt;"Correcta",$J31="Sí",$K31&lt;2),"BLOQUEADA",IF(OR($J31="Posible",$K31&lt;3,$L31&lt;2),"REVISIÓN","ELEGIBLE")))</x:f>
      </x:c>
      <x:c r="AD31" s="38" t="str">
        <x:f>IF($A31="","",IF($AC31="BLOQUEADA",0,ROUND(($L31*Scoring_Weights!$C$9+$M31*Scoring_Weights!$C$10+$N31*Scoring_Weights!$C$11+$O31*Scoring_Weights!$C$12+$P31*Scoring_Weights!$C$13+$Q31*Scoring_Weights!$C$14+$R31*Scoring_Weights!$C$15+$X31*Scoring_Weights!$C$16+$AB31*Scoring_Weights!$C$17)*20,1)))</x:f>
      </x:c>
      <x:c r="AE31" s="38" t="str">
        <x:f>IF($A31="","",IF($AC31="BLOQUEADA",0,ROUND(($Q31*Scoring_Weights!$C$19+$R31*Scoring_Weights!$C$20+$S31*Scoring_Weights!$C$21+$T31*Scoring_Weights!$C$22+$U31*Scoring_Weights!$C$23+$V31*Scoring_Weights!$C$24+$W31*Scoring_Weights!$C$25)*20,1)))</x:f>
      </x:c>
      <x:c r="AF31" s="38" t="str">
        <x:f>IF($A31="","",IF($AC31="BLOQUEADA",0,ROUND(($Z31*Scoring_Weights!$C$27+$Y31*Scoring_Weights!$C$28+$X31*Scoring_Weights!$C$29)*20,1)))</x:f>
      </x:c>
      <x:c r="AG31" s="38" t="str">
        <x:f>IF($A31="","",IF($AC31="BLOQUEADA",0,ROUND(($AA31*Scoring_Weights!$C$31+$AB31*Scoring_Weights!$C$32+$K31*Scoring_Weights!$C$33)*20,1)))</x:f>
      </x:c>
      <x:c r="AH31" s="38" t="str">
        <x:f>IF($A31="","",IF($AC31="BLOQUEADA",0,MIN(10,IF(OR($O31&gt;=4,$P31&gt;=4),2,0)+IF($Q31&gt;=4,2,0)+IF($R31&gt;=4,2,0)+IF($U31&gt;=4,2,0)+IF($T31&gt;=4,1,0)+IF($V31&gt;=4,1,0))))</x:f>
      </x:c>
      <x:c r="AI31" s="38" t="str">
        <x:f>IF($A31="","",IF($AC31="BLOQUEADA",0,ROUND((MAX(0,5-$K31)+MAX(0,5-$AA31)+IF($I31="Ambigua",2,0)+IF($J31="Posible",2,0))*2,1)))</x:f>
      </x:c>
      <x:c r="AJ31" s="38" t="str">
        <x:f>IF($A31="","",IF($AC31="BLOQUEADA",0,ROUND($AD31*Scoring_Weights!$C$2+$AE31*Scoring_Weights!$C$3+$AF31*Scoring_Weights!$C$4+$AG31*Scoring_Weights!$C$5+$AH31*Scoring_Weights!$C$6-$AI31*Scoring_Weights!$C$7,1)))</x:f>
      </x:c>
      <x:c r="AK31" s="36" t="str">
        <x:f>IF($AC31&lt;&gt;"ELEGIBLE","",COUNTIFS($AC$2:$AC$101,"ELEGIBLE",$AJ$2:$AJ$101,"&gt;"&amp;$AJ31)+COUNTIFS($AC$2:$AC31,"ELEGIBLE",$AJ$2:$AJ31,$AJ31))</x:f>
      </x:c>
      <x:c r="AL31" s="23" t="str">
        <x:f>IF($A31="","",IF($AC31="BLOQUEADA","No seleccionable",IF($AC31="REVISIÓN","Revisión previa",IF($AK31&lt;=8,"Primaria propuesta","Contexto / backlog"))))</x:f>
      </x:c>
      <x:c r="AM31" s="23" t="str">
        <x:f>IF($A31="","",IF(MAX($O31,$P31)&gt;=MAX($Q31,$R31,$T31,$U31,$W31),"Transformación/OLC",IF(MAX($Q31,$R31)&gt;=MAX($T31,$U31,$W31),"Handoff/Flujo",IF(MAX($T31,$U31,$V31,$W31)&gt;=3,"Capacidad/Compensación","Contexto/PM"))))</x:f>
      </x:c>
      <x:c r="AN31" s="23"/>
      <x:c r="AO31" s="23" t="str">
        <x:f>IF($A31="","",IF($AN31="Forzar primaria","Primaria forzada",IF($AN31="Excluir","Excluida",IF($AN31="Revisión","Revisión previa",$AL31))))</x:f>
      </x:c>
      <x:c r="AP31" s="23" t="str">
        <x:f>IF($A31="","",IF($AC31="BLOQUEADA","Gate duro",IF($AD31&gt;=MAX($AE31,$AF31,$AG31),"Potencial MMABP",IF($AE31&gt;=MAX($AD31,$AF31,$AG31),"Fricción/variedad",IF($AF31&gt;=MAX($AD31,$AE31,$AG31),"Cobertura","Evidencia/feasibilidad")))))</x:f>
      </x:c>
      <x:c r="AQ31" s="23" t="str">
        <x:f>IF($A31="","",IF(LEFT($AO31,8)="Primaria",IF($AE31&gt;=75,"40+20 probable",IF($AD31&gt;=75,"40 base + causales selectivas","40 base + probes mínimos")),"No abre Runtime profundo"))</x:f>
      </x:c>
      <x:c r="AR31" s="23" t="str">
        <x:f>IF($A31="","",IF($AC31="BLOQUEADA","Corregir WorkMap/B0 antes de selección",IF($AC31="REVISIÓN","Microconfirmación B0 o resolución semántica",IF($AO31="Contexto / backlog","Conservar como contexto total","Enviar a Runtime"))))</x:f>
      </x:c>
      <x:c r="AS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  <x:c r="AA32" s="36"/>
      <x:c r="AB32" s="36"/>
      <x:c r="AC32" s="23" t="str">
        <x:f>IF($A32="","",IF(OR($G32&lt;&gt;"Sí",$H32&lt;&gt;"Sí",$I32&lt;&gt;"Correcta",$J32="Sí",$K32&lt;2),"BLOQUEADA",IF(OR($J32="Posible",$K32&lt;3,$L32&lt;2),"REVISIÓN","ELEGIBLE")))</x:f>
      </x:c>
      <x:c r="AD32" s="38" t="str">
        <x:f>IF($A32="","",IF($AC32="BLOQUEADA",0,ROUND(($L32*Scoring_Weights!$C$9+$M32*Scoring_Weights!$C$10+$N32*Scoring_Weights!$C$11+$O32*Scoring_Weights!$C$12+$P32*Scoring_Weights!$C$13+$Q32*Scoring_Weights!$C$14+$R32*Scoring_Weights!$C$15+$X32*Scoring_Weights!$C$16+$AB32*Scoring_Weights!$C$17)*20,1)))</x:f>
      </x:c>
      <x:c r="AE32" s="38" t="str">
        <x:f>IF($A32="","",IF($AC32="BLOQUEADA",0,ROUND(($Q32*Scoring_Weights!$C$19+$R32*Scoring_Weights!$C$20+$S32*Scoring_Weights!$C$21+$T32*Scoring_Weights!$C$22+$U32*Scoring_Weights!$C$23+$V32*Scoring_Weights!$C$24+$W32*Scoring_Weights!$C$25)*20,1)))</x:f>
      </x:c>
      <x:c r="AF32" s="38" t="str">
        <x:f>IF($A32="","",IF($AC32="BLOQUEADA",0,ROUND(($Z32*Scoring_Weights!$C$27+$Y32*Scoring_Weights!$C$28+$X32*Scoring_Weights!$C$29)*20,1)))</x:f>
      </x:c>
      <x:c r="AG32" s="38" t="str">
        <x:f>IF($A32="","",IF($AC32="BLOQUEADA",0,ROUND(($AA32*Scoring_Weights!$C$31+$AB32*Scoring_Weights!$C$32+$K32*Scoring_Weights!$C$33)*20,1)))</x:f>
      </x:c>
      <x:c r="AH32" s="38" t="str">
        <x:f>IF($A32="","",IF($AC32="BLOQUEADA",0,MIN(10,IF(OR($O32&gt;=4,$P32&gt;=4),2,0)+IF($Q32&gt;=4,2,0)+IF($R32&gt;=4,2,0)+IF($U32&gt;=4,2,0)+IF($T32&gt;=4,1,0)+IF($V32&gt;=4,1,0))))</x:f>
      </x:c>
      <x:c r="AI32" s="38" t="str">
        <x:f>IF($A32="","",IF($AC32="BLOQUEADA",0,ROUND((MAX(0,5-$K32)+MAX(0,5-$AA32)+IF($I32="Ambigua",2,0)+IF($J32="Posible",2,0))*2,1)))</x:f>
      </x:c>
      <x:c r="AJ32" s="38" t="str">
        <x:f>IF($A32="","",IF($AC32="BLOQUEADA",0,ROUND($AD32*Scoring_Weights!$C$2+$AE32*Scoring_Weights!$C$3+$AF32*Scoring_Weights!$C$4+$AG32*Scoring_Weights!$C$5+$AH32*Scoring_Weights!$C$6-$AI32*Scoring_Weights!$C$7,1)))</x:f>
      </x:c>
      <x:c r="AK32" s="36" t="str">
        <x:f>IF($AC32&lt;&gt;"ELEGIBLE","",COUNTIFS($AC$2:$AC$101,"ELEGIBLE",$AJ$2:$AJ$101,"&gt;"&amp;$AJ32)+COUNTIFS($AC$2:$AC32,"ELEGIBLE",$AJ$2:$AJ32,$AJ32))</x:f>
      </x:c>
      <x:c r="AL32" s="23" t="str">
        <x:f>IF($A32="","",IF($AC32="BLOQUEADA","No seleccionable",IF($AC32="REVISIÓN","Revisión previa",IF($AK32&lt;=8,"Primaria propuesta","Contexto / backlog"))))</x:f>
      </x:c>
      <x:c r="AM32" s="23" t="str">
        <x:f>IF($A32="","",IF(MAX($O32,$P32)&gt;=MAX($Q32,$R32,$T32,$U32,$W32),"Transformación/OLC",IF(MAX($Q32,$R32)&gt;=MAX($T32,$U32,$W32),"Handoff/Flujo",IF(MAX($T32,$U32,$V32,$W32)&gt;=3,"Capacidad/Compensación","Contexto/PM"))))</x:f>
      </x:c>
      <x:c r="AN32" s="23"/>
      <x:c r="AO32" s="23" t="str">
        <x:f>IF($A32="","",IF($AN32="Forzar primaria","Primaria forzada",IF($AN32="Excluir","Excluida",IF($AN32="Revisión","Revisión previa",$AL32))))</x:f>
      </x:c>
      <x:c r="AP32" s="23" t="str">
        <x:f>IF($A32="","",IF($AC32="BLOQUEADA","Gate duro",IF($AD32&gt;=MAX($AE32,$AF32,$AG32),"Potencial MMABP",IF($AE32&gt;=MAX($AD32,$AF32,$AG32),"Fricción/variedad",IF($AF32&gt;=MAX($AD32,$AE32,$AG32),"Cobertura","Evidencia/feasibilidad")))))</x:f>
      </x:c>
      <x:c r="AQ32" s="23" t="str">
        <x:f>IF($A32="","",IF(LEFT($AO32,8)="Primaria",IF($AE32&gt;=75,"40+20 probable",IF($AD32&gt;=75,"40 base + causales selectivas","40 base + probes mínimos")),"No abre Runtime profundo"))</x:f>
      </x:c>
      <x:c r="AR32" s="23" t="str">
        <x:f>IF($A32="","",IF($AC32="BLOQUEADA","Corregir WorkMap/B0 antes de selección",IF($AC32="REVISIÓN","Microconfirmación B0 o resolución semántica",IF($AO32="Contexto / backlog","Conservar como contexto total","Enviar a Runtime"))))</x:f>
      </x:c>
      <x:c r="AS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23" t="str">
        <x:f>IF($A33="","",IF(OR($G33&lt;&gt;"Sí",$H33&lt;&gt;"Sí",$I33&lt;&gt;"Correcta",$J33="Sí",$K33&lt;2),"BLOQUEADA",IF(OR($J33="Posible",$K33&lt;3,$L33&lt;2),"REVISIÓN","ELEGIBLE")))</x:f>
      </x:c>
      <x:c r="AD33" s="38" t="str">
        <x:f>IF($A33="","",IF($AC33="BLOQUEADA",0,ROUND(($L33*Scoring_Weights!$C$9+$M33*Scoring_Weights!$C$10+$N33*Scoring_Weights!$C$11+$O33*Scoring_Weights!$C$12+$P33*Scoring_Weights!$C$13+$Q33*Scoring_Weights!$C$14+$R33*Scoring_Weights!$C$15+$X33*Scoring_Weights!$C$16+$AB33*Scoring_Weights!$C$17)*20,1)))</x:f>
      </x:c>
      <x:c r="AE33" s="38" t="str">
        <x:f>IF($A33="","",IF($AC33="BLOQUEADA",0,ROUND(($Q33*Scoring_Weights!$C$19+$R33*Scoring_Weights!$C$20+$S33*Scoring_Weights!$C$21+$T33*Scoring_Weights!$C$22+$U33*Scoring_Weights!$C$23+$V33*Scoring_Weights!$C$24+$W33*Scoring_Weights!$C$25)*20,1)))</x:f>
      </x:c>
      <x:c r="AF33" s="38" t="str">
        <x:f>IF($A33="","",IF($AC33="BLOQUEADA",0,ROUND(($Z33*Scoring_Weights!$C$27+$Y33*Scoring_Weights!$C$28+$X33*Scoring_Weights!$C$29)*20,1)))</x:f>
      </x:c>
      <x:c r="AG33" s="38" t="str">
        <x:f>IF($A33="","",IF($AC33="BLOQUEADA",0,ROUND(($AA33*Scoring_Weights!$C$31+$AB33*Scoring_Weights!$C$32+$K33*Scoring_Weights!$C$33)*20,1)))</x:f>
      </x:c>
      <x:c r="AH33" s="38" t="str">
        <x:f>IF($A33="","",IF($AC33="BLOQUEADA",0,MIN(10,IF(OR($O33&gt;=4,$P33&gt;=4),2,0)+IF($Q33&gt;=4,2,0)+IF($R33&gt;=4,2,0)+IF($U33&gt;=4,2,0)+IF($T33&gt;=4,1,0)+IF($V33&gt;=4,1,0))))</x:f>
      </x:c>
      <x:c r="AI33" s="38" t="str">
        <x:f>IF($A33="","",IF($AC33="BLOQUEADA",0,ROUND((MAX(0,5-$K33)+MAX(0,5-$AA33)+IF($I33="Ambigua",2,0)+IF($J33="Posible",2,0))*2,1)))</x:f>
      </x:c>
      <x:c r="AJ33" s="38" t="str">
        <x:f>IF($A33="","",IF($AC33="BLOQUEADA",0,ROUND($AD33*Scoring_Weights!$C$2+$AE33*Scoring_Weights!$C$3+$AF33*Scoring_Weights!$C$4+$AG33*Scoring_Weights!$C$5+$AH33*Scoring_Weights!$C$6-$AI33*Scoring_Weights!$C$7,1)))</x:f>
      </x:c>
      <x:c r="AK33" s="36" t="str">
        <x:f>IF($AC33&lt;&gt;"ELEGIBLE","",COUNTIFS($AC$2:$AC$101,"ELEGIBLE",$AJ$2:$AJ$101,"&gt;"&amp;$AJ33)+COUNTIFS($AC$2:$AC33,"ELEGIBLE",$AJ$2:$AJ33,$AJ33))</x:f>
      </x:c>
      <x:c r="AL33" s="23" t="str">
        <x:f>IF($A33="","",IF($AC33="BLOQUEADA","No seleccionable",IF($AC33="REVISIÓN","Revisión previa",IF($AK33&lt;=8,"Primaria propuesta","Contexto / backlog"))))</x:f>
      </x:c>
      <x:c r="AM33" s="23" t="str">
        <x:f>IF($A33="","",IF(MAX($O33,$P33)&gt;=MAX($Q33,$R33,$T33,$U33,$W33),"Transformación/OLC",IF(MAX($Q33,$R33)&gt;=MAX($T33,$U33,$W33),"Handoff/Flujo",IF(MAX($T33,$U33,$V33,$W33)&gt;=3,"Capacidad/Compensación","Contexto/PM"))))</x:f>
      </x:c>
      <x:c r="AN33" s="23"/>
      <x:c r="AO33" s="23" t="str">
        <x:f>IF($A33="","",IF($AN33="Forzar primaria","Primaria forzada",IF($AN33="Excluir","Excluida",IF($AN33="Revisión","Revisión previa",$AL33))))</x:f>
      </x:c>
      <x:c r="AP33" s="23" t="str">
        <x:f>IF($A33="","",IF($AC33="BLOQUEADA","Gate duro",IF($AD33&gt;=MAX($AE33,$AF33,$AG33),"Potencial MMABP",IF($AE33&gt;=MAX($AD33,$AF33,$AG33),"Fricción/variedad",IF($AF33&gt;=MAX($AD33,$AE33,$AG33),"Cobertura","Evidencia/feasibilidad")))))</x:f>
      </x:c>
      <x:c r="AQ33" s="23" t="str">
        <x:f>IF($A33="","",IF(LEFT($AO33,8)="Primaria",IF($AE33&gt;=75,"40+20 probable",IF($AD33&gt;=75,"40 base + causales selectivas","40 base + probes mínimos")),"No abre Runtime profundo"))</x:f>
      </x:c>
      <x:c r="AR33" s="23" t="str">
        <x:f>IF($A33="","",IF($AC33="BLOQUEADA","Corregir WorkMap/B0 antes de selección",IF($AC33="REVISIÓN","Microconfirmación B0 o resolución semántica",IF($AO33="Contexto / backlog","Conservar como contexto total","Enviar a Runtime"))))</x:f>
      </x:c>
      <x:c r="AS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  <x:c r="AA34" s="36"/>
      <x:c r="AB34" s="36"/>
      <x:c r="AC34" s="23" t="str">
        <x:f>IF($A34="","",IF(OR($G34&lt;&gt;"Sí",$H34&lt;&gt;"Sí",$I34&lt;&gt;"Correcta",$J34="Sí",$K34&lt;2),"BLOQUEADA",IF(OR($J34="Posible",$K34&lt;3,$L34&lt;2),"REVISIÓN","ELEGIBLE")))</x:f>
      </x:c>
      <x:c r="AD34" s="38" t="str">
        <x:f>IF($A34="","",IF($AC34="BLOQUEADA",0,ROUND(($L34*Scoring_Weights!$C$9+$M34*Scoring_Weights!$C$10+$N34*Scoring_Weights!$C$11+$O34*Scoring_Weights!$C$12+$P34*Scoring_Weights!$C$13+$Q34*Scoring_Weights!$C$14+$R34*Scoring_Weights!$C$15+$X34*Scoring_Weights!$C$16+$AB34*Scoring_Weights!$C$17)*20,1)))</x:f>
      </x:c>
      <x:c r="AE34" s="38" t="str">
        <x:f>IF($A34="","",IF($AC34="BLOQUEADA",0,ROUND(($Q34*Scoring_Weights!$C$19+$R34*Scoring_Weights!$C$20+$S34*Scoring_Weights!$C$21+$T34*Scoring_Weights!$C$22+$U34*Scoring_Weights!$C$23+$V34*Scoring_Weights!$C$24+$W34*Scoring_Weights!$C$25)*20,1)))</x:f>
      </x:c>
      <x:c r="AF34" s="38" t="str">
        <x:f>IF($A34="","",IF($AC34="BLOQUEADA",0,ROUND(($Z34*Scoring_Weights!$C$27+$Y34*Scoring_Weights!$C$28+$X34*Scoring_Weights!$C$29)*20,1)))</x:f>
      </x:c>
      <x:c r="AG34" s="38" t="str">
        <x:f>IF($A34="","",IF($AC34="BLOQUEADA",0,ROUND(($AA34*Scoring_Weights!$C$31+$AB34*Scoring_Weights!$C$32+$K34*Scoring_Weights!$C$33)*20,1)))</x:f>
      </x:c>
      <x:c r="AH34" s="38" t="str">
        <x:f>IF($A34="","",IF($AC34="BLOQUEADA",0,MIN(10,IF(OR($O34&gt;=4,$P34&gt;=4),2,0)+IF($Q34&gt;=4,2,0)+IF($R34&gt;=4,2,0)+IF($U34&gt;=4,2,0)+IF($T34&gt;=4,1,0)+IF($V34&gt;=4,1,0))))</x:f>
      </x:c>
      <x:c r="AI34" s="38" t="str">
        <x:f>IF($A34="","",IF($AC34="BLOQUEADA",0,ROUND((MAX(0,5-$K34)+MAX(0,5-$AA34)+IF($I34="Ambigua",2,0)+IF($J34="Posible",2,0))*2,1)))</x:f>
      </x:c>
      <x:c r="AJ34" s="38" t="str">
        <x:f>IF($A34="","",IF($AC34="BLOQUEADA",0,ROUND($AD34*Scoring_Weights!$C$2+$AE34*Scoring_Weights!$C$3+$AF34*Scoring_Weights!$C$4+$AG34*Scoring_Weights!$C$5+$AH34*Scoring_Weights!$C$6-$AI34*Scoring_Weights!$C$7,1)))</x:f>
      </x:c>
      <x:c r="AK34" s="36" t="str">
        <x:f>IF($AC34&lt;&gt;"ELEGIBLE","",COUNTIFS($AC$2:$AC$101,"ELEGIBLE",$AJ$2:$AJ$101,"&gt;"&amp;$AJ34)+COUNTIFS($AC$2:$AC34,"ELEGIBLE",$AJ$2:$AJ34,$AJ34))</x:f>
      </x:c>
      <x:c r="AL34" s="23" t="str">
        <x:f>IF($A34="","",IF($AC34="BLOQUEADA","No seleccionable",IF($AC34="REVISIÓN","Revisión previa",IF($AK34&lt;=8,"Primaria propuesta","Contexto / backlog"))))</x:f>
      </x:c>
      <x:c r="AM34" s="23" t="str">
        <x:f>IF($A34="","",IF(MAX($O34,$P34)&gt;=MAX($Q34,$R34,$T34,$U34,$W34),"Transformación/OLC",IF(MAX($Q34,$R34)&gt;=MAX($T34,$U34,$W34),"Handoff/Flujo",IF(MAX($T34,$U34,$V34,$W34)&gt;=3,"Capacidad/Compensación","Contexto/PM"))))</x:f>
      </x:c>
      <x:c r="AN34" s="23"/>
      <x:c r="AO34" s="23" t="str">
        <x:f>IF($A34="","",IF($AN34="Forzar primaria","Primaria forzada",IF($AN34="Excluir","Excluida",IF($AN34="Revisión","Revisión previa",$AL34))))</x:f>
      </x:c>
      <x:c r="AP34" s="23" t="str">
        <x:f>IF($A34="","",IF($AC34="BLOQUEADA","Gate duro",IF($AD34&gt;=MAX($AE34,$AF34,$AG34),"Potencial MMABP",IF($AE34&gt;=MAX($AD34,$AF34,$AG34),"Fricción/variedad",IF($AF34&gt;=MAX($AD34,$AE34,$AG34),"Cobertura","Evidencia/feasibilidad")))))</x:f>
      </x:c>
      <x:c r="AQ34" s="23" t="str">
        <x:f>IF($A34="","",IF(LEFT($AO34,8)="Primaria",IF($AE34&gt;=75,"40+20 probable",IF($AD34&gt;=75,"40 base + causales selectivas","40 base + probes mínimos")),"No abre Runtime profundo"))</x:f>
      </x:c>
      <x:c r="AR34" s="23" t="str">
        <x:f>IF($A34="","",IF($AC34="BLOQUEADA","Corregir WorkMap/B0 antes de selección",IF($AC34="REVISIÓN","Microconfirmación B0 o resolución semántica",IF($AO34="Contexto / backlog","Conservar como contexto total","Enviar a Runtime"))))</x:f>
      </x:c>
      <x:c r="AS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  <x:c r="AA35" s="36"/>
      <x:c r="AB35" s="36"/>
      <x:c r="AC35" s="23" t="str">
        <x:f>IF($A35="","",IF(OR($G35&lt;&gt;"Sí",$H35&lt;&gt;"Sí",$I35&lt;&gt;"Correcta",$J35="Sí",$K35&lt;2),"BLOQUEADA",IF(OR($J35="Posible",$K35&lt;3,$L35&lt;2),"REVISIÓN","ELEGIBLE")))</x:f>
      </x:c>
      <x:c r="AD35" s="38" t="str">
        <x:f>IF($A35="","",IF($AC35="BLOQUEADA",0,ROUND(($L35*Scoring_Weights!$C$9+$M35*Scoring_Weights!$C$10+$N35*Scoring_Weights!$C$11+$O35*Scoring_Weights!$C$12+$P35*Scoring_Weights!$C$13+$Q35*Scoring_Weights!$C$14+$R35*Scoring_Weights!$C$15+$X35*Scoring_Weights!$C$16+$AB35*Scoring_Weights!$C$17)*20,1)))</x:f>
      </x:c>
      <x:c r="AE35" s="38" t="str">
        <x:f>IF($A35="","",IF($AC35="BLOQUEADA",0,ROUND(($Q35*Scoring_Weights!$C$19+$R35*Scoring_Weights!$C$20+$S35*Scoring_Weights!$C$21+$T35*Scoring_Weights!$C$22+$U35*Scoring_Weights!$C$23+$V35*Scoring_Weights!$C$24+$W35*Scoring_Weights!$C$25)*20,1)))</x:f>
      </x:c>
      <x:c r="AF35" s="38" t="str">
        <x:f>IF($A35="","",IF($AC35="BLOQUEADA",0,ROUND(($Z35*Scoring_Weights!$C$27+$Y35*Scoring_Weights!$C$28+$X35*Scoring_Weights!$C$29)*20,1)))</x:f>
      </x:c>
      <x:c r="AG35" s="38" t="str">
        <x:f>IF($A35="","",IF($AC35="BLOQUEADA",0,ROUND(($AA35*Scoring_Weights!$C$31+$AB35*Scoring_Weights!$C$32+$K35*Scoring_Weights!$C$33)*20,1)))</x:f>
      </x:c>
      <x:c r="AH35" s="38" t="str">
        <x:f>IF($A35="","",IF($AC35="BLOQUEADA",0,MIN(10,IF(OR($O35&gt;=4,$P35&gt;=4),2,0)+IF($Q35&gt;=4,2,0)+IF($R35&gt;=4,2,0)+IF($U35&gt;=4,2,0)+IF($T35&gt;=4,1,0)+IF($V35&gt;=4,1,0))))</x:f>
      </x:c>
      <x:c r="AI35" s="38" t="str">
        <x:f>IF($A35="","",IF($AC35="BLOQUEADA",0,ROUND((MAX(0,5-$K35)+MAX(0,5-$AA35)+IF($I35="Ambigua",2,0)+IF($J35="Posible",2,0))*2,1)))</x:f>
      </x:c>
      <x:c r="AJ35" s="38" t="str">
        <x:f>IF($A35="","",IF($AC35="BLOQUEADA",0,ROUND($AD35*Scoring_Weights!$C$2+$AE35*Scoring_Weights!$C$3+$AF35*Scoring_Weights!$C$4+$AG35*Scoring_Weights!$C$5+$AH35*Scoring_Weights!$C$6-$AI35*Scoring_Weights!$C$7,1)))</x:f>
      </x:c>
      <x:c r="AK35" s="36" t="str">
        <x:f>IF($AC35&lt;&gt;"ELEGIBLE","",COUNTIFS($AC$2:$AC$101,"ELEGIBLE",$AJ$2:$AJ$101,"&gt;"&amp;$AJ35)+COUNTIFS($AC$2:$AC35,"ELEGIBLE",$AJ$2:$AJ35,$AJ35))</x:f>
      </x:c>
      <x:c r="AL35" s="23" t="str">
        <x:f>IF($A35="","",IF($AC35="BLOQUEADA","No seleccionable",IF($AC35="REVISIÓN","Revisión previa",IF($AK35&lt;=8,"Primaria propuesta","Contexto / backlog"))))</x:f>
      </x:c>
      <x:c r="AM35" s="23" t="str">
        <x:f>IF($A35="","",IF(MAX($O35,$P35)&gt;=MAX($Q35,$R35,$T35,$U35,$W35),"Transformación/OLC",IF(MAX($Q35,$R35)&gt;=MAX($T35,$U35,$W35),"Handoff/Flujo",IF(MAX($T35,$U35,$V35,$W35)&gt;=3,"Capacidad/Compensación","Contexto/PM"))))</x:f>
      </x:c>
      <x:c r="AN35" s="23"/>
      <x:c r="AO35" s="23" t="str">
        <x:f>IF($A35="","",IF($AN35="Forzar primaria","Primaria forzada",IF($AN35="Excluir","Excluida",IF($AN35="Revisión","Revisión previa",$AL35))))</x:f>
      </x:c>
      <x:c r="AP35" s="23" t="str">
        <x:f>IF($A35="","",IF($AC35="BLOQUEADA","Gate duro",IF($AD35&gt;=MAX($AE35,$AF35,$AG35),"Potencial MMABP",IF($AE35&gt;=MAX($AD35,$AF35,$AG35),"Fricción/variedad",IF($AF35&gt;=MAX($AD35,$AE35,$AG35),"Cobertura","Evidencia/feasibilidad")))))</x:f>
      </x:c>
      <x:c r="AQ35" s="23" t="str">
        <x:f>IF($A35="","",IF(LEFT($AO35,8)="Primaria",IF($AE35&gt;=75,"40+20 probable",IF($AD35&gt;=75,"40 base + causales selectivas","40 base + probes mínimos")),"No abre Runtime profundo"))</x:f>
      </x:c>
      <x:c r="AR35" s="23" t="str">
        <x:f>IF($A35="","",IF($AC35="BLOQUEADA","Corregir WorkMap/B0 antes de selección",IF($AC35="REVISIÓN","Microconfirmación B0 o resolución semántica",IF($AO35="Contexto / backlog","Conservar como contexto total","Enviar a Runtime"))))</x:f>
      </x:c>
      <x:c r="AS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  <x:c r="AA36" s="36"/>
      <x:c r="AB36" s="36"/>
      <x:c r="AC36" s="23" t="str">
        <x:f>IF($A36="","",IF(OR($G36&lt;&gt;"Sí",$H36&lt;&gt;"Sí",$I36&lt;&gt;"Correcta",$J36="Sí",$K36&lt;2),"BLOQUEADA",IF(OR($J36="Posible",$K36&lt;3,$L36&lt;2),"REVISIÓN","ELEGIBLE")))</x:f>
      </x:c>
      <x:c r="AD36" s="38" t="str">
        <x:f>IF($A36="","",IF($AC36="BLOQUEADA",0,ROUND(($L36*Scoring_Weights!$C$9+$M36*Scoring_Weights!$C$10+$N36*Scoring_Weights!$C$11+$O36*Scoring_Weights!$C$12+$P36*Scoring_Weights!$C$13+$Q36*Scoring_Weights!$C$14+$R36*Scoring_Weights!$C$15+$X36*Scoring_Weights!$C$16+$AB36*Scoring_Weights!$C$17)*20,1)))</x:f>
      </x:c>
      <x:c r="AE36" s="38" t="str">
        <x:f>IF($A36="","",IF($AC36="BLOQUEADA",0,ROUND(($Q36*Scoring_Weights!$C$19+$R36*Scoring_Weights!$C$20+$S36*Scoring_Weights!$C$21+$T36*Scoring_Weights!$C$22+$U36*Scoring_Weights!$C$23+$V36*Scoring_Weights!$C$24+$W36*Scoring_Weights!$C$25)*20,1)))</x:f>
      </x:c>
      <x:c r="AF36" s="38" t="str">
        <x:f>IF($A36="","",IF($AC36="BLOQUEADA",0,ROUND(($Z36*Scoring_Weights!$C$27+$Y36*Scoring_Weights!$C$28+$X36*Scoring_Weights!$C$29)*20,1)))</x:f>
      </x:c>
      <x:c r="AG36" s="38" t="str">
        <x:f>IF($A36="","",IF($AC36="BLOQUEADA",0,ROUND(($AA36*Scoring_Weights!$C$31+$AB36*Scoring_Weights!$C$32+$K36*Scoring_Weights!$C$33)*20,1)))</x:f>
      </x:c>
      <x:c r="AH36" s="38" t="str">
        <x:f>IF($A36="","",IF($AC36="BLOQUEADA",0,MIN(10,IF(OR($O36&gt;=4,$P36&gt;=4),2,0)+IF($Q36&gt;=4,2,0)+IF($R36&gt;=4,2,0)+IF($U36&gt;=4,2,0)+IF($T36&gt;=4,1,0)+IF($V36&gt;=4,1,0))))</x:f>
      </x:c>
      <x:c r="AI36" s="38" t="str">
        <x:f>IF($A36="","",IF($AC36="BLOQUEADA",0,ROUND((MAX(0,5-$K36)+MAX(0,5-$AA36)+IF($I36="Ambigua",2,0)+IF($J36="Posible",2,0))*2,1)))</x:f>
      </x:c>
      <x:c r="AJ36" s="38" t="str">
        <x:f>IF($A36="","",IF($AC36="BLOQUEADA",0,ROUND($AD36*Scoring_Weights!$C$2+$AE36*Scoring_Weights!$C$3+$AF36*Scoring_Weights!$C$4+$AG36*Scoring_Weights!$C$5+$AH36*Scoring_Weights!$C$6-$AI36*Scoring_Weights!$C$7,1)))</x:f>
      </x:c>
      <x:c r="AK36" s="36" t="str">
        <x:f>IF($AC36&lt;&gt;"ELEGIBLE","",COUNTIFS($AC$2:$AC$101,"ELEGIBLE",$AJ$2:$AJ$101,"&gt;"&amp;$AJ36)+COUNTIFS($AC$2:$AC36,"ELEGIBLE",$AJ$2:$AJ36,$AJ36))</x:f>
      </x:c>
      <x:c r="AL36" s="23" t="str">
        <x:f>IF($A36="","",IF($AC36="BLOQUEADA","No seleccionable",IF($AC36="REVISIÓN","Revisión previa",IF($AK36&lt;=8,"Primaria propuesta","Contexto / backlog"))))</x:f>
      </x:c>
      <x:c r="AM36" s="23" t="str">
        <x:f>IF($A36="","",IF(MAX($O36,$P36)&gt;=MAX($Q36,$R36,$T36,$U36,$W36),"Transformación/OLC",IF(MAX($Q36,$R36)&gt;=MAX($T36,$U36,$W36),"Handoff/Flujo",IF(MAX($T36,$U36,$V36,$W36)&gt;=3,"Capacidad/Compensación","Contexto/PM"))))</x:f>
      </x:c>
      <x:c r="AN36" s="23"/>
      <x:c r="AO36" s="23" t="str">
        <x:f>IF($A36="","",IF($AN36="Forzar primaria","Primaria forzada",IF($AN36="Excluir","Excluida",IF($AN36="Revisión","Revisión previa",$AL36))))</x:f>
      </x:c>
      <x:c r="AP36" s="23" t="str">
        <x:f>IF($A36="","",IF($AC36="BLOQUEADA","Gate duro",IF($AD36&gt;=MAX($AE36,$AF36,$AG36),"Potencial MMABP",IF($AE36&gt;=MAX($AD36,$AF36,$AG36),"Fricción/variedad",IF($AF36&gt;=MAX($AD36,$AE36,$AG36),"Cobertura","Evidencia/feasibilidad")))))</x:f>
      </x:c>
      <x:c r="AQ36" s="23" t="str">
        <x:f>IF($A36="","",IF(LEFT($AO36,8)="Primaria",IF($AE36&gt;=75,"40+20 probable",IF($AD36&gt;=75,"40 base + causales selectivas","40 base + probes mínimos")),"No abre Runtime profundo"))</x:f>
      </x:c>
      <x:c r="AR36" s="23" t="str">
        <x:f>IF($A36="","",IF($AC36="BLOQUEADA","Corregir WorkMap/B0 antes de selección",IF($AC36="REVISIÓN","Microconfirmación B0 o resolución semántica",IF($AO36="Contexto / backlog","Conservar como contexto total","Enviar a Runtime"))))</x:f>
      </x:c>
      <x:c r="AS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  <x:c r="AA37" s="36"/>
      <x:c r="AB37" s="36"/>
      <x:c r="AC37" s="23" t="str">
        <x:f>IF($A37="","",IF(OR($G37&lt;&gt;"Sí",$H37&lt;&gt;"Sí",$I37&lt;&gt;"Correcta",$J37="Sí",$K37&lt;2),"BLOQUEADA",IF(OR($J37="Posible",$K37&lt;3,$L37&lt;2),"REVISIÓN","ELEGIBLE")))</x:f>
      </x:c>
      <x:c r="AD37" s="38" t="str">
        <x:f>IF($A37="","",IF($AC37="BLOQUEADA",0,ROUND(($L37*Scoring_Weights!$C$9+$M37*Scoring_Weights!$C$10+$N37*Scoring_Weights!$C$11+$O37*Scoring_Weights!$C$12+$P37*Scoring_Weights!$C$13+$Q37*Scoring_Weights!$C$14+$R37*Scoring_Weights!$C$15+$X37*Scoring_Weights!$C$16+$AB37*Scoring_Weights!$C$17)*20,1)))</x:f>
      </x:c>
      <x:c r="AE37" s="38" t="str">
        <x:f>IF($A37="","",IF($AC37="BLOQUEADA",0,ROUND(($Q37*Scoring_Weights!$C$19+$R37*Scoring_Weights!$C$20+$S37*Scoring_Weights!$C$21+$T37*Scoring_Weights!$C$22+$U37*Scoring_Weights!$C$23+$V37*Scoring_Weights!$C$24+$W37*Scoring_Weights!$C$25)*20,1)))</x:f>
      </x:c>
      <x:c r="AF37" s="38" t="str">
        <x:f>IF($A37="","",IF($AC37="BLOQUEADA",0,ROUND(($Z37*Scoring_Weights!$C$27+$Y37*Scoring_Weights!$C$28+$X37*Scoring_Weights!$C$29)*20,1)))</x:f>
      </x:c>
      <x:c r="AG37" s="38" t="str">
        <x:f>IF($A37="","",IF($AC37="BLOQUEADA",0,ROUND(($AA37*Scoring_Weights!$C$31+$AB37*Scoring_Weights!$C$32+$K37*Scoring_Weights!$C$33)*20,1)))</x:f>
      </x:c>
      <x:c r="AH37" s="38" t="str">
        <x:f>IF($A37="","",IF($AC37="BLOQUEADA",0,MIN(10,IF(OR($O37&gt;=4,$P37&gt;=4),2,0)+IF($Q37&gt;=4,2,0)+IF($R37&gt;=4,2,0)+IF($U37&gt;=4,2,0)+IF($T37&gt;=4,1,0)+IF($V37&gt;=4,1,0))))</x:f>
      </x:c>
      <x:c r="AI37" s="38" t="str">
        <x:f>IF($A37="","",IF($AC37="BLOQUEADA",0,ROUND((MAX(0,5-$K37)+MAX(0,5-$AA37)+IF($I37="Ambigua",2,0)+IF($J37="Posible",2,0))*2,1)))</x:f>
      </x:c>
      <x:c r="AJ37" s="38" t="str">
        <x:f>IF($A37="","",IF($AC37="BLOQUEADA",0,ROUND($AD37*Scoring_Weights!$C$2+$AE37*Scoring_Weights!$C$3+$AF37*Scoring_Weights!$C$4+$AG37*Scoring_Weights!$C$5+$AH37*Scoring_Weights!$C$6-$AI37*Scoring_Weights!$C$7,1)))</x:f>
      </x:c>
      <x:c r="AK37" s="36" t="str">
        <x:f>IF($AC37&lt;&gt;"ELEGIBLE","",COUNTIFS($AC$2:$AC$101,"ELEGIBLE",$AJ$2:$AJ$101,"&gt;"&amp;$AJ37)+COUNTIFS($AC$2:$AC37,"ELEGIBLE",$AJ$2:$AJ37,$AJ37))</x:f>
      </x:c>
      <x:c r="AL37" s="23" t="str">
        <x:f>IF($A37="","",IF($AC37="BLOQUEADA","No seleccionable",IF($AC37="REVISIÓN","Revisión previa",IF($AK37&lt;=8,"Primaria propuesta","Contexto / backlog"))))</x:f>
      </x:c>
      <x:c r="AM37" s="23" t="str">
        <x:f>IF($A37="","",IF(MAX($O37,$P37)&gt;=MAX($Q37,$R37,$T37,$U37,$W37),"Transformación/OLC",IF(MAX($Q37,$R37)&gt;=MAX($T37,$U37,$W37),"Handoff/Flujo",IF(MAX($T37,$U37,$V37,$W37)&gt;=3,"Capacidad/Compensación","Contexto/PM"))))</x:f>
      </x:c>
      <x:c r="AN37" s="23"/>
      <x:c r="AO37" s="23" t="str">
        <x:f>IF($A37="","",IF($AN37="Forzar primaria","Primaria forzada",IF($AN37="Excluir","Excluida",IF($AN37="Revisión","Revisión previa",$AL37))))</x:f>
      </x:c>
      <x:c r="AP37" s="23" t="str">
        <x:f>IF($A37="","",IF($AC37="BLOQUEADA","Gate duro",IF($AD37&gt;=MAX($AE37,$AF37,$AG37),"Potencial MMABP",IF($AE37&gt;=MAX($AD37,$AF37,$AG37),"Fricción/variedad",IF($AF37&gt;=MAX($AD37,$AE37,$AG37),"Cobertura","Evidencia/feasibilidad")))))</x:f>
      </x:c>
      <x:c r="AQ37" s="23" t="str">
        <x:f>IF($A37="","",IF(LEFT($AO37,8)="Primaria",IF($AE37&gt;=75,"40+20 probable",IF($AD37&gt;=75,"40 base + causales selectivas","40 base + probes mínimos")),"No abre Runtime profundo"))</x:f>
      </x:c>
      <x:c r="AR37" s="23" t="str">
        <x:f>IF($A37="","",IF($AC37="BLOQUEADA","Corregir WorkMap/B0 antes de selección",IF($AC37="REVISIÓN","Microconfirmación B0 o resolución semántica",IF($AO37="Contexto / backlog","Conservar como contexto total","Enviar a Runtime"))))</x:f>
      </x:c>
      <x:c r="AS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36"/>
      <x:c r="AC38" s="23" t="str">
        <x:f>IF($A38="","",IF(OR($G38&lt;&gt;"Sí",$H38&lt;&gt;"Sí",$I38&lt;&gt;"Correcta",$J38="Sí",$K38&lt;2),"BLOQUEADA",IF(OR($J38="Posible",$K38&lt;3,$L38&lt;2),"REVISIÓN","ELEGIBLE")))</x:f>
      </x:c>
      <x:c r="AD38" s="38" t="str">
        <x:f>IF($A38="","",IF($AC38="BLOQUEADA",0,ROUND(($L38*Scoring_Weights!$C$9+$M38*Scoring_Weights!$C$10+$N38*Scoring_Weights!$C$11+$O38*Scoring_Weights!$C$12+$P38*Scoring_Weights!$C$13+$Q38*Scoring_Weights!$C$14+$R38*Scoring_Weights!$C$15+$X38*Scoring_Weights!$C$16+$AB38*Scoring_Weights!$C$17)*20,1)))</x:f>
      </x:c>
      <x:c r="AE38" s="38" t="str">
        <x:f>IF($A38="","",IF($AC38="BLOQUEADA",0,ROUND(($Q38*Scoring_Weights!$C$19+$R38*Scoring_Weights!$C$20+$S38*Scoring_Weights!$C$21+$T38*Scoring_Weights!$C$22+$U38*Scoring_Weights!$C$23+$V38*Scoring_Weights!$C$24+$W38*Scoring_Weights!$C$25)*20,1)))</x:f>
      </x:c>
      <x:c r="AF38" s="38" t="str">
        <x:f>IF($A38="","",IF($AC38="BLOQUEADA",0,ROUND(($Z38*Scoring_Weights!$C$27+$Y38*Scoring_Weights!$C$28+$X38*Scoring_Weights!$C$29)*20,1)))</x:f>
      </x:c>
      <x:c r="AG38" s="38" t="str">
        <x:f>IF($A38="","",IF($AC38="BLOQUEADA",0,ROUND(($AA38*Scoring_Weights!$C$31+$AB38*Scoring_Weights!$C$32+$K38*Scoring_Weights!$C$33)*20,1)))</x:f>
      </x:c>
      <x:c r="AH38" s="38" t="str">
        <x:f>IF($A38="","",IF($AC38="BLOQUEADA",0,MIN(10,IF(OR($O38&gt;=4,$P38&gt;=4),2,0)+IF($Q38&gt;=4,2,0)+IF($R38&gt;=4,2,0)+IF($U38&gt;=4,2,0)+IF($T38&gt;=4,1,0)+IF($V38&gt;=4,1,0))))</x:f>
      </x:c>
      <x:c r="AI38" s="38" t="str">
        <x:f>IF($A38="","",IF($AC38="BLOQUEADA",0,ROUND((MAX(0,5-$K38)+MAX(0,5-$AA38)+IF($I38="Ambigua",2,0)+IF($J38="Posible",2,0))*2,1)))</x:f>
      </x:c>
      <x:c r="AJ38" s="38" t="str">
        <x:f>IF($A38="","",IF($AC38="BLOQUEADA",0,ROUND($AD38*Scoring_Weights!$C$2+$AE38*Scoring_Weights!$C$3+$AF38*Scoring_Weights!$C$4+$AG38*Scoring_Weights!$C$5+$AH38*Scoring_Weights!$C$6-$AI38*Scoring_Weights!$C$7,1)))</x:f>
      </x:c>
      <x:c r="AK38" s="36" t="str">
        <x:f>IF($AC38&lt;&gt;"ELEGIBLE","",COUNTIFS($AC$2:$AC$101,"ELEGIBLE",$AJ$2:$AJ$101,"&gt;"&amp;$AJ38)+COUNTIFS($AC$2:$AC38,"ELEGIBLE",$AJ$2:$AJ38,$AJ38))</x:f>
      </x:c>
      <x:c r="AL38" s="23" t="str">
        <x:f>IF($A38="","",IF($AC38="BLOQUEADA","No seleccionable",IF($AC38="REVISIÓN","Revisión previa",IF($AK38&lt;=8,"Primaria propuesta","Contexto / backlog"))))</x:f>
      </x:c>
      <x:c r="AM38" s="23" t="str">
        <x:f>IF($A38="","",IF(MAX($O38,$P38)&gt;=MAX($Q38,$R38,$T38,$U38,$W38),"Transformación/OLC",IF(MAX($Q38,$R38)&gt;=MAX($T38,$U38,$W38),"Handoff/Flujo",IF(MAX($T38,$U38,$V38,$W38)&gt;=3,"Capacidad/Compensación","Contexto/PM"))))</x:f>
      </x:c>
      <x:c r="AN38" s="23"/>
      <x:c r="AO38" s="23" t="str">
        <x:f>IF($A38="","",IF($AN38="Forzar primaria","Primaria forzada",IF($AN38="Excluir","Excluida",IF($AN38="Revisión","Revisión previa",$AL38))))</x:f>
      </x:c>
      <x:c r="AP38" s="23" t="str">
        <x:f>IF($A38="","",IF($AC38="BLOQUEADA","Gate duro",IF($AD38&gt;=MAX($AE38,$AF38,$AG38),"Potencial MMABP",IF($AE38&gt;=MAX($AD38,$AF38,$AG38),"Fricción/variedad",IF($AF38&gt;=MAX($AD38,$AE38,$AG38),"Cobertura","Evidencia/feasibilidad")))))</x:f>
      </x:c>
      <x:c r="AQ38" s="23" t="str">
        <x:f>IF($A38="","",IF(LEFT($AO38,8)="Primaria",IF($AE38&gt;=75,"40+20 probable",IF($AD38&gt;=75,"40 base + causales selectivas","40 base + probes mínimos")),"No abre Runtime profundo"))</x:f>
      </x:c>
      <x:c r="AR38" s="23" t="str">
        <x:f>IF($A38="","",IF($AC38="BLOQUEADA","Corregir WorkMap/B0 antes de selección",IF($AC38="REVISIÓN","Microconfirmación B0 o resolución semántica",IF($AO38="Contexto / backlog","Conservar como contexto total","Enviar a Runtime"))))</x:f>
      </x:c>
      <x:c r="AS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  <x:c r="AA39" s="36"/>
      <x:c r="AB39" s="36"/>
      <x:c r="AC39" s="23" t="str">
        <x:f>IF($A39="","",IF(OR($G39&lt;&gt;"Sí",$H39&lt;&gt;"Sí",$I39&lt;&gt;"Correcta",$J39="Sí",$K39&lt;2),"BLOQUEADA",IF(OR($J39="Posible",$K39&lt;3,$L39&lt;2),"REVISIÓN","ELEGIBLE")))</x:f>
      </x:c>
      <x:c r="AD39" s="38" t="str">
        <x:f>IF($A39="","",IF($AC39="BLOQUEADA",0,ROUND(($L39*Scoring_Weights!$C$9+$M39*Scoring_Weights!$C$10+$N39*Scoring_Weights!$C$11+$O39*Scoring_Weights!$C$12+$P39*Scoring_Weights!$C$13+$Q39*Scoring_Weights!$C$14+$R39*Scoring_Weights!$C$15+$X39*Scoring_Weights!$C$16+$AB39*Scoring_Weights!$C$17)*20,1)))</x:f>
      </x:c>
      <x:c r="AE39" s="38" t="str">
        <x:f>IF($A39="","",IF($AC39="BLOQUEADA",0,ROUND(($Q39*Scoring_Weights!$C$19+$R39*Scoring_Weights!$C$20+$S39*Scoring_Weights!$C$21+$T39*Scoring_Weights!$C$22+$U39*Scoring_Weights!$C$23+$V39*Scoring_Weights!$C$24+$W39*Scoring_Weights!$C$25)*20,1)))</x:f>
      </x:c>
      <x:c r="AF39" s="38" t="str">
        <x:f>IF($A39="","",IF($AC39="BLOQUEADA",0,ROUND(($Z39*Scoring_Weights!$C$27+$Y39*Scoring_Weights!$C$28+$X39*Scoring_Weights!$C$29)*20,1)))</x:f>
      </x:c>
      <x:c r="AG39" s="38" t="str">
        <x:f>IF($A39="","",IF($AC39="BLOQUEADA",0,ROUND(($AA39*Scoring_Weights!$C$31+$AB39*Scoring_Weights!$C$32+$K39*Scoring_Weights!$C$33)*20,1)))</x:f>
      </x:c>
      <x:c r="AH39" s="38" t="str">
        <x:f>IF($A39="","",IF($AC39="BLOQUEADA",0,MIN(10,IF(OR($O39&gt;=4,$P39&gt;=4),2,0)+IF($Q39&gt;=4,2,0)+IF($R39&gt;=4,2,0)+IF($U39&gt;=4,2,0)+IF($T39&gt;=4,1,0)+IF($V39&gt;=4,1,0))))</x:f>
      </x:c>
      <x:c r="AI39" s="38" t="str">
        <x:f>IF($A39="","",IF($AC39="BLOQUEADA",0,ROUND((MAX(0,5-$K39)+MAX(0,5-$AA39)+IF($I39="Ambigua",2,0)+IF($J39="Posible",2,0))*2,1)))</x:f>
      </x:c>
      <x:c r="AJ39" s="38" t="str">
        <x:f>IF($A39="","",IF($AC39="BLOQUEADA",0,ROUND($AD39*Scoring_Weights!$C$2+$AE39*Scoring_Weights!$C$3+$AF39*Scoring_Weights!$C$4+$AG39*Scoring_Weights!$C$5+$AH39*Scoring_Weights!$C$6-$AI39*Scoring_Weights!$C$7,1)))</x:f>
      </x:c>
      <x:c r="AK39" s="36" t="str">
        <x:f>IF($AC39&lt;&gt;"ELEGIBLE","",COUNTIFS($AC$2:$AC$101,"ELEGIBLE",$AJ$2:$AJ$101,"&gt;"&amp;$AJ39)+COUNTIFS($AC$2:$AC39,"ELEGIBLE",$AJ$2:$AJ39,$AJ39))</x:f>
      </x:c>
      <x:c r="AL39" s="23" t="str">
        <x:f>IF($A39="","",IF($AC39="BLOQUEADA","No seleccionable",IF($AC39="REVISIÓN","Revisión previa",IF($AK39&lt;=8,"Primaria propuesta","Contexto / backlog"))))</x:f>
      </x:c>
      <x:c r="AM39" s="23" t="str">
        <x:f>IF($A39="","",IF(MAX($O39,$P39)&gt;=MAX($Q39,$R39,$T39,$U39,$W39),"Transformación/OLC",IF(MAX($Q39,$R39)&gt;=MAX($T39,$U39,$W39),"Handoff/Flujo",IF(MAX($T39,$U39,$V39,$W39)&gt;=3,"Capacidad/Compensación","Contexto/PM"))))</x:f>
      </x:c>
      <x:c r="AN39" s="23"/>
      <x:c r="AO39" s="23" t="str">
        <x:f>IF($A39="","",IF($AN39="Forzar primaria","Primaria forzada",IF($AN39="Excluir","Excluida",IF($AN39="Revisión","Revisión previa",$AL39))))</x:f>
      </x:c>
      <x:c r="AP39" s="23" t="str">
        <x:f>IF($A39="","",IF($AC39="BLOQUEADA","Gate duro",IF($AD39&gt;=MAX($AE39,$AF39,$AG39),"Potencial MMABP",IF($AE39&gt;=MAX($AD39,$AF39,$AG39),"Fricción/variedad",IF($AF39&gt;=MAX($AD39,$AE39,$AG39),"Cobertura","Evidencia/feasibilidad")))))</x:f>
      </x:c>
      <x:c r="AQ39" s="23" t="str">
        <x:f>IF($A39="","",IF(LEFT($AO39,8)="Primaria",IF($AE39&gt;=75,"40+20 probable",IF($AD39&gt;=75,"40 base + causales selectivas","40 base + probes mínimos")),"No abre Runtime profundo"))</x:f>
      </x:c>
      <x:c r="AR39" s="23" t="str">
        <x:f>IF($A39="","",IF($AC39="BLOQUEADA","Corregir WorkMap/B0 antes de selección",IF($AC39="REVISIÓN","Microconfirmación B0 o resolución semántica",IF($AO39="Contexto / backlog","Conservar como contexto total","Enviar a Runtime"))))</x:f>
      </x:c>
      <x:c r="AS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  <x:c r="AA40" s="36"/>
      <x:c r="AB40" s="36"/>
      <x:c r="AC40" s="23" t="str">
        <x:f>IF($A40="","",IF(OR($G40&lt;&gt;"Sí",$H40&lt;&gt;"Sí",$I40&lt;&gt;"Correcta",$J40="Sí",$K40&lt;2),"BLOQUEADA",IF(OR($J40="Posible",$K40&lt;3,$L40&lt;2),"REVISIÓN","ELEGIBLE")))</x:f>
      </x:c>
      <x:c r="AD40" s="38" t="str">
        <x:f>IF($A40="","",IF($AC40="BLOQUEADA",0,ROUND(($L40*Scoring_Weights!$C$9+$M40*Scoring_Weights!$C$10+$N40*Scoring_Weights!$C$11+$O40*Scoring_Weights!$C$12+$P40*Scoring_Weights!$C$13+$Q40*Scoring_Weights!$C$14+$R40*Scoring_Weights!$C$15+$X40*Scoring_Weights!$C$16+$AB40*Scoring_Weights!$C$17)*20,1)))</x:f>
      </x:c>
      <x:c r="AE40" s="38" t="str">
        <x:f>IF($A40="","",IF($AC40="BLOQUEADA",0,ROUND(($Q40*Scoring_Weights!$C$19+$R40*Scoring_Weights!$C$20+$S40*Scoring_Weights!$C$21+$T40*Scoring_Weights!$C$22+$U40*Scoring_Weights!$C$23+$V40*Scoring_Weights!$C$24+$W40*Scoring_Weights!$C$25)*20,1)))</x:f>
      </x:c>
      <x:c r="AF40" s="38" t="str">
        <x:f>IF($A40="","",IF($AC40="BLOQUEADA",0,ROUND(($Z40*Scoring_Weights!$C$27+$Y40*Scoring_Weights!$C$28+$X40*Scoring_Weights!$C$29)*20,1)))</x:f>
      </x:c>
      <x:c r="AG40" s="38" t="str">
        <x:f>IF($A40="","",IF($AC40="BLOQUEADA",0,ROUND(($AA40*Scoring_Weights!$C$31+$AB40*Scoring_Weights!$C$32+$K40*Scoring_Weights!$C$33)*20,1)))</x:f>
      </x:c>
      <x:c r="AH40" s="38" t="str">
        <x:f>IF($A40="","",IF($AC40="BLOQUEADA",0,MIN(10,IF(OR($O40&gt;=4,$P40&gt;=4),2,0)+IF($Q40&gt;=4,2,0)+IF($R40&gt;=4,2,0)+IF($U40&gt;=4,2,0)+IF($T40&gt;=4,1,0)+IF($V40&gt;=4,1,0))))</x:f>
      </x:c>
      <x:c r="AI40" s="38" t="str">
        <x:f>IF($A40="","",IF($AC40="BLOQUEADA",0,ROUND((MAX(0,5-$K40)+MAX(0,5-$AA40)+IF($I40="Ambigua",2,0)+IF($J40="Posible",2,0))*2,1)))</x:f>
      </x:c>
      <x:c r="AJ40" s="38" t="str">
        <x:f>IF($A40="","",IF($AC40="BLOQUEADA",0,ROUND($AD40*Scoring_Weights!$C$2+$AE40*Scoring_Weights!$C$3+$AF40*Scoring_Weights!$C$4+$AG40*Scoring_Weights!$C$5+$AH40*Scoring_Weights!$C$6-$AI40*Scoring_Weights!$C$7,1)))</x:f>
      </x:c>
      <x:c r="AK40" s="36" t="str">
        <x:f>IF($AC40&lt;&gt;"ELEGIBLE","",COUNTIFS($AC$2:$AC$101,"ELEGIBLE",$AJ$2:$AJ$101,"&gt;"&amp;$AJ40)+COUNTIFS($AC$2:$AC40,"ELEGIBLE",$AJ$2:$AJ40,$AJ40))</x:f>
      </x:c>
      <x:c r="AL40" s="23" t="str">
        <x:f>IF($A40="","",IF($AC40="BLOQUEADA","No seleccionable",IF($AC40="REVISIÓN","Revisión previa",IF($AK40&lt;=8,"Primaria propuesta","Contexto / backlog"))))</x:f>
      </x:c>
      <x:c r="AM40" s="23" t="str">
        <x:f>IF($A40="","",IF(MAX($O40,$P40)&gt;=MAX($Q40,$R40,$T40,$U40,$W40),"Transformación/OLC",IF(MAX($Q40,$R40)&gt;=MAX($T40,$U40,$W40),"Handoff/Flujo",IF(MAX($T40,$U40,$V40,$W40)&gt;=3,"Capacidad/Compensación","Contexto/PM"))))</x:f>
      </x:c>
      <x:c r="AN40" s="23"/>
      <x:c r="AO40" s="23" t="str">
        <x:f>IF($A40="","",IF($AN40="Forzar primaria","Primaria forzada",IF($AN40="Excluir","Excluida",IF($AN40="Revisión","Revisión previa",$AL40))))</x:f>
      </x:c>
      <x:c r="AP40" s="23" t="str">
        <x:f>IF($A40="","",IF($AC40="BLOQUEADA","Gate duro",IF($AD40&gt;=MAX($AE40,$AF40,$AG40),"Potencial MMABP",IF($AE40&gt;=MAX($AD40,$AF40,$AG40),"Fricción/variedad",IF($AF40&gt;=MAX($AD40,$AE40,$AG40),"Cobertura","Evidencia/feasibilidad")))))</x:f>
      </x:c>
      <x:c r="AQ40" s="23" t="str">
        <x:f>IF($A40="","",IF(LEFT($AO40,8)="Primaria",IF($AE40&gt;=75,"40+20 probable",IF($AD40&gt;=75,"40 base + causales selectivas","40 base + probes mínimos")),"No abre Runtime profundo"))</x:f>
      </x:c>
      <x:c r="AR40" s="23" t="str">
        <x:f>IF($A40="","",IF($AC40="BLOQUEADA","Corregir WorkMap/B0 antes de selección",IF($AC40="REVISIÓN","Microconfirmación B0 o resolución semántica",IF($AO40="Contexto / backlog","Conservar como contexto total","Enviar a Runtime"))))</x:f>
      </x:c>
      <x:c r="AS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  <x:c r="AA41" s="36"/>
      <x:c r="AB41" s="36"/>
      <x:c r="AC41" s="23" t="str">
        <x:f>IF($A41="","",IF(OR($G41&lt;&gt;"Sí",$H41&lt;&gt;"Sí",$I41&lt;&gt;"Correcta",$J41="Sí",$K41&lt;2),"BLOQUEADA",IF(OR($J41="Posible",$K41&lt;3,$L41&lt;2),"REVISIÓN","ELEGIBLE")))</x:f>
      </x:c>
      <x:c r="AD41" s="38" t="str">
        <x:f>IF($A41="","",IF($AC41="BLOQUEADA",0,ROUND(($L41*Scoring_Weights!$C$9+$M41*Scoring_Weights!$C$10+$N41*Scoring_Weights!$C$11+$O41*Scoring_Weights!$C$12+$P41*Scoring_Weights!$C$13+$Q41*Scoring_Weights!$C$14+$R41*Scoring_Weights!$C$15+$X41*Scoring_Weights!$C$16+$AB41*Scoring_Weights!$C$17)*20,1)))</x:f>
      </x:c>
      <x:c r="AE41" s="38" t="str">
        <x:f>IF($A41="","",IF($AC41="BLOQUEADA",0,ROUND(($Q41*Scoring_Weights!$C$19+$R41*Scoring_Weights!$C$20+$S41*Scoring_Weights!$C$21+$T41*Scoring_Weights!$C$22+$U41*Scoring_Weights!$C$23+$V41*Scoring_Weights!$C$24+$W41*Scoring_Weights!$C$25)*20,1)))</x:f>
      </x:c>
      <x:c r="AF41" s="38" t="str">
        <x:f>IF($A41="","",IF($AC41="BLOQUEADA",0,ROUND(($Z41*Scoring_Weights!$C$27+$Y41*Scoring_Weights!$C$28+$X41*Scoring_Weights!$C$29)*20,1)))</x:f>
      </x:c>
      <x:c r="AG41" s="38" t="str">
        <x:f>IF($A41="","",IF($AC41="BLOQUEADA",0,ROUND(($AA41*Scoring_Weights!$C$31+$AB41*Scoring_Weights!$C$32+$K41*Scoring_Weights!$C$33)*20,1)))</x:f>
      </x:c>
      <x:c r="AH41" s="38" t="str">
        <x:f>IF($A41="","",IF($AC41="BLOQUEADA",0,MIN(10,IF(OR($O41&gt;=4,$P41&gt;=4),2,0)+IF($Q41&gt;=4,2,0)+IF($R41&gt;=4,2,0)+IF($U41&gt;=4,2,0)+IF($T41&gt;=4,1,0)+IF($V41&gt;=4,1,0))))</x:f>
      </x:c>
      <x:c r="AI41" s="38" t="str">
        <x:f>IF($A41="","",IF($AC41="BLOQUEADA",0,ROUND((MAX(0,5-$K41)+MAX(0,5-$AA41)+IF($I41="Ambigua",2,0)+IF($J41="Posible",2,0))*2,1)))</x:f>
      </x:c>
      <x:c r="AJ41" s="38" t="str">
        <x:f>IF($A41="","",IF($AC41="BLOQUEADA",0,ROUND($AD41*Scoring_Weights!$C$2+$AE41*Scoring_Weights!$C$3+$AF41*Scoring_Weights!$C$4+$AG41*Scoring_Weights!$C$5+$AH41*Scoring_Weights!$C$6-$AI41*Scoring_Weights!$C$7,1)))</x:f>
      </x:c>
      <x:c r="AK41" s="36" t="str">
        <x:f>IF($AC41&lt;&gt;"ELEGIBLE","",COUNTIFS($AC$2:$AC$101,"ELEGIBLE",$AJ$2:$AJ$101,"&gt;"&amp;$AJ41)+COUNTIFS($AC$2:$AC41,"ELEGIBLE",$AJ$2:$AJ41,$AJ41))</x:f>
      </x:c>
      <x:c r="AL41" s="23" t="str">
        <x:f>IF($A41="","",IF($AC41="BLOQUEADA","No seleccionable",IF($AC41="REVISIÓN","Revisión previa",IF($AK41&lt;=8,"Primaria propuesta","Contexto / backlog"))))</x:f>
      </x:c>
      <x:c r="AM41" s="23" t="str">
        <x:f>IF($A41="","",IF(MAX($O41,$P41)&gt;=MAX($Q41,$R41,$T41,$U41,$W41),"Transformación/OLC",IF(MAX($Q41,$R41)&gt;=MAX($T41,$U41,$W41),"Handoff/Flujo",IF(MAX($T41,$U41,$V41,$W41)&gt;=3,"Capacidad/Compensación","Contexto/PM"))))</x:f>
      </x:c>
      <x:c r="AN41" s="23"/>
      <x:c r="AO41" s="23" t="str">
        <x:f>IF($A41="","",IF($AN41="Forzar primaria","Primaria forzada",IF($AN41="Excluir","Excluida",IF($AN41="Revisión","Revisión previa",$AL41))))</x:f>
      </x:c>
      <x:c r="AP41" s="23" t="str">
        <x:f>IF($A41="","",IF($AC41="BLOQUEADA","Gate duro",IF($AD41&gt;=MAX($AE41,$AF41,$AG41),"Potencial MMABP",IF($AE41&gt;=MAX($AD41,$AF41,$AG41),"Fricción/variedad",IF($AF41&gt;=MAX($AD41,$AE41,$AG41),"Cobertura","Evidencia/feasibilidad")))))</x:f>
      </x:c>
      <x:c r="AQ41" s="23" t="str">
        <x:f>IF($A41="","",IF(LEFT($AO41,8)="Primaria",IF($AE41&gt;=75,"40+20 probable",IF($AD41&gt;=75,"40 base + causales selectivas","40 base + probes mínimos")),"No abre Runtime profundo"))</x:f>
      </x:c>
      <x:c r="AR41" s="23" t="str">
        <x:f>IF($A41="","",IF($AC41="BLOQUEADA","Corregir WorkMap/B0 antes de selección",IF($AC41="REVISIÓN","Microconfirmación B0 o resolución semántica",IF($AO41="Contexto / backlog","Conservar como contexto total","Enviar a Runtime"))))</x:f>
      </x:c>
      <x:c r="AS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23" t="str">
        <x:f>IF($A42="","",IF(OR($G42&lt;&gt;"Sí",$H42&lt;&gt;"Sí",$I42&lt;&gt;"Correcta",$J42="Sí",$K42&lt;2),"BLOQUEADA",IF(OR($J42="Posible",$K42&lt;3,$L42&lt;2),"REVISIÓN","ELEGIBLE")))</x:f>
      </x:c>
      <x:c r="AD42" s="38" t="str">
        <x:f>IF($A42="","",IF($AC42="BLOQUEADA",0,ROUND(($L42*Scoring_Weights!$C$9+$M42*Scoring_Weights!$C$10+$N42*Scoring_Weights!$C$11+$O42*Scoring_Weights!$C$12+$P42*Scoring_Weights!$C$13+$Q42*Scoring_Weights!$C$14+$R42*Scoring_Weights!$C$15+$X42*Scoring_Weights!$C$16+$AB42*Scoring_Weights!$C$17)*20,1)))</x:f>
      </x:c>
      <x:c r="AE42" s="38" t="str">
        <x:f>IF($A42="","",IF($AC42="BLOQUEADA",0,ROUND(($Q42*Scoring_Weights!$C$19+$R42*Scoring_Weights!$C$20+$S42*Scoring_Weights!$C$21+$T42*Scoring_Weights!$C$22+$U42*Scoring_Weights!$C$23+$V42*Scoring_Weights!$C$24+$W42*Scoring_Weights!$C$25)*20,1)))</x:f>
      </x:c>
      <x:c r="AF42" s="38" t="str">
        <x:f>IF($A42="","",IF($AC42="BLOQUEADA",0,ROUND(($Z42*Scoring_Weights!$C$27+$Y42*Scoring_Weights!$C$28+$X42*Scoring_Weights!$C$29)*20,1)))</x:f>
      </x:c>
      <x:c r="AG42" s="38" t="str">
        <x:f>IF($A42="","",IF($AC42="BLOQUEADA",0,ROUND(($AA42*Scoring_Weights!$C$31+$AB42*Scoring_Weights!$C$32+$K42*Scoring_Weights!$C$33)*20,1)))</x:f>
      </x:c>
      <x:c r="AH42" s="38" t="str">
        <x:f>IF($A42="","",IF($AC42="BLOQUEADA",0,MIN(10,IF(OR($O42&gt;=4,$P42&gt;=4),2,0)+IF($Q42&gt;=4,2,0)+IF($R42&gt;=4,2,0)+IF($U42&gt;=4,2,0)+IF($T42&gt;=4,1,0)+IF($V42&gt;=4,1,0))))</x:f>
      </x:c>
      <x:c r="AI42" s="38" t="str">
        <x:f>IF($A42="","",IF($AC42="BLOQUEADA",0,ROUND((MAX(0,5-$K42)+MAX(0,5-$AA42)+IF($I42="Ambigua",2,0)+IF($J42="Posible",2,0))*2,1)))</x:f>
      </x:c>
      <x:c r="AJ42" s="38" t="str">
        <x:f>IF($A42="","",IF($AC42="BLOQUEADA",0,ROUND($AD42*Scoring_Weights!$C$2+$AE42*Scoring_Weights!$C$3+$AF42*Scoring_Weights!$C$4+$AG42*Scoring_Weights!$C$5+$AH42*Scoring_Weights!$C$6-$AI42*Scoring_Weights!$C$7,1)))</x:f>
      </x:c>
      <x:c r="AK42" s="36" t="str">
        <x:f>IF($AC42&lt;&gt;"ELEGIBLE","",COUNTIFS($AC$2:$AC$101,"ELEGIBLE",$AJ$2:$AJ$101,"&gt;"&amp;$AJ42)+COUNTIFS($AC$2:$AC42,"ELEGIBLE",$AJ$2:$AJ42,$AJ42))</x:f>
      </x:c>
      <x:c r="AL42" s="23" t="str">
        <x:f>IF($A42="","",IF($AC42="BLOQUEADA","No seleccionable",IF($AC42="REVISIÓN","Revisión previa",IF($AK42&lt;=8,"Primaria propuesta","Contexto / backlog"))))</x:f>
      </x:c>
      <x:c r="AM42" s="23" t="str">
        <x:f>IF($A42="","",IF(MAX($O42,$P42)&gt;=MAX($Q42,$R42,$T42,$U42,$W42),"Transformación/OLC",IF(MAX($Q42,$R42)&gt;=MAX($T42,$U42,$W42),"Handoff/Flujo",IF(MAX($T42,$U42,$V42,$W42)&gt;=3,"Capacidad/Compensación","Contexto/PM"))))</x:f>
      </x:c>
      <x:c r="AN42" s="23"/>
      <x:c r="AO42" s="23" t="str">
        <x:f>IF($A42="","",IF($AN42="Forzar primaria","Primaria forzada",IF($AN42="Excluir","Excluida",IF($AN42="Revisión","Revisión previa",$AL42))))</x:f>
      </x:c>
      <x:c r="AP42" s="23" t="str">
        <x:f>IF($A42="","",IF($AC42="BLOQUEADA","Gate duro",IF($AD42&gt;=MAX($AE42,$AF42,$AG42),"Potencial MMABP",IF($AE42&gt;=MAX($AD42,$AF42,$AG42),"Fricción/variedad",IF($AF42&gt;=MAX($AD42,$AE42,$AG42),"Cobertura","Evidencia/feasibilidad")))))</x:f>
      </x:c>
      <x:c r="AQ42" s="23" t="str">
        <x:f>IF($A42="","",IF(LEFT($AO42,8)="Primaria",IF($AE42&gt;=75,"40+20 probable",IF($AD42&gt;=75,"40 base + causales selectivas","40 base + probes mínimos")),"No abre Runtime profundo"))</x:f>
      </x:c>
      <x:c r="AR42" s="23" t="str">
        <x:f>IF($A42="","",IF($AC42="BLOQUEADA","Corregir WorkMap/B0 antes de selección",IF($AC42="REVISIÓN","Microconfirmación B0 o resolución semántica",IF($AO42="Contexto / backlog","Conservar como contexto total","Enviar a Runtime"))))</x:f>
      </x:c>
      <x:c r="AS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  <x:c r="AA43" s="36"/>
      <x:c r="AB43" s="36"/>
      <x:c r="AC43" s="23" t="str">
        <x:f>IF($A43="","",IF(OR($G43&lt;&gt;"Sí",$H43&lt;&gt;"Sí",$I43&lt;&gt;"Correcta",$J43="Sí",$K43&lt;2),"BLOQUEADA",IF(OR($J43="Posible",$K43&lt;3,$L43&lt;2),"REVISIÓN","ELEGIBLE")))</x:f>
      </x:c>
      <x:c r="AD43" s="38" t="str">
        <x:f>IF($A43="","",IF($AC43="BLOQUEADA",0,ROUND(($L43*Scoring_Weights!$C$9+$M43*Scoring_Weights!$C$10+$N43*Scoring_Weights!$C$11+$O43*Scoring_Weights!$C$12+$P43*Scoring_Weights!$C$13+$Q43*Scoring_Weights!$C$14+$R43*Scoring_Weights!$C$15+$X43*Scoring_Weights!$C$16+$AB43*Scoring_Weights!$C$17)*20,1)))</x:f>
      </x:c>
      <x:c r="AE43" s="38" t="str">
        <x:f>IF($A43="","",IF($AC43="BLOQUEADA",0,ROUND(($Q43*Scoring_Weights!$C$19+$R43*Scoring_Weights!$C$20+$S43*Scoring_Weights!$C$21+$T43*Scoring_Weights!$C$22+$U43*Scoring_Weights!$C$23+$V43*Scoring_Weights!$C$24+$W43*Scoring_Weights!$C$25)*20,1)))</x:f>
      </x:c>
      <x:c r="AF43" s="38" t="str">
        <x:f>IF($A43="","",IF($AC43="BLOQUEADA",0,ROUND(($Z43*Scoring_Weights!$C$27+$Y43*Scoring_Weights!$C$28+$X43*Scoring_Weights!$C$29)*20,1)))</x:f>
      </x:c>
      <x:c r="AG43" s="38" t="str">
        <x:f>IF($A43="","",IF($AC43="BLOQUEADA",0,ROUND(($AA43*Scoring_Weights!$C$31+$AB43*Scoring_Weights!$C$32+$K43*Scoring_Weights!$C$33)*20,1)))</x:f>
      </x:c>
      <x:c r="AH43" s="38" t="str">
        <x:f>IF($A43="","",IF($AC43="BLOQUEADA",0,MIN(10,IF(OR($O43&gt;=4,$P43&gt;=4),2,0)+IF($Q43&gt;=4,2,0)+IF($R43&gt;=4,2,0)+IF($U43&gt;=4,2,0)+IF($T43&gt;=4,1,0)+IF($V43&gt;=4,1,0))))</x:f>
      </x:c>
      <x:c r="AI43" s="38" t="str">
        <x:f>IF($A43="","",IF($AC43="BLOQUEADA",0,ROUND((MAX(0,5-$K43)+MAX(0,5-$AA43)+IF($I43="Ambigua",2,0)+IF($J43="Posible",2,0))*2,1)))</x:f>
      </x:c>
      <x:c r="AJ43" s="38" t="str">
        <x:f>IF($A43="","",IF($AC43="BLOQUEADA",0,ROUND($AD43*Scoring_Weights!$C$2+$AE43*Scoring_Weights!$C$3+$AF43*Scoring_Weights!$C$4+$AG43*Scoring_Weights!$C$5+$AH43*Scoring_Weights!$C$6-$AI43*Scoring_Weights!$C$7,1)))</x:f>
      </x:c>
      <x:c r="AK43" s="36" t="str">
        <x:f>IF($AC43&lt;&gt;"ELEGIBLE","",COUNTIFS($AC$2:$AC$101,"ELEGIBLE",$AJ$2:$AJ$101,"&gt;"&amp;$AJ43)+COUNTIFS($AC$2:$AC43,"ELEGIBLE",$AJ$2:$AJ43,$AJ43))</x:f>
      </x:c>
      <x:c r="AL43" s="23" t="str">
        <x:f>IF($A43="","",IF($AC43="BLOQUEADA","No seleccionable",IF($AC43="REVISIÓN","Revisión previa",IF($AK43&lt;=8,"Primaria propuesta","Contexto / backlog"))))</x:f>
      </x:c>
      <x:c r="AM43" s="23" t="str">
        <x:f>IF($A43="","",IF(MAX($O43,$P43)&gt;=MAX($Q43,$R43,$T43,$U43,$W43),"Transformación/OLC",IF(MAX($Q43,$R43)&gt;=MAX($T43,$U43,$W43),"Handoff/Flujo",IF(MAX($T43,$U43,$V43,$W43)&gt;=3,"Capacidad/Compensación","Contexto/PM"))))</x:f>
      </x:c>
      <x:c r="AN43" s="23"/>
      <x:c r="AO43" s="23" t="str">
        <x:f>IF($A43="","",IF($AN43="Forzar primaria","Primaria forzada",IF($AN43="Excluir","Excluida",IF($AN43="Revisión","Revisión previa",$AL43))))</x:f>
      </x:c>
      <x:c r="AP43" s="23" t="str">
        <x:f>IF($A43="","",IF($AC43="BLOQUEADA","Gate duro",IF($AD43&gt;=MAX($AE43,$AF43,$AG43),"Potencial MMABP",IF($AE43&gt;=MAX($AD43,$AF43,$AG43),"Fricción/variedad",IF($AF43&gt;=MAX($AD43,$AE43,$AG43),"Cobertura","Evidencia/feasibilidad")))))</x:f>
      </x:c>
      <x:c r="AQ43" s="23" t="str">
        <x:f>IF($A43="","",IF(LEFT($AO43,8)="Primaria",IF($AE43&gt;=75,"40+20 probable",IF($AD43&gt;=75,"40 base + causales selectivas","40 base + probes mínimos")),"No abre Runtime profundo"))</x:f>
      </x:c>
      <x:c r="AR43" s="23" t="str">
        <x:f>IF($A43="","",IF($AC43="BLOQUEADA","Corregir WorkMap/B0 antes de selección",IF($AC43="REVISIÓN","Microconfirmación B0 o resolución semántica",IF($AO43="Contexto / backlog","Conservar como contexto total","Enviar a Runtime"))))</x:f>
      </x:c>
      <x:c r="AS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  <x:c r="AA44" s="36"/>
      <x:c r="AB44" s="36"/>
      <x:c r="AC44" s="23" t="str">
        <x:f>IF($A44="","",IF(OR($G44&lt;&gt;"Sí",$H44&lt;&gt;"Sí",$I44&lt;&gt;"Correcta",$J44="Sí",$K44&lt;2),"BLOQUEADA",IF(OR($J44="Posible",$K44&lt;3,$L44&lt;2),"REVISIÓN","ELEGIBLE")))</x:f>
      </x:c>
      <x:c r="AD44" s="38" t="str">
        <x:f>IF($A44="","",IF($AC44="BLOQUEADA",0,ROUND(($L44*Scoring_Weights!$C$9+$M44*Scoring_Weights!$C$10+$N44*Scoring_Weights!$C$11+$O44*Scoring_Weights!$C$12+$P44*Scoring_Weights!$C$13+$Q44*Scoring_Weights!$C$14+$R44*Scoring_Weights!$C$15+$X44*Scoring_Weights!$C$16+$AB44*Scoring_Weights!$C$17)*20,1)))</x:f>
      </x:c>
      <x:c r="AE44" s="38" t="str">
        <x:f>IF($A44="","",IF($AC44="BLOQUEADA",0,ROUND(($Q44*Scoring_Weights!$C$19+$R44*Scoring_Weights!$C$20+$S44*Scoring_Weights!$C$21+$T44*Scoring_Weights!$C$22+$U44*Scoring_Weights!$C$23+$V44*Scoring_Weights!$C$24+$W44*Scoring_Weights!$C$25)*20,1)))</x:f>
      </x:c>
      <x:c r="AF44" s="38" t="str">
        <x:f>IF($A44="","",IF($AC44="BLOQUEADA",0,ROUND(($Z44*Scoring_Weights!$C$27+$Y44*Scoring_Weights!$C$28+$X44*Scoring_Weights!$C$29)*20,1)))</x:f>
      </x:c>
      <x:c r="AG44" s="38" t="str">
        <x:f>IF($A44="","",IF($AC44="BLOQUEADA",0,ROUND(($AA44*Scoring_Weights!$C$31+$AB44*Scoring_Weights!$C$32+$K44*Scoring_Weights!$C$33)*20,1)))</x:f>
      </x:c>
      <x:c r="AH44" s="38" t="str">
        <x:f>IF($A44="","",IF($AC44="BLOQUEADA",0,MIN(10,IF(OR($O44&gt;=4,$P44&gt;=4),2,0)+IF($Q44&gt;=4,2,0)+IF($R44&gt;=4,2,0)+IF($U44&gt;=4,2,0)+IF($T44&gt;=4,1,0)+IF($V44&gt;=4,1,0))))</x:f>
      </x:c>
      <x:c r="AI44" s="38" t="str">
        <x:f>IF($A44="","",IF($AC44="BLOQUEADA",0,ROUND((MAX(0,5-$K44)+MAX(0,5-$AA44)+IF($I44="Ambigua",2,0)+IF($J44="Posible",2,0))*2,1)))</x:f>
      </x:c>
      <x:c r="AJ44" s="38" t="str">
        <x:f>IF($A44="","",IF($AC44="BLOQUEADA",0,ROUND($AD44*Scoring_Weights!$C$2+$AE44*Scoring_Weights!$C$3+$AF44*Scoring_Weights!$C$4+$AG44*Scoring_Weights!$C$5+$AH44*Scoring_Weights!$C$6-$AI44*Scoring_Weights!$C$7,1)))</x:f>
      </x:c>
      <x:c r="AK44" s="36" t="str">
        <x:f>IF($AC44&lt;&gt;"ELEGIBLE","",COUNTIFS($AC$2:$AC$101,"ELEGIBLE",$AJ$2:$AJ$101,"&gt;"&amp;$AJ44)+COUNTIFS($AC$2:$AC44,"ELEGIBLE",$AJ$2:$AJ44,$AJ44))</x:f>
      </x:c>
      <x:c r="AL44" s="23" t="str">
        <x:f>IF($A44="","",IF($AC44="BLOQUEADA","No seleccionable",IF($AC44="REVISIÓN","Revisión previa",IF($AK44&lt;=8,"Primaria propuesta","Contexto / backlog"))))</x:f>
      </x:c>
      <x:c r="AM44" s="23" t="str">
        <x:f>IF($A44="","",IF(MAX($O44,$P44)&gt;=MAX($Q44,$R44,$T44,$U44,$W44),"Transformación/OLC",IF(MAX($Q44,$R44)&gt;=MAX($T44,$U44,$W44),"Handoff/Flujo",IF(MAX($T44,$U44,$V44,$W44)&gt;=3,"Capacidad/Compensación","Contexto/PM"))))</x:f>
      </x:c>
      <x:c r="AN44" s="23"/>
      <x:c r="AO44" s="23" t="str">
        <x:f>IF($A44="","",IF($AN44="Forzar primaria","Primaria forzada",IF($AN44="Excluir","Excluida",IF($AN44="Revisión","Revisión previa",$AL44))))</x:f>
      </x:c>
      <x:c r="AP44" s="23" t="str">
        <x:f>IF($A44="","",IF($AC44="BLOQUEADA","Gate duro",IF($AD44&gt;=MAX($AE44,$AF44,$AG44),"Potencial MMABP",IF($AE44&gt;=MAX($AD44,$AF44,$AG44),"Fricción/variedad",IF($AF44&gt;=MAX($AD44,$AE44,$AG44),"Cobertura","Evidencia/feasibilidad")))))</x:f>
      </x:c>
      <x:c r="AQ44" s="23" t="str">
        <x:f>IF($A44="","",IF(LEFT($AO44,8)="Primaria",IF($AE44&gt;=75,"40+20 probable",IF($AD44&gt;=75,"40 base + causales selectivas","40 base + probes mínimos")),"No abre Runtime profundo"))</x:f>
      </x:c>
      <x:c r="AR44" s="23" t="str">
        <x:f>IF($A44="","",IF($AC44="BLOQUEADA","Corregir WorkMap/B0 antes de selección",IF($AC44="REVISIÓN","Microconfirmación B0 o resolución semántica",IF($AO44="Contexto / backlog","Conservar como contexto total","Enviar a Runtime"))))</x:f>
      </x:c>
      <x:c r="AS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  <x:c r="AA45" s="36"/>
      <x:c r="AB45" s="36"/>
      <x:c r="AC45" s="23" t="str">
        <x:f>IF($A45="","",IF(OR($G45&lt;&gt;"Sí",$H45&lt;&gt;"Sí",$I45&lt;&gt;"Correcta",$J45="Sí",$K45&lt;2),"BLOQUEADA",IF(OR($J45="Posible",$K45&lt;3,$L45&lt;2),"REVISIÓN","ELEGIBLE")))</x:f>
      </x:c>
      <x:c r="AD45" s="38" t="str">
        <x:f>IF($A45="","",IF($AC45="BLOQUEADA",0,ROUND(($L45*Scoring_Weights!$C$9+$M45*Scoring_Weights!$C$10+$N45*Scoring_Weights!$C$11+$O45*Scoring_Weights!$C$12+$P45*Scoring_Weights!$C$13+$Q45*Scoring_Weights!$C$14+$R45*Scoring_Weights!$C$15+$X45*Scoring_Weights!$C$16+$AB45*Scoring_Weights!$C$17)*20,1)))</x:f>
      </x:c>
      <x:c r="AE45" s="38" t="str">
        <x:f>IF($A45="","",IF($AC45="BLOQUEADA",0,ROUND(($Q45*Scoring_Weights!$C$19+$R45*Scoring_Weights!$C$20+$S45*Scoring_Weights!$C$21+$T45*Scoring_Weights!$C$22+$U45*Scoring_Weights!$C$23+$V45*Scoring_Weights!$C$24+$W45*Scoring_Weights!$C$25)*20,1)))</x:f>
      </x:c>
      <x:c r="AF45" s="38" t="str">
        <x:f>IF($A45="","",IF($AC45="BLOQUEADA",0,ROUND(($Z45*Scoring_Weights!$C$27+$Y45*Scoring_Weights!$C$28+$X45*Scoring_Weights!$C$29)*20,1)))</x:f>
      </x:c>
      <x:c r="AG45" s="38" t="str">
        <x:f>IF($A45="","",IF($AC45="BLOQUEADA",0,ROUND(($AA45*Scoring_Weights!$C$31+$AB45*Scoring_Weights!$C$32+$K45*Scoring_Weights!$C$33)*20,1)))</x:f>
      </x:c>
      <x:c r="AH45" s="38" t="str">
        <x:f>IF($A45="","",IF($AC45="BLOQUEADA",0,MIN(10,IF(OR($O45&gt;=4,$P45&gt;=4),2,0)+IF($Q45&gt;=4,2,0)+IF($R45&gt;=4,2,0)+IF($U45&gt;=4,2,0)+IF($T45&gt;=4,1,0)+IF($V45&gt;=4,1,0))))</x:f>
      </x:c>
      <x:c r="AI45" s="38" t="str">
        <x:f>IF($A45="","",IF($AC45="BLOQUEADA",0,ROUND((MAX(0,5-$K45)+MAX(0,5-$AA45)+IF($I45="Ambigua",2,0)+IF($J45="Posible",2,0))*2,1)))</x:f>
      </x:c>
      <x:c r="AJ45" s="38" t="str">
        <x:f>IF($A45="","",IF($AC45="BLOQUEADA",0,ROUND($AD45*Scoring_Weights!$C$2+$AE45*Scoring_Weights!$C$3+$AF45*Scoring_Weights!$C$4+$AG45*Scoring_Weights!$C$5+$AH45*Scoring_Weights!$C$6-$AI45*Scoring_Weights!$C$7,1)))</x:f>
      </x:c>
      <x:c r="AK45" s="36" t="str">
        <x:f>IF($AC45&lt;&gt;"ELEGIBLE","",COUNTIFS($AC$2:$AC$101,"ELEGIBLE",$AJ$2:$AJ$101,"&gt;"&amp;$AJ45)+COUNTIFS($AC$2:$AC45,"ELEGIBLE",$AJ$2:$AJ45,$AJ45))</x:f>
      </x:c>
      <x:c r="AL45" s="23" t="str">
        <x:f>IF($A45="","",IF($AC45="BLOQUEADA","No seleccionable",IF($AC45="REVISIÓN","Revisión previa",IF($AK45&lt;=8,"Primaria propuesta","Contexto / backlog"))))</x:f>
      </x:c>
      <x:c r="AM45" s="23" t="str">
        <x:f>IF($A45="","",IF(MAX($O45,$P45)&gt;=MAX($Q45,$R45,$T45,$U45,$W45),"Transformación/OLC",IF(MAX($Q45,$R45)&gt;=MAX($T45,$U45,$W45),"Handoff/Flujo",IF(MAX($T45,$U45,$V45,$W45)&gt;=3,"Capacidad/Compensación","Contexto/PM"))))</x:f>
      </x:c>
      <x:c r="AN45" s="23"/>
      <x:c r="AO45" s="23" t="str">
        <x:f>IF($A45="","",IF($AN45="Forzar primaria","Primaria forzada",IF($AN45="Excluir","Excluida",IF($AN45="Revisión","Revisión previa",$AL45))))</x:f>
      </x:c>
      <x:c r="AP45" s="23" t="str">
        <x:f>IF($A45="","",IF($AC45="BLOQUEADA","Gate duro",IF($AD45&gt;=MAX($AE45,$AF45,$AG45),"Potencial MMABP",IF($AE45&gt;=MAX($AD45,$AF45,$AG45),"Fricción/variedad",IF($AF45&gt;=MAX($AD45,$AE45,$AG45),"Cobertura","Evidencia/feasibilidad")))))</x:f>
      </x:c>
      <x:c r="AQ45" s="23" t="str">
        <x:f>IF($A45="","",IF(LEFT($AO45,8)="Primaria",IF($AE45&gt;=75,"40+20 probable",IF($AD45&gt;=75,"40 base + causales selectivas","40 base + probes mínimos")),"No abre Runtime profundo"))</x:f>
      </x:c>
      <x:c r="AR45" s="23" t="str">
        <x:f>IF($A45="","",IF($AC45="BLOQUEADA","Corregir WorkMap/B0 antes de selección",IF($AC45="REVISIÓN","Microconfirmación B0 o resolución semántica",IF($AO45="Contexto / backlog","Conservar como contexto total","Enviar a Runtime"))))</x:f>
      </x:c>
      <x:c r="AS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23" t="str">
        <x:f>IF($A46="","",IF(OR($G46&lt;&gt;"Sí",$H46&lt;&gt;"Sí",$I46&lt;&gt;"Correcta",$J46="Sí",$K46&lt;2),"BLOQUEADA",IF(OR($J46="Posible",$K46&lt;3,$L46&lt;2),"REVISIÓN","ELEGIBLE")))</x:f>
      </x:c>
      <x:c r="AD46" s="38" t="str">
        <x:f>IF($A46="","",IF($AC46="BLOQUEADA",0,ROUND(($L46*Scoring_Weights!$C$9+$M46*Scoring_Weights!$C$10+$N46*Scoring_Weights!$C$11+$O46*Scoring_Weights!$C$12+$P46*Scoring_Weights!$C$13+$Q46*Scoring_Weights!$C$14+$R46*Scoring_Weights!$C$15+$X46*Scoring_Weights!$C$16+$AB46*Scoring_Weights!$C$17)*20,1)))</x:f>
      </x:c>
      <x:c r="AE46" s="38" t="str">
        <x:f>IF($A46="","",IF($AC46="BLOQUEADA",0,ROUND(($Q46*Scoring_Weights!$C$19+$R46*Scoring_Weights!$C$20+$S46*Scoring_Weights!$C$21+$T46*Scoring_Weights!$C$22+$U46*Scoring_Weights!$C$23+$V46*Scoring_Weights!$C$24+$W46*Scoring_Weights!$C$25)*20,1)))</x:f>
      </x:c>
      <x:c r="AF46" s="38" t="str">
        <x:f>IF($A46="","",IF($AC46="BLOQUEADA",0,ROUND(($Z46*Scoring_Weights!$C$27+$Y46*Scoring_Weights!$C$28+$X46*Scoring_Weights!$C$29)*20,1)))</x:f>
      </x:c>
      <x:c r="AG46" s="38" t="str">
        <x:f>IF($A46="","",IF($AC46="BLOQUEADA",0,ROUND(($AA46*Scoring_Weights!$C$31+$AB46*Scoring_Weights!$C$32+$K46*Scoring_Weights!$C$33)*20,1)))</x:f>
      </x:c>
      <x:c r="AH46" s="38" t="str">
        <x:f>IF($A46="","",IF($AC46="BLOQUEADA",0,MIN(10,IF(OR($O46&gt;=4,$P46&gt;=4),2,0)+IF($Q46&gt;=4,2,0)+IF($R46&gt;=4,2,0)+IF($U46&gt;=4,2,0)+IF($T46&gt;=4,1,0)+IF($V46&gt;=4,1,0))))</x:f>
      </x:c>
      <x:c r="AI46" s="38" t="str">
        <x:f>IF($A46="","",IF($AC46="BLOQUEADA",0,ROUND((MAX(0,5-$K46)+MAX(0,5-$AA46)+IF($I46="Ambigua",2,0)+IF($J46="Posible",2,0))*2,1)))</x:f>
      </x:c>
      <x:c r="AJ46" s="38" t="str">
        <x:f>IF($A46="","",IF($AC46="BLOQUEADA",0,ROUND($AD46*Scoring_Weights!$C$2+$AE46*Scoring_Weights!$C$3+$AF46*Scoring_Weights!$C$4+$AG46*Scoring_Weights!$C$5+$AH46*Scoring_Weights!$C$6-$AI46*Scoring_Weights!$C$7,1)))</x:f>
      </x:c>
      <x:c r="AK46" s="36" t="str">
        <x:f>IF($AC46&lt;&gt;"ELEGIBLE","",COUNTIFS($AC$2:$AC$101,"ELEGIBLE",$AJ$2:$AJ$101,"&gt;"&amp;$AJ46)+COUNTIFS($AC$2:$AC46,"ELEGIBLE",$AJ$2:$AJ46,$AJ46))</x:f>
      </x:c>
      <x:c r="AL46" s="23" t="str">
        <x:f>IF($A46="","",IF($AC46="BLOQUEADA","No seleccionable",IF($AC46="REVISIÓN","Revisión previa",IF($AK46&lt;=8,"Primaria propuesta","Contexto / backlog"))))</x:f>
      </x:c>
      <x:c r="AM46" s="23" t="str">
        <x:f>IF($A46="","",IF(MAX($O46,$P46)&gt;=MAX($Q46,$R46,$T46,$U46,$W46),"Transformación/OLC",IF(MAX($Q46,$R46)&gt;=MAX($T46,$U46,$W46),"Handoff/Flujo",IF(MAX($T46,$U46,$V46,$W46)&gt;=3,"Capacidad/Compensación","Contexto/PM"))))</x:f>
      </x:c>
      <x:c r="AN46" s="23"/>
      <x:c r="AO46" s="23" t="str">
        <x:f>IF($A46="","",IF($AN46="Forzar primaria","Primaria forzada",IF($AN46="Excluir","Excluida",IF($AN46="Revisión","Revisión previa",$AL46))))</x:f>
      </x:c>
      <x:c r="AP46" s="23" t="str">
        <x:f>IF($A46="","",IF($AC46="BLOQUEADA","Gate duro",IF($AD46&gt;=MAX($AE46,$AF46,$AG46),"Potencial MMABP",IF($AE46&gt;=MAX($AD46,$AF46,$AG46),"Fricción/variedad",IF($AF46&gt;=MAX($AD46,$AE46,$AG46),"Cobertura","Evidencia/feasibilidad")))))</x:f>
      </x:c>
      <x:c r="AQ46" s="23" t="str">
        <x:f>IF($A46="","",IF(LEFT($AO46,8)="Primaria",IF($AE46&gt;=75,"40+20 probable",IF($AD46&gt;=75,"40 base + causales selectivas","40 base + probes mínimos")),"No abre Runtime profundo"))</x:f>
      </x:c>
      <x:c r="AR46" s="23" t="str">
        <x:f>IF($A46="","",IF($AC46="BLOQUEADA","Corregir WorkMap/B0 antes de selección",IF($AC46="REVISIÓN","Microconfirmación B0 o resolución semántica",IF($AO46="Contexto / backlog","Conservar como contexto total","Enviar a Runtime"))))</x:f>
      </x:c>
      <x:c r="AS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36"/>
      <x:c r="AB47" s="36"/>
      <x:c r="AC47" s="23" t="str">
        <x:f>IF($A47="","",IF(OR($G47&lt;&gt;"Sí",$H47&lt;&gt;"Sí",$I47&lt;&gt;"Correcta",$J47="Sí",$K47&lt;2),"BLOQUEADA",IF(OR($J47="Posible",$K47&lt;3,$L47&lt;2),"REVISIÓN","ELEGIBLE")))</x:f>
      </x:c>
      <x:c r="AD47" s="38" t="str">
        <x:f>IF($A47="","",IF($AC47="BLOQUEADA",0,ROUND(($L47*Scoring_Weights!$C$9+$M47*Scoring_Weights!$C$10+$N47*Scoring_Weights!$C$11+$O47*Scoring_Weights!$C$12+$P47*Scoring_Weights!$C$13+$Q47*Scoring_Weights!$C$14+$R47*Scoring_Weights!$C$15+$X47*Scoring_Weights!$C$16+$AB47*Scoring_Weights!$C$17)*20,1)))</x:f>
      </x:c>
      <x:c r="AE47" s="38" t="str">
        <x:f>IF($A47="","",IF($AC47="BLOQUEADA",0,ROUND(($Q47*Scoring_Weights!$C$19+$R47*Scoring_Weights!$C$20+$S47*Scoring_Weights!$C$21+$T47*Scoring_Weights!$C$22+$U47*Scoring_Weights!$C$23+$V47*Scoring_Weights!$C$24+$W47*Scoring_Weights!$C$25)*20,1)))</x:f>
      </x:c>
      <x:c r="AF47" s="38" t="str">
        <x:f>IF($A47="","",IF($AC47="BLOQUEADA",0,ROUND(($Z47*Scoring_Weights!$C$27+$Y47*Scoring_Weights!$C$28+$X47*Scoring_Weights!$C$29)*20,1)))</x:f>
      </x:c>
      <x:c r="AG47" s="38" t="str">
        <x:f>IF($A47="","",IF($AC47="BLOQUEADA",0,ROUND(($AA47*Scoring_Weights!$C$31+$AB47*Scoring_Weights!$C$32+$K47*Scoring_Weights!$C$33)*20,1)))</x:f>
      </x:c>
      <x:c r="AH47" s="38" t="str">
        <x:f>IF($A47="","",IF($AC47="BLOQUEADA",0,MIN(10,IF(OR($O47&gt;=4,$P47&gt;=4),2,0)+IF($Q47&gt;=4,2,0)+IF($R47&gt;=4,2,0)+IF($U47&gt;=4,2,0)+IF($T47&gt;=4,1,0)+IF($V47&gt;=4,1,0))))</x:f>
      </x:c>
      <x:c r="AI47" s="38" t="str">
        <x:f>IF($A47="","",IF($AC47="BLOQUEADA",0,ROUND((MAX(0,5-$K47)+MAX(0,5-$AA47)+IF($I47="Ambigua",2,0)+IF($J47="Posible",2,0))*2,1)))</x:f>
      </x:c>
      <x:c r="AJ47" s="38" t="str">
        <x:f>IF($A47="","",IF($AC47="BLOQUEADA",0,ROUND($AD47*Scoring_Weights!$C$2+$AE47*Scoring_Weights!$C$3+$AF47*Scoring_Weights!$C$4+$AG47*Scoring_Weights!$C$5+$AH47*Scoring_Weights!$C$6-$AI47*Scoring_Weights!$C$7,1)))</x:f>
      </x:c>
      <x:c r="AK47" s="36" t="str">
        <x:f>IF($AC47&lt;&gt;"ELEGIBLE","",COUNTIFS($AC$2:$AC$101,"ELEGIBLE",$AJ$2:$AJ$101,"&gt;"&amp;$AJ47)+COUNTIFS($AC$2:$AC47,"ELEGIBLE",$AJ$2:$AJ47,$AJ47))</x:f>
      </x:c>
      <x:c r="AL47" s="23" t="str">
        <x:f>IF($A47="","",IF($AC47="BLOQUEADA","No seleccionable",IF($AC47="REVISIÓN","Revisión previa",IF($AK47&lt;=8,"Primaria propuesta","Contexto / backlog"))))</x:f>
      </x:c>
      <x:c r="AM47" s="23" t="str">
        <x:f>IF($A47="","",IF(MAX($O47,$P47)&gt;=MAX($Q47,$R47,$T47,$U47,$W47),"Transformación/OLC",IF(MAX($Q47,$R47)&gt;=MAX($T47,$U47,$W47),"Handoff/Flujo",IF(MAX($T47,$U47,$V47,$W47)&gt;=3,"Capacidad/Compensación","Contexto/PM"))))</x:f>
      </x:c>
      <x:c r="AN47" s="23"/>
      <x:c r="AO47" s="23" t="str">
        <x:f>IF($A47="","",IF($AN47="Forzar primaria","Primaria forzada",IF($AN47="Excluir","Excluida",IF($AN47="Revisión","Revisión previa",$AL47))))</x:f>
      </x:c>
      <x:c r="AP47" s="23" t="str">
        <x:f>IF($A47="","",IF($AC47="BLOQUEADA","Gate duro",IF($AD47&gt;=MAX($AE47,$AF47,$AG47),"Potencial MMABP",IF($AE47&gt;=MAX($AD47,$AF47,$AG47),"Fricción/variedad",IF($AF47&gt;=MAX($AD47,$AE47,$AG47),"Cobertura","Evidencia/feasibilidad")))))</x:f>
      </x:c>
      <x:c r="AQ47" s="23" t="str">
        <x:f>IF($A47="","",IF(LEFT($AO47,8)="Primaria",IF($AE47&gt;=75,"40+20 probable",IF($AD47&gt;=75,"40 base + causales selectivas","40 base + probes mínimos")),"No abre Runtime profundo"))</x:f>
      </x:c>
      <x:c r="AR47" s="23" t="str">
        <x:f>IF($A47="","",IF($AC47="BLOQUEADA","Corregir WorkMap/B0 antes de selección",IF($AC47="REVISIÓN","Microconfirmación B0 o resolución semántica",IF($AO47="Contexto / backlog","Conservar como contexto total","Enviar a Runtime"))))</x:f>
      </x:c>
      <x:c r="AS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  <x:c r="AA48" s="36"/>
      <x:c r="AB48" s="36"/>
      <x:c r="AC48" s="23" t="str">
        <x:f>IF($A48="","",IF(OR($G48&lt;&gt;"Sí",$H48&lt;&gt;"Sí",$I48&lt;&gt;"Correcta",$J48="Sí",$K48&lt;2),"BLOQUEADA",IF(OR($J48="Posible",$K48&lt;3,$L48&lt;2),"REVISIÓN","ELEGIBLE")))</x:f>
      </x:c>
      <x:c r="AD48" s="38" t="str">
        <x:f>IF($A48="","",IF($AC48="BLOQUEADA",0,ROUND(($L48*Scoring_Weights!$C$9+$M48*Scoring_Weights!$C$10+$N48*Scoring_Weights!$C$11+$O48*Scoring_Weights!$C$12+$P48*Scoring_Weights!$C$13+$Q48*Scoring_Weights!$C$14+$R48*Scoring_Weights!$C$15+$X48*Scoring_Weights!$C$16+$AB48*Scoring_Weights!$C$17)*20,1)))</x:f>
      </x:c>
      <x:c r="AE48" s="38" t="str">
        <x:f>IF($A48="","",IF($AC48="BLOQUEADA",0,ROUND(($Q48*Scoring_Weights!$C$19+$R48*Scoring_Weights!$C$20+$S48*Scoring_Weights!$C$21+$T48*Scoring_Weights!$C$22+$U48*Scoring_Weights!$C$23+$V48*Scoring_Weights!$C$24+$W48*Scoring_Weights!$C$25)*20,1)))</x:f>
      </x:c>
      <x:c r="AF48" s="38" t="str">
        <x:f>IF($A48="","",IF($AC48="BLOQUEADA",0,ROUND(($Z48*Scoring_Weights!$C$27+$Y48*Scoring_Weights!$C$28+$X48*Scoring_Weights!$C$29)*20,1)))</x:f>
      </x:c>
      <x:c r="AG48" s="38" t="str">
        <x:f>IF($A48="","",IF($AC48="BLOQUEADA",0,ROUND(($AA48*Scoring_Weights!$C$31+$AB48*Scoring_Weights!$C$32+$K48*Scoring_Weights!$C$33)*20,1)))</x:f>
      </x:c>
      <x:c r="AH48" s="38" t="str">
        <x:f>IF($A48="","",IF($AC48="BLOQUEADA",0,MIN(10,IF(OR($O48&gt;=4,$P48&gt;=4),2,0)+IF($Q48&gt;=4,2,0)+IF($R48&gt;=4,2,0)+IF($U48&gt;=4,2,0)+IF($T48&gt;=4,1,0)+IF($V48&gt;=4,1,0))))</x:f>
      </x:c>
      <x:c r="AI48" s="38" t="str">
        <x:f>IF($A48="","",IF($AC48="BLOQUEADA",0,ROUND((MAX(0,5-$K48)+MAX(0,5-$AA48)+IF($I48="Ambigua",2,0)+IF($J48="Posible",2,0))*2,1)))</x:f>
      </x:c>
      <x:c r="AJ48" s="38" t="str">
        <x:f>IF($A48="","",IF($AC48="BLOQUEADA",0,ROUND($AD48*Scoring_Weights!$C$2+$AE48*Scoring_Weights!$C$3+$AF48*Scoring_Weights!$C$4+$AG48*Scoring_Weights!$C$5+$AH48*Scoring_Weights!$C$6-$AI48*Scoring_Weights!$C$7,1)))</x:f>
      </x:c>
      <x:c r="AK48" s="36" t="str">
        <x:f>IF($AC48&lt;&gt;"ELEGIBLE","",COUNTIFS($AC$2:$AC$101,"ELEGIBLE",$AJ$2:$AJ$101,"&gt;"&amp;$AJ48)+COUNTIFS($AC$2:$AC48,"ELEGIBLE",$AJ$2:$AJ48,$AJ48))</x:f>
      </x:c>
      <x:c r="AL48" s="23" t="str">
        <x:f>IF($A48="","",IF($AC48="BLOQUEADA","No seleccionable",IF($AC48="REVISIÓN","Revisión previa",IF($AK48&lt;=8,"Primaria propuesta","Contexto / backlog"))))</x:f>
      </x:c>
      <x:c r="AM48" s="23" t="str">
        <x:f>IF($A48="","",IF(MAX($O48,$P48)&gt;=MAX($Q48,$R48,$T48,$U48,$W48),"Transformación/OLC",IF(MAX($Q48,$R48)&gt;=MAX($T48,$U48,$W48),"Handoff/Flujo",IF(MAX($T48,$U48,$V48,$W48)&gt;=3,"Capacidad/Compensación","Contexto/PM"))))</x:f>
      </x:c>
      <x:c r="AN48" s="23"/>
      <x:c r="AO48" s="23" t="str">
        <x:f>IF($A48="","",IF($AN48="Forzar primaria","Primaria forzada",IF($AN48="Excluir","Excluida",IF($AN48="Revisión","Revisión previa",$AL48))))</x:f>
      </x:c>
      <x:c r="AP48" s="23" t="str">
        <x:f>IF($A48="","",IF($AC48="BLOQUEADA","Gate duro",IF($AD48&gt;=MAX($AE48,$AF48,$AG48),"Potencial MMABP",IF($AE48&gt;=MAX($AD48,$AF48,$AG48),"Fricción/variedad",IF($AF48&gt;=MAX($AD48,$AE48,$AG48),"Cobertura","Evidencia/feasibilidad")))))</x:f>
      </x:c>
      <x:c r="AQ48" s="23" t="str">
        <x:f>IF($A48="","",IF(LEFT($AO48,8)="Primaria",IF($AE48&gt;=75,"40+20 probable",IF($AD48&gt;=75,"40 base + causales selectivas","40 base + probes mínimos")),"No abre Runtime profundo"))</x:f>
      </x:c>
      <x:c r="AR48" s="23" t="str">
        <x:f>IF($A48="","",IF($AC48="BLOQUEADA","Corregir WorkMap/B0 antes de selección",IF($AC48="REVISIÓN","Microconfirmación B0 o resolución semántica",IF($AO48="Contexto / backlog","Conservar como contexto total","Enviar a Runtime"))))</x:f>
      </x:c>
      <x:c r="AS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  <x:c r="AA49" s="36"/>
      <x:c r="AB49" s="36"/>
      <x:c r="AC49" s="23" t="str">
        <x:f>IF($A49="","",IF(OR($G49&lt;&gt;"Sí",$H49&lt;&gt;"Sí",$I49&lt;&gt;"Correcta",$J49="Sí",$K49&lt;2),"BLOQUEADA",IF(OR($J49="Posible",$K49&lt;3,$L49&lt;2),"REVISIÓN","ELEGIBLE")))</x:f>
      </x:c>
      <x:c r="AD49" s="38" t="str">
        <x:f>IF($A49="","",IF($AC49="BLOQUEADA",0,ROUND(($L49*Scoring_Weights!$C$9+$M49*Scoring_Weights!$C$10+$N49*Scoring_Weights!$C$11+$O49*Scoring_Weights!$C$12+$P49*Scoring_Weights!$C$13+$Q49*Scoring_Weights!$C$14+$R49*Scoring_Weights!$C$15+$X49*Scoring_Weights!$C$16+$AB49*Scoring_Weights!$C$17)*20,1)))</x:f>
      </x:c>
      <x:c r="AE49" s="38" t="str">
        <x:f>IF($A49="","",IF($AC49="BLOQUEADA",0,ROUND(($Q49*Scoring_Weights!$C$19+$R49*Scoring_Weights!$C$20+$S49*Scoring_Weights!$C$21+$T49*Scoring_Weights!$C$22+$U49*Scoring_Weights!$C$23+$V49*Scoring_Weights!$C$24+$W49*Scoring_Weights!$C$25)*20,1)))</x:f>
      </x:c>
      <x:c r="AF49" s="38" t="str">
        <x:f>IF($A49="","",IF($AC49="BLOQUEADA",0,ROUND(($Z49*Scoring_Weights!$C$27+$Y49*Scoring_Weights!$C$28+$X49*Scoring_Weights!$C$29)*20,1)))</x:f>
      </x:c>
      <x:c r="AG49" s="38" t="str">
        <x:f>IF($A49="","",IF($AC49="BLOQUEADA",0,ROUND(($AA49*Scoring_Weights!$C$31+$AB49*Scoring_Weights!$C$32+$K49*Scoring_Weights!$C$33)*20,1)))</x:f>
      </x:c>
      <x:c r="AH49" s="38" t="str">
        <x:f>IF($A49="","",IF($AC49="BLOQUEADA",0,MIN(10,IF(OR($O49&gt;=4,$P49&gt;=4),2,0)+IF($Q49&gt;=4,2,0)+IF($R49&gt;=4,2,0)+IF($U49&gt;=4,2,0)+IF($T49&gt;=4,1,0)+IF($V49&gt;=4,1,0))))</x:f>
      </x:c>
      <x:c r="AI49" s="38" t="str">
        <x:f>IF($A49="","",IF($AC49="BLOQUEADA",0,ROUND((MAX(0,5-$K49)+MAX(0,5-$AA49)+IF($I49="Ambigua",2,0)+IF($J49="Posible",2,0))*2,1)))</x:f>
      </x:c>
      <x:c r="AJ49" s="38" t="str">
        <x:f>IF($A49="","",IF($AC49="BLOQUEADA",0,ROUND($AD49*Scoring_Weights!$C$2+$AE49*Scoring_Weights!$C$3+$AF49*Scoring_Weights!$C$4+$AG49*Scoring_Weights!$C$5+$AH49*Scoring_Weights!$C$6-$AI49*Scoring_Weights!$C$7,1)))</x:f>
      </x:c>
      <x:c r="AK49" s="36" t="str">
        <x:f>IF($AC49&lt;&gt;"ELEGIBLE","",COUNTIFS($AC$2:$AC$101,"ELEGIBLE",$AJ$2:$AJ$101,"&gt;"&amp;$AJ49)+COUNTIFS($AC$2:$AC49,"ELEGIBLE",$AJ$2:$AJ49,$AJ49))</x:f>
      </x:c>
      <x:c r="AL49" s="23" t="str">
        <x:f>IF($A49="","",IF($AC49="BLOQUEADA","No seleccionable",IF($AC49="REVISIÓN","Revisión previa",IF($AK49&lt;=8,"Primaria propuesta","Contexto / backlog"))))</x:f>
      </x:c>
      <x:c r="AM49" s="23" t="str">
        <x:f>IF($A49="","",IF(MAX($O49,$P49)&gt;=MAX($Q49,$R49,$T49,$U49,$W49),"Transformación/OLC",IF(MAX($Q49,$R49)&gt;=MAX($T49,$U49,$W49),"Handoff/Flujo",IF(MAX($T49,$U49,$V49,$W49)&gt;=3,"Capacidad/Compensación","Contexto/PM"))))</x:f>
      </x:c>
      <x:c r="AN49" s="23"/>
      <x:c r="AO49" s="23" t="str">
        <x:f>IF($A49="","",IF($AN49="Forzar primaria","Primaria forzada",IF($AN49="Excluir","Excluida",IF($AN49="Revisión","Revisión previa",$AL49))))</x:f>
      </x:c>
      <x:c r="AP49" s="23" t="str">
        <x:f>IF($A49="","",IF($AC49="BLOQUEADA","Gate duro",IF($AD49&gt;=MAX($AE49,$AF49,$AG49),"Potencial MMABP",IF($AE49&gt;=MAX($AD49,$AF49,$AG49),"Fricción/variedad",IF($AF49&gt;=MAX($AD49,$AE49,$AG49),"Cobertura","Evidencia/feasibilidad")))))</x:f>
      </x:c>
      <x:c r="AQ49" s="23" t="str">
        <x:f>IF($A49="","",IF(LEFT($AO49,8)="Primaria",IF($AE49&gt;=75,"40+20 probable",IF($AD49&gt;=75,"40 base + causales selectivas","40 base + probes mínimos")),"No abre Runtime profundo"))</x:f>
      </x:c>
      <x:c r="AR49" s="23" t="str">
        <x:f>IF($A49="","",IF($AC49="BLOQUEADA","Corregir WorkMap/B0 antes de selección",IF($AC49="REVISIÓN","Microconfirmación B0 o resolución semántica",IF($AO49="Contexto / backlog","Conservar como contexto total","Enviar a Runtime"))))</x:f>
      </x:c>
      <x:c r="AS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  <x:c r="AA50" s="36"/>
      <x:c r="AB50" s="36"/>
      <x:c r="AC50" s="23" t="str">
        <x:f>IF($A50="","",IF(OR($G50&lt;&gt;"Sí",$H50&lt;&gt;"Sí",$I50&lt;&gt;"Correcta",$J50="Sí",$K50&lt;2),"BLOQUEADA",IF(OR($J50="Posible",$K50&lt;3,$L50&lt;2),"REVISIÓN","ELEGIBLE")))</x:f>
      </x:c>
      <x:c r="AD50" s="38" t="str">
        <x:f>IF($A50="","",IF($AC50="BLOQUEADA",0,ROUND(($L50*Scoring_Weights!$C$9+$M50*Scoring_Weights!$C$10+$N50*Scoring_Weights!$C$11+$O50*Scoring_Weights!$C$12+$P50*Scoring_Weights!$C$13+$Q50*Scoring_Weights!$C$14+$R50*Scoring_Weights!$C$15+$X50*Scoring_Weights!$C$16+$AB50*Scoring_Weights!$C$17)*20,1)))</x:f>
      </x:c>
      <x:c r="AE50" s="38" t="str">
        <x:f>IF($A50="","",IF($AC50="BLOQUEADA",0,ROUND(($Q50*Scoring_Weights!$C$19+$R50*Scoring_Weights!$C$20+$S50*Scoring_Weights!$C$21+$T50*Scoring_Weights!$C$22+$U50*Scoring_Weights!$C$23+$V50*Scoring_Weights!$C$24+$W50*Scoring_Weights!$C$25)*20,1)))</x:f>
      </x:c>
      <x:c r="AF50" s="38" t="str">
        <x:f>IF($A50="","",IF($AC50="BLOQUEADA",0,ROUND(($Z50*Scoring_Weights!$C$27+$Y50*Scoring_Weights!$C$28+$X50*Scoring_Weights!$C$29)*20,1)))</x:f>
      </x:c>
      <x:c r="AG50" s="38" t="str">
        <x:f>IF($A50="","",IF($AC50="BLOQUEADA",0,ROUND(($AA50*Scoring_Weights!$C$31+$AB50*Scoring_Weights!$C$32+$K50*Scoring_Weights!$C$33)*20,1)))</x:f>
      </x:c>
      <x:c r="AH50" s="38" t="str">
        <x:f>IF($A50="","",IF($AC50="BLOQUEADA",0,MIN(10,IF(OR($O50&gt;=4,$P50&gt;=4),2,0)+IF($Q50&gt;=4,2,0)+IF($R50&gt;=4,2,0)+IF($U50&gt;=4,2,0)+IF($T50&gt;=4,1,0)+IF($V50&gt;=4,1,0))))</x:f>
      </x:c>
      <x:c r="AI50" s="38" t="str">
        <x:f>IF($A50="","",IF($AC50="BLOQUEADA",0,ROUND((MAX(0,5-$K50)+MAX(0,5-$AA50)+IF($I50="Ambigua",2,0)+IF($J50="Posible",2,0))*2,1)))</x:f>
      </x:c>
      <x:c r="AJ50" s="38" t="str">
        <x:f>IF($A50="","",IF($AC50="BLOQUEADA",0,ROUND($AD50*Scoring_Weights!$C$2+$AE50*Scoring_Weights!$C$3+$AF50*Scoring_Weights!$C$4+$AG50*Scoring_Weights!$C$5+$AH50*Scoring_Weights!$C$6-$AI50*Scoring_Weights!$C$7,1)))</x:f>
      </x:c>
      <x:c r="AK50" s="36" t="str">
        <x:f>IF($AC50&lt;&gt;"ELEGIBLE","",COUNTIFS($AC$2:$AC$101,"ELEGIBLE",$AJ$2:$AJ$101,"&gt;"&amp;$AJ50)+COUNTIFS($AC$2:$AC50,"ELEGIBLE",$AJ$2:$AJ50,$AJ50))</x:f>
      </x:c>
      <x:c r="AL50" s="23" t="str">
        <x:f>IF($A50="","",IF($AC50="BLOQUEADA","No seleccionable",IF($AC50="REVISIÓN","Revisión previa",IF($AK50&lt;=8,"Primaria propuesta","Contexto / backlog"))))</x:f>
      </x:c>
      <x:c r="AM50" s="23" t="str">
        <x:f>IF($A50="","",IF(MAX($O50,$P50)&gt;=MAX($Q50,$R50,$T50,$U50,$W50),"Transformación/OLC",IF(MAX($Q50,$R50)&gt;=MAX($T50,$U50,$W50),"Handoff/Flujo",IF(MAX($T50,$U50,$V50,$W50)&gt;=3,"Capacidad/Compensación","Contexto/PM"))))</x:f>
      </x:c>
      <x:c r="AN50" s="23"/>
      <x:c r="AO50" s="23" t="str">
        <x:f>IF($A50="","",IF($AN50="Forzar primaria","Primaria forzada",IF($AN50="Excluir","Excluida",IF($AN50="Revisión","Revisión previa",$AL50))))</x:f>
      </x:c>
      <x:c r="AP50" s="23" t="str">
        <x:f>IF($A50="","",IF($AC50="BLOQUEADA","Gate duro",IF($AD50&gt;=MAX($AE50,$AF50,$AG50),"Potencial MMABP",IF($AE50&gt;=MAX($AD50,$AF50,$AG50),"Fricción/variedad",IF($AF50&gt;=MAX($AD50,$AE50,$AG50),"Cobertura","Evidencia/feasibilidad")))))</x:f>
      </x:c>
      <x:c r="AQ50" s="23" t="str">
        <x:f>IF($A50="","",IF(LEFT($AO50,8)="Primaria",IF($AE50&gt;=75,"40+20 probable",IF($AD50&gt;=75,"40 base + causales selectivas","40 base + probes mínimos")),"No abre Runtime profundo"))</x:f>
      </x:c>
      <x:c r="AR50" s="23" t="str">
        <x:f>IF($A50="","",IF($AC50="BLOQUEADA","Corregir WorkMap/B0 antes de selección",IF($AC50="REVISIÓN","Microconfirmación B0 o resolución semántica",IF($AO50="Contexto / backlog","Conservar como contexto total","Enviar a Runtime"))))</x:f>
      </x:c>
      <x:c r="AS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  <x:c r="AA51" s="36"/>
      <x:c r="AB51" s="36"/>
      <x:c r="AC51" s="23" t="str">
        <x:f>IF($A51="","",IF(OR($G51&lt;&gt;"Sí",$H51&lt;&gt;"Sí",$I51&lt;&gt;"Correcta",$J51="Sí",$K51&lt;2),"BLOQUEADA",IF(OR($J51="Posible",$K51&lt;3,$L51&lt;2),"REVISIÓN","ELEGIBLE")))</x:f>
      </x:c>
      <x:c r="AD51" s="38" t="str">
        <x:f>IF($A51="","",IF($AC51="BLOQUEADA",0,ROUND(($L51*Scoring_Weights!$C$9+$M51*Scoring_Weights!$C$10+$N51*Scoring_Weights!$C$11+$O51*Scoring_Weights!$C$12+$P51*Scoring_Weights!$C$13+$Q51*Scoring_Weights!$C$14+$R51*Scoring_Weights!$C$15+$X51*Scoring_Weights!$C$16+$AB51*Scoring_Weights!$C$17)*20,1)))</x:f>
      </x:c>
      <x:c r="AE51" s="38" t="str">
        <x:f>IF($A51="","",IF($AC51="BLOQUEADA",0,ROUND(($Q51*Scoring_Weights!$C$19+$R51*Scoring_Weights!$C$20+$S51*Scoring_Weights!$C$21+$T51*Scoring_Weights!$C$22+$U51*Scoring_Weights!$C$23+$V51*Scoring_Weights!$C$24+$W51*Scoring_Weights!$C$25)*20,1)))</x:f>
      </x:c>
      <x:c r="AF51" s="38" t="str">
        <x:f>IF($A51="","",IF($AC51="BLOQUEADA",0,ROUND(($Z51*Scoring_Weights!$C$27+$Y51*Scoring_Weights!$C$28+$X51*Scoring_Weights!$C$29)*20,1)))</x:f>
      </x:c>
      <x:c r="AG51" s="38" t="str">
        <x:f>IF($A51="","",IF($AC51="BLOQUEADA",0,ROUND(($AA51*Scoring_Weights!$C$31+$AB51*Scoring_Weights!$C$32+$K51*Scoring_Weights!$C$33)*20,1)))</x:f>
      </x:c>
      <x:c r="AH51" s="38" t="str">
        <x:f>IF($A51="","",IF($AC51="BLOQUEADA",0,MIN(10,IF(OR($O51&gt;=4,$P51&gt;=4),2,0)+IF($Q51&gt;=4,2,0)+IF($R51&gt;=4,2,0)+IF($U51&gt;=4,2,0)+IF($T51&gt;=4,1,0)+IF($V51&gt;=4,1,0))))</x:f>
      </x:c>
      <x:c r="AI51" s="38" t="str">
        <x:f>IF($A51="","",IF($AC51="BLOQUEADA",0,ROUND((MAX(0,5-$K51)+MAX(0,5-$AA51)+IF($I51="Ambigua",2,0)+IF($J51="Posible",2,0))*2,1)))</x:f>
      </x:c>
      <x:c r="AJ51" s="38" t="str">
        <x:f>IF($A51="","",IF($AC51="BLOQUEADA",0,ROUND($AD51*Scoring_Weights!$C$2+$AE51*Scoring_Weights!$C$3+$AF51*Scoring_Weights!$C$4+$AG51*Scoring_Weights!$C$5+$AH51*Scoring_Weights!$C$6-$AI51*Scoring_Weights!$C$7,1)))</x:f>
      </x:c>
      <x:c r="AK51" s="36" t="str">
        <x:f>IF($AC51&lt;&gt;"ELEGIBLE","",COUNTIFS($AC$2:$AC$101,"ELEGIBLE",$AJ$2:$AJ$101,"&gt;"&amp;$AJ51)+COUNTIFS($AC$2:$AC51,"ELEGIBLE",$AJ$2:$AJ51,$AJ51))</x:f>
      </x:c>
      <x:c r="AL51" s="23" t="str">
        <x:f>IF($A51="","",IF($AC51="BLOQUEADA","No seleccionable",IF($AC51="REVISIÓN","Revisión previa",IF($AK51&lt;=8,"Primaria propuesta","Contexto / backlog"))))</x:f>
      </x:c>
      <x:c r="AM51" s="23" t="str">
        <x:f>IF($A51="","",IF(MAX($O51,$P51)&gt;=MAX($Q51,$R51,$T51,$U51,$W51),"Transformación/OLC",IF(MAX($Q51,$R51)&gt;=MAX($T51,$U51,$W51),"Handoff/Flujo",IF(MAX($T51,$U51,$V51,$W51)&gt;=3,"Capacidad/Compensación","Contexto/PM"))))</x:f>
      </x:c>
      <x:c r="AN51" s="23"/>
      <x:c r="AO51" s="23" t="str">
        <x:f>IF($A51="","",IF($AN51="Forzar primaria","Primaria forzada",IF($AN51="Excluir","Excluida",IF($AN51="Revisión","Revisión previa",$AL51))))</x:f>
      </x:c>
      <x:c r="AP51" s="23" t="str">
        <x:f>IF($A51="","",IF($AC51="BLOQUEADA","Gate duro",IF($AD51&gt;=MAX($AE51,$AF51,$AG51),"Potencial MMABP",IF($AE51&gt;=MAX($AD51,$AF51,$AG51),"Fricción/variedad",IF($AF51&gt;=MAX($AD51,$AE51,$AG51),"Cobertura","Evidencia/feasibilidad")))))</x:f>
      </x:c>
      <x:c r="AQ51" s="23" t="str">
        <x:f>IF($A51="","",IF(LEFT($AO51,8)="Primaria",IF($AE51&gt;=75,"40+20 probable",IF($AD51&gt;=75,"40 base + causales selectivas","40 base + probes mínimos")),"No abre Runtime profundo"))</x:f>
      </x:c>
      <x:c r="AR51" s="23" t="str">
        <x:f>IF($A51="","",IF($AC51="BLOQUEADA","Corregir WorkMap/B0 antes de selección",IF($AC51="REVISIÓN","Microconfirmación B0 o resolución semántica",IF($AO51="Contexto / backlog","Conservar como contexto total","Enviar a Runtime"))))</x:f>
      </x:c>
      <x:c r="AS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  <x:c r="AA52" s="36"/>
      <x:c r="AB52" s="36"/>
      <x:c r="AC52" s="23" t="str">
        <x:f>IF($A52="","",IF(OR($G52&lt;&gt;"Sí",$H52&lt;&gt;"Sí",$I52&lt;&gt;"Correcta",$J52="Sí",$K52&lt;2),"BLOQUEADA",IF(OR($J52="Posible",$K52&lt;3,$L52&lt;2),"REVISIÓN","ELEGIBLE")))</x:f>
      </x:c>
      <x:c r="AD52" s="38" t="str">
        <x:f>IF($A52="","",IF($AC52="BLOQUEADA",0,ROUND(($L52*Scoring_Weights!$C$9+$M52*Scoring_Weights!$C$10+$N52*Scoring_Weights!$C$11+$O52*Scoring_Weights!$C$12+$P52*Scoring_Weights!$C$13+$Q52*Scoring_Weights!$C$14+$R52*Scoring_Weights!$C$15+$X52*Scoring_Weights!$C$16+$AB52*Scoring_Weights!$C$17)*20,1)))</x:f>
      </x:c>
      <x:c r="AE52" s="38" t="str">
        <x:f>IF($A52="","",IF($AC52="BLOQUEADA",0,ROUND(($Q52*Scoring_Weights!$C$19+$R52*Scoring_Weights!$C$20+$S52*Scoring_Weights!$C$21+$T52*Scoring_Weights!$C$22+$U52*Scoring_Weights!$C$23+$V52*Scoring_Weights!$C$24+$W52*Scoring_Weights!$C$25)*20,1)))</x:f>
      </x:c>
      <x:c r="AF52" s="38" t="str">
        <x:f>IF($A52="","",IF($AC52="BLOQUEADA",0,ROUND(($Z52*Scoring_Weights!$C$27+$Y52*Scoring_Weights!$C$28+$X52*Scoring_Weights!$C$29)*20,1)))</x:f>
      </x:c>
      <x:c r="AG52" s="38" t="str">
        <x:f>IF($A52="","",IF($AC52="BLOQUEADA",0,ROUND(($AA52*Scoring_Weights!$C$31+$AB52*Scoring_Weights!$C$32+$K52*Scoring_Weights!$C$33)*20,1)))</x:f>
      </x:c>
      <x:c r="AH52" s="38" t="str">
        <x:f>IF($A52="","",IF($AC52="BLOQUEADA",0,MIN(10,IF(OR($O52&gt;=4,$P52&gt;=4),2,0)+IF($Q52&gt;=4,2,0)+IF($R52&gt;=4,2,0)+IF($U52&gt;=4,2,0)+IF($T52&gt;=4,1,0)+IF($V52&gt;=4,1,0))))</x:f>
      </x:c>
      <x:c r="AI52" s="38" t="str">
        <x:f>IF($A52="","",IF($AC52="BLOQUEADA",0,ROUND((MAX(0,5-$K52)+MAX(0,5-$AA52)+IF($I52="Ambigua",2,0)+IF($J52="Posible",2,0))*2,1)))</x:f>
      </x:c>
      <x:c r="AJ52" s="38" t="str">
        <x:f>IF($A52="","",IF($AC52="BLOQUEADA",0,ROUND($AD52*Scoring_Weights!$C$2+$AE52*Scoring_Weights!$C$3+$AF52*Scoring_Weights!$C$4+$AG52*Scoring_Weights!$C$5+$AH52*Scoring_Weights!$C$6-$AI52*Scoring_Weights!$C$7,1)))</x:f>
      </x:c>
      <x:c r="AK52" s="36" t="str">
        <x:f>IF($AC52&lt;&gt;"ELEGIBLE","",COUNTIFS($AC$2:$AC$101,"ELEGIBLE",$AJ$2:$AJ$101,"&gt;"&amp;$AJ52)+COUNTIFS($AC$2:$AC52,"ELEGIBLE",$AJ$2:$AJ52,$AJ52))</x:f>
      </x:c>
      <x:c r="AL52" s="23" t="str">
        <x:f>IF($A52="","",IF($AC52="BLOQUEADA","No seleccionable",IF($AC52="REVISIÓN","Revisión previa",IF($AK52&lt;=8,"Primaria propuesta","Contexto / backlog"))))</x:f>
      </x:c>
      <x:c r="AM52" s="23" t="str">
        <x:f>IF($A52="","",IF(MAX($O52,$P52)&gt;=MAX($Q52,$R52,$T52,$U52,$W52),"Transformación/OLC",IF(MAX($Q52,$R52)&gt;=MAX($T52,$U52,$W52),"Handoff/Flujo",IF(MAX($T52,$U52,$V52,$W52)&gt;=3,"Capacidad/Compensación","Contexto/PM"))))</x:f>
      </x:c>
      <x:c r="AN52" s="23"/>
      <x:c r="AO52" s="23" t="str">
        <x:f>IF($A52="","",IF($AN52="Forzar primaria","Primaria forzada",IF($AN52="Excluir","Excluida",IF($AN52="Revisión","Revisión previa",$AL52))))</x:f>
      </x:c>
      <x:c r="AP52" s="23" t="str">
        <x:f>IF($A52="","",IF($AC52="BLOQUEADA","Gate duro",IF($AD52&gt;=MAX($AE52,$AF52,$AG52),"Potencial MMABP",IF($AE52&gt;=MAX($AD52,$AF52,$AG52),"Fricción/variedad",IF($AF52&gt;=MAX($AD52,$AE52,$AG52),"Cobertura","Evidencia/feasibilidad")))))</x:f>
      </x:c>
      <x:c r="AQ52" s="23" t="str">
        <x:f>IF($A52="","",IF(LEFT($AO52,8)="Primaria",IF($AE52&gt;=75,"40+20 probable",IF($AD52&gt;=75,"40 base + causales selectivas","40 base + probes mínimos")),"No abre Runtime profundo"))</x:f>
      </x:c>
      <x:c r="AR52" s="23" t="str">
        <x:f>IF($A52="","",IF($AC52="BLOQUEADA","Corregir WorkMap/B0 antes de selección",IF($AC52="REVISIÓN","Microconfirmación B0 o resolución semántica",IF($AO52="Contexto / backlog","Conservar como contexto total","Enviar a Runtime"))))</x:f>
      </x:c>
      <x:c r="AS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  <x:c r="AA53" s="36"/>
      <x:c r="AB53" s="36"/>
      <x:c r="AC53" s="23" t="str">
        <x:f>IF($A53="","",IF(OR($G53&lt;&gt;"Sí",$H53&lt;&gt;"Sí",$I53&lt;&gt;"Correcta",$J53="Sí",$K53&lt;2),"BLOQUEADA",IF(OR($J53="Posible",$K53&lt;3,$L53&lt;2),"REVISIÓN","ELEGIBLE")))</x:f>
      </x:c>
      <x:c r="AD53" s="38" t="str">
        <x:f>IF($A53="","",IF($AC53="BLOQUEADA",0,ROUND(($L53*Scoring_Weights!$C$9+$M53*Scoring_Weights!$C$10+$N53*Scoring_Weights!$C$11+$O53*Scoring_Weights!$C$12+$P53*Scoring_Weights!$C$13+$Q53*Scoring_Weights!$C$14+$R53*Scoring_Weights!$C$15+$X53*Scoring_Weights!$C$16+$AB53*Scoring_Weights!$C$17)*20,1)))</x:f>
      </x:c>
      <x:c r="AE53" s="38" t="str">
        <x:f>IF($A53="","",IF($AC53="BLOQUEADA",0,ROUND(($Q53*Scoring_Weights!$C$19+$R53*Scoring_Weights!$C$20+$S53*Scoring_Weights!$C$21+$T53*Scoring_Weights!$C$22+$U53*Scoring_Weights!$C$23+$V53*Scoring_Weights!$C$24+$W53*Scoring_Weights!$C$25)*20,1)))</x:f>
      </x:c>
      <x:c r="AF53" s="38" t="str">
        <x:f>IF($A53="","",IF($AC53="BLOQUEADA",0,ROUND(($Z53*Scoring_Weights!$C$27+$Y53*Scoring_Weights!$C$28+$X53*Scoring_Weights!$C$29)*20,1)))</x:f>
      </x:c>
      <x:c r="AG53" s="38" t="str">
        <x:f>IF($A53="","",IF($AC53="BLOQUEADA",0,ROUND(($AA53*Scoring_Weights!$C$31+$AB53*Scoring_Weights!$C$32+$K53*Scoring_Weights!$C$33)*20,1)))</x:f>
      </x:c>
      <x:c r="AH53" s="38" t="str">
        <x:f>IF($A53="","",IF($AC53="BLOQUEADA",0,MIN(10,IF(OR($O53&gt;=4,$P53&gt;=4),2,0)+IF($Q53&gt;=4,2,0)+IF($R53&gt;=4,2,0)+IF($U53&gt;=4,2,0)+IF($T53&gt;=4,1,0)+IF($V53&gt;=4,1,0))))</x:f>
      </x:c>
      <x:c r="AI53" s="38" t="str">
        <x:f>IF($A53="","",IF($AC53="BLOQUEADA",0,ROUND((MAX(0,5-$K53)+MAX(0,5-$AA53)+IF($I53="Ambigua",2,0)+IF($J53="Posible",2,0))*2,1)))</x:f>
      </x:c>
      <x:c r="AJ53" s="38" t="str">
        <x:f>IF($A53="","",IF($AC53="BLOQUEADA",0,ROUND($AD53*Scoring_Weights!$C$2+$AE53*Scoring_Weights!$C$3+$AF53*Scoring_Weights!$C$4+$AG53*Scoring_Weights!$C$5+$AH53*Scoring_Weights!$C$6-$AI53*Scoring_Weights!$C$7,1)))</x:f>
      </x:c>
      <x:c r="AK53" s="36" t="str">
        <x:f>IF($AC53&lt;&gt;"ELEGIBLE","",COUNTIFS($AC$2:$AC$101,"ELEGIBLE",$AJ$2:$AJ$101,"&gt;"&amp;$AJ53)+COUNTIFS($AC$2:$AC53,"ELEGIBLE",$AJ$2:$AJ53,$AJ53))</x:f>
      </x:c>
      <x:c r="AL53" s="23" t="str">
        <x:f>IF($A53="","",IF($AC53="BLOQUEADA","No seleccionable",IF($AC53="REVISIÓN","Revisión previa",IF($AK53&lt;=8,"Primaria propuesta","Contexto / backlog"))))</x:f>
      </x:c>
      <x:c r="AM53" s="23" t="str">
        <x:f>IF($A53="","",IF(MAX($O53,$P53)&gt;=MAX($Q53,$R53,$T53,$U53,$W53),"Transformación/OLC",IF(MAX($Q53,$R53)&gt;=MAX($T53,$U53,$W53),"Handoff/Flujo",IF(MAX($T53,$U53,$V53,$W53)&gt;=3,"Capacidad/Compensación","Contexto/PM"))))</x:f>
      </x:c>
      <x:c r="AN53" s="23"/>
      <x:c r="AO53" s="23" t="str">
        <x:f>IF($A53="","",IF($AN53="Forzar primaria","Primaria forzada",IF($AN53="Excluir","Excluida",IF($AN53="Revisión","Revisión previa",$AL53))))</x:f>
      </x:c>
      <x:c r="AP53" s="23" t="str">
        <x:f>IF($A53="","",IF($AC53="BLOQUEADA","Gate duro",IF($AD53&gt;=MAX($AE53,$AF53,$AG53),"Potencial MMABP",IF($AE53&gt;=MAX($AD53,$AF53,$AG53),"Fricción/variedad",IF($AF53&gt;=MAX($AD53,$AE53,$AG53),"Cobertura","Evidencia/feasibilidad")))))</x:f>
      </x:c>
      <x:c r="AQ53" s="23" t="str">
        <x:f>IF($A53="","",IF(LEFT($AO53,8)="Primaria",IF($AE53&gt;=75,"40+20 probable",IF($AD53&gt;=75,"40 base + causales selectivas","40 base + probes mínimos")),"No abre Runtime profundo"))</x:f>
      </x:c>
      <x:c r="AR53" s="23" t="str">
        <x:f>IF($A53="","",IF($AC53="BLOQUEADA","Corregir WorkMap/B0 antes de selección",IF($AC53="REVISIÓN","Microconfirmación B0 o resolución semántica",IF($AO53="Contexto / backlog","Conservar como contexto total","Enviar a Runtime"))))</x:f>
      </x:c>
      <x:c r="AS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  <x:c r="AA54" s="36"/>
      <x:c r="AB54" s="36"/>
      <x:c r="AC54" s="23" t="str">
        <x:f>IF($A54="","",IF(OR($G54&lt;&gt;"Sí",$H54&lt;&gt;"Sí",$I54&lt;&gt;"Correcta",$J54="Sí",$K54&lt;2),"BLOQUEADA",IF(OR($J54="Posible",$K54&lt;3,$L54&lt;2),"REVISIÓN","ELEGIBLE")))</x:f>
      </x:c>
      <x:c r="AD54" s="38" t="str">
        <x:f>IF($A54="","",IF($AC54="BLOQUEADA",0,ROUND(($L54*Scoring_Weights!$C$9+$M54*Scoring_Weights!$C$10+$N54*Scoring_Weights!$C$11+$O54*Scoring_Weights!$C$12+$P54*Scoring_Weights!$C$13+$Q54*Scoring_Weights!$C$14+$R54*Scoring_Weights!$C$15+$X54*Scoring_Weights!$C$16+$AB54*Scoring_Weights!$C$17)*20,1)))</x:f>
      </x:c>
      <x:c r="AE54" s="38" t="str">
        <x:f>IF($A54="","",IF($AC54="BLOQUEADA",0,ROUND(($Q54*Scoring_Weights!$C$19+$R54*Scoring_Weights!$C$20+$S54*Scoring_Weights!$C$21+$T54*Scoring_Weights!$C$22+$U54*Scoring_Weights!$C$23+$V54*Scoring_Weights!$C$24+$W54*Scoring_Weights!$C$25)*20,1)))</x:f>
      </x:c>
      <x:c r="AF54" s="38" t="str">
        <x:f>IF($A54="","",IF($AC54="BLOQUEADA",0,ROUND(($Z54*Scoring_Weights!$C$27+$Y54*Scoring_Weights!$C$28+$X54*Scoring_Weights!$C$29)*20,1)))</x:f>
      </x:c>
      <x:c r="AG54" s="38" t="str">
        <x:f>IF($A54="","",IF($AC54="BLOQUEADA",0,ROUND(($AA54*Scoring_Weights!$C$31+$AB54*Scoring_Weights!$C$32+$K54*Scoring_Weights!$C$33)*20,1)))</x:f>
      </x:c>
      <x:c r="AH54" s="38" t="str">
        <x:f>IF($A54="","",IF($AC54="BLOQUEADA",0,MIN(10,IF(OR($O54&gt;=4,$P54&gt;=4),2,0)+IF($Q54&gt;=4,2,0)+IF($R54&gt;=4,2,0)+IF($U54&gt;=4,2,0)+IF($T54&gt;=4,1,0)+IF($V54&gt;=4,1,0))))</x:f>
      </x:c>
      <x:c r="AI54" s="38" t="str">
        <x:f>IF($A54="","",IF($AC54="BLOQUEADA",0,ROUND((MAX(0,5-$K54)+MAX(0,5-$AA54)+IF($I54="Ambigua",2,0)+IF($J54="Posible",2,0))*2,1)))</x:f>
      </x:c>
      <x:c r="AJ54" s="38" t="str">
        <x:f>IF($A54="","",IF($AC54="BLOQUEADA",0,ROUND($AD54*Scoring_Weights!$C$2+$AE54*Scoring_Weights!$C$3+$AF54*Scoring_Weights!$C$4+$AG54*Scoring_Weights!$C$5+$AH54*Scoring_Weights!$C$6-$AI54*Scoring_Weights!$C$7,1)))</x:f>
      </x:c>
      <x:c r="AK54" s="36" t="str">
        <x:f>IF($AC54&lt;&gt;"ELEGIBLE","",COUNTIFS($AC$2:$AC$101,"ELEGIBLE",$AJ$2:$AJ$101,"&gt;"&amp;$AJ54)+COUNTIFS($AC$2:$AC54,"ELEGIBLE",$AJ$2:$AJ54,$AJ54))</x:f>
      </x:c>
      <x:c r="AL54" s="23" t="str">
        <x:f>IF($A54="","",IF($AC54="BLOQUEADA","No seleccionable",IF($AC54="REVISIÓN","Revisión previa",IF($AK54&lt;=8,"Primaria propuesta","Contexto / backlog"))))</x:f>
      </x:c>
      <x:c r="AM54" s="23" t="str">
        <x:f>IF($A54="","",IF(MAX($O54,$P54)&gt;=MAX($Q54,$R54,$T54,$U54,$W54),"Transformación/OLC",IF(MAX($Q54,$R54)&gt;=MAX($T54,$U54,$W54),"Handoff/Flujo",IF(MAX($T54,$U54,$V54,$W54)&gt;=3,"Capacidad/Compensación","Contexto/PM"))))</x:f>
      </x:c>
      <x:c r="AN54" s="23"/>
      <x:c r="AO54" s="23" t="str">
        <x:f>IF($A54="","",IF($AN54="Forzar primaria","Primaria forzada",IF($AN54="Excluir","Excluida",IF($AN54="Revisión","Revisión previa",$AL54))))</x:f>
      </x:c>
      <x:c r="AP54" s="23" t="str">
        <x:f>IF($A54="","",IF($AC54="BLOQUEADA","Gate duro",IF($AD54&gt;=MAX($AE54,$AF54,$AG54),"Potencial MMABP",IF($AE54&gt;=MAX($AD54,$AF54,$AG54),"Fricción/variedad",IF($AF54&gt;=MAX($AD54,$AE54,$AG54),"Cobertura","Evidencia/feasibilidad")))))</x:f>
      </x:c>
      <x:c r="AQ54" s="23" t="str">
        <x:f>IF($A54="","",IF(LEFT($AO54,8)="Primaria",IF($AE54&gt;=75,"40+20 probable",IF($AD54&gt;=75,"40 base + causales selectivas","40 base + probes mínimos")),"No abre Runtime profundo"))</x:f>
      </x:c>
      <x:c r="AR54" s="23" t="str">
        <x:f>IF($A54="","",IF($AC54="BLOQUEADA","Corregir WorkMap/B0 antes de selección",IF($AC54="REVISIÓN","Microconfirmación B0 o resolución semántica",IF($AO54="Contexto / backlog","Conservar como contexto total","Enviar a Runtime"))))</x:f>
      </x:c>
      <x:c r="AS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  <x:c r="AA55" s="36"/>
      <x:c r="AB55" s="36"/>
      <x:c r="AC55" s="23" t="str">
        <x:f>IF($A55="","",IF(OR($G55&lt;&gt;"Sí",$H55&lt;&gt;"Sí",$I55&lt;&gt;"Correcta",$J55="Sí",$K55&lt;2),"BLOQUEADA",IF(OR($J55="Posible",$K55&lt;3,$L55&lt;2),"REVISIÓN","ELEGIBLE")))</x:f>
      </x:c>
      <x:c r="AD55" s="38" t="str">
        <x:f>IF($A55="","",IF($AC55="BLOQUEADA",0,ROUND(($L55*Scoring_Weights!$C$9+$M55*Scoring_Weights!$C$10+$N55*Scoring_Weights!$C$11+$O55*Scoring_Weights!$C$12+$P55*Scoring_Weights!$C$13+$Q55*Scoring_Weights!$C$14+$R55*Scoring_Weights!$C$15+$X55*Scoring_Weights!$C$16+$AB55*Scoring_Weights!$C$17)*20,1)))</x:f>
      </x:c>
      <x:c r="AE55" s="38" t="str">
        <x:f>IF($A55="","",IF($AC55="BLOQUEADA",0,ROUND(($Q55*Scoring_Weights!$C$19+$R55*Scoring_Weights!$C$20+$S55*Scoring_Weights!$C$21+$T55*Scoring_Weights!$C$22+$U55*Scoring_Weights!$C$23+$V55*Scoring_Weights!$C$24+$W55*Scoring_Weights!$C$25)*20,1)))</x:f>
      </x:c>
      <x:c r="AF55" s="38" t="str">
        <x:f>IF($A55="","",IF($AC55="BLOQUEADA",0,ROUND(($Z55*Scoring_Weights!$C$27+$Y55*Scoring_Weights!$C$28+$X55*Scoring_Weights!$C$29)*20,1)))</x:f>
      </x:c>
      <x:c r="AG55" s="38" t="str">
        <x:f>IF($A55="","",IF($AC55="BLOQUEADA",0,ROUND(($AA55*Scoring_Weights!$C$31+$AB55*Scoring_Weights!$C$32+$K55*Scoring_Weights!$C$33)*20,1)))</x:f>
      </x:c>
      <x:c r="AH55" s="38" t="str">
        <x:f>IF($A55="","",IF($AC55="BLOQUEADA",0,MIN(10,IF(OR($O55&gt;=4,$P55&gt;=4),2,0)+IF($Q55&gt;=4,2,0)+IF($R55&gt;=4,2,0)+IF($U55&gt;=4,2,0)+IF($T55&gt;=4,1,0)+IF($V55&gt;=4,1,0))))</x:f>
      </x:c>
      <x:c r="AI55" s="38" t="str">
        <x:f>IF($A55="","",IF($AC55="BLOQUEADA",0,ROUND((MAX(0,5-$K55)+MAX(0,5-$AA55)+IF($I55="Ambigua",2,0)+IF($J55="Posible",2,0))*2,1)))</x:f>
      </x:c>
      <x:c r="AJ55" s="38" t="str">
        <x:f>IF($A55="","",IF($AC55="BLOQUEADA",0,ROUND($AD55*Scoring_Weights!$C$2+$AE55*Scoring_Weights!$C$3+$AF55*Scoring_Weights!$C$4+$AG55*Scoring_Weights!$C$5+$AH55*Scoring_Weights!$C$6-$AI55*Scoring_Weights!$C$7,1)))</x:f>
      </x:c>
      <x:c r="AK55" s="36" t="str">
        <x:f>IF($AC55&lt;&gt;"ELEGIBLE","",COUNTIFS($AC$2:$AC$101,"ELEGIBLE",$AJ$2:$AJ$101,"&gt;"&amp;$AJ55)+COUNTIFS($AC$2:$AC55,"ELEGIBLE",$AJ$2:$AJ55,$AJ55))</x:f>
      </x:c>
      <x:c r="AL55" s="23" t="str">
        <x:f>IF($A55="","",IF($AC55="BLOQUEADA","No seleccionable",IF($AC55="REVISIÓN","Revisión previa",IF($AK55&lt;=8,"Primaria propuesta","Contexto / backlog"))))</x:f>
      </x:c>
      <x:c r="AM55" s="23" t="str">
        <x:f>IF($A55="","",IF(MAX($O55,$P55)&gt;=MAX($Q55,$R55,$T55,$U55,$W55),"Transformación/OLC",IF(MAX($Q55,$R55)&gt;=MAX($T55,$U55,$W55),"Handoff/Flujo",IF(MAX($T55,$U55,$V55,$W55)&gt;=3,"Capacidad/Compensación","Contexto/PM"))))</x:f>
      </x:c>
      <x:c r="AN55" s="23"/>
      <x:c r="AO55" s="23" t="str">
        <x:f>IF($A55="","",IF($AN55="Forzar primaria","Primaria forzada",IF($AN55="Excluir","Excluida",IF($AN55="Revisión","Revisión previa",$AL55))))</x:f>
      </x:c>
      <x:c r="AP55" s="23" t="str">
        <x:f>IF($A55="","",IF($AC55="BLOQUEADA","Gate duro",IF($AD55&gt;=MAX($AE55,$AF55,$AG55),"Potencial MMABP",IF($AE55&gt;=MAX($AD55,$AF55,$AG55),"Fricción/variedad",IF($AF55&gt;=MAX($AD55,$AE55,$AG55),"Cobertura","Evidencia/feasibilidad")))))</x:f>
      </x:c>
      <x:c r="AQ55" s="23" t="str">
        <x:f>IF($A55="","",IF(LEFT($AO55,8)="Primaria",IF($AE55&gt;=75,"40+20 probable",IF($AD55&gt;=75,"40 base + causales selectivas","40 base + probes mínimos")),"No abre Runtime profundo"))</x:f>
      </x:c>
      <x:c r="AR55" s="23" t="str">
        <x:f>IF($A55="","",IF($AC55="BLOQUEADA","Corregir WorkMap/B0 antes de selección",IF($AC55="REVISIÓN","Microconfirmación B0 o resolución semántica",IF($AO55="Contexto / backlog","Conservar como contexto total","Enviar a Runtime"))))</x:f>
      </x:c>
      <x:c r="AS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  <x:c r="AA56" s="36"/>
      <x:c r="AB56" s="36"/>
      <x:c r="AC56" s="23" t="str">
        <x:f>IF($A56="","",IF(OR($G56&lt;&gt;"Sí",$H56&lt;&gt;"Sí",$I56&lt;&gt;"Correcta",$J56="Sí",$K56&lt;2),"BLOQUEADA",IF(OR($J56="Posible",$K56&lt;3,$L56&lt;2),"REVISIÓN","ELEGIBLE")))</x:f>
      </x:c>
      <x:c r="AD56" s="38" t="str">
        <x:f>IF($A56="","",IF($AC56="BLOQUEADA",0,ROUND(($L56*Scoring_Weights!$C$9+$M56*Scoring_Weights!$C$10+$N56*Scoring_Weights!$C$11+$O56*Scoring_Weights!$C$12+$P56*Scoring_Weights!$C$13+$Q56*Scoring_Weights!$C$14+$R56*Scoring_Weights!$C$15+$X56*Scoring_Weights!$C$16+$AB56*Scoring_Weights!$C$17)*20,1)))</x:f>
      </x:c>
      <x:c r="AE56" s="38" t="str">
        <x:f>IF($A56="","",IF($AC56="BLOQUEADA",0,ROUND(($Q56*Scoring_Weights!$C$19+$R56*Scoring_Weights!$C$20+$S56*Scoring_Weights!$C$21+$T56*Scoring_Weights!$C$22+$U56*Scoring_Weights!$C$23+$V56*Scoring_Weights!$C$24+$W56*Scoring_Weights!$C$25)*20,1)))</x:f>
      </x:c>
      <x:c r="AF56" s="38" t="str">
        <x:f>IF($A56="","",IF($AC56="BLOQUEADA",0,ROUND(($Z56*Scoring_Weights!$C$27+$Y56*Scoring_Weights!$C$28+$X56*Scoring_Weights!$C$29)*20,1)))</x:f>
      </x:c>
      <x:c r="AG56" s="38" t="str">
        <x:f>IF($A56="","",IF($AC56="BLOQUEADA",0,ROUND(($AA56*Scoring_Weights!$C$31+$AB56*Scoring_Weights!$C$32+$K56*Scoring_Weights!$C$33)*20,1)))</x:f>
      </x:c>
      <x:c r="AH56" s="38" t="str">
        <x:f>IF($A56="","",IF($AC56="BLOQUEADA",0,MIN(10,IF(OR($O56&gt;=4,$P56&gt;=4),2,0)+IF($Q56&gt;=4,2,0)+IF($R56&gt;=4,2,0)+IF($U56&gt;=4,2,0)+IF($T56&gt;=4,1,0)+IF($V56&gt;=4,1,0))))</x:f>
      </x:c>
      <x:c r="AI56" s="38" t="str">
        <x:f>IF($A56="","",IF($AC56="BLOQUEADA",0,ROUND((MAX(0,5-$K56)+MAX(0,5-$AA56)+IF($I56="Ambigua",2,0)+IF($J56="Posible",2,0))*2,1)))</x:f>
      </x:c>
      <x:c r="AJ56" s="38" t="str">
        <x:f>IF($A56="","",IF($AC56="BLOQUEADA",0,ROUND($AD56*Scoring_Weights!$C$2+$AE56*Scoring_Weights!$C$3+$AF56*Scoring_Weights!$C$4+$AG56*Scoring_Weights!$C$5+$AH56*Scoring_Weights!$C$6-$AI56*Scoring_Weights!$C$7,1)))</x:f>
      </x:c>
      <x:c r="AK56" s="36" t="str">
        <x:f>IF($AC56&lt;&gt;"ELEGIBLE","",COUNTIFS($AC$2:$AC$101,"ELEGIBLE",$AJ$2:$AJ$101,"&gt;"&amp;$AJ56)+COUNTIFS($AC$2:$AC56,"ELEGIBLE",$AJ$2:$AJ56,$AJ56))</x:f>
      </x:c>
      <x:c r="AL56" s="23" t="str">
        <x:f>IF($A56="","",IF($AC56="BLOQUEADA","No seleccionable",IF($AC56="REVISIÓN","Revisión previa",IF($AK56&lt;=8,"Primaria propuesta","Contexto / backlog"))))</x:f>
      </x:c>
      <x:c r="AM56" s="23" t="str">
        <x:f>IF($A56="","",IF(MAX($O56,$P56)&gt;=MAX($Q56,$R56,$T56,$U56,$W56),"Transformación/OLC",IF(MAX($Q56,$R56)&gt;=MAX($T56,$U56,$W56),"Handoff/Flujo",IF(MAX($T56,$U56,$V56,$W56)&gt;=3,"Capacidad/Compensación","Contexto/PM"))))</x:f>
      </x:c>
      <x:c r="AN56" s="23"/>
      <x:c r="AO56" s="23" t="str">
        <x:f>IF($A56="","",IF($AN56="Forzar primaria","Primaria forzada",IF($AN56="Excluir","Excluida",IF($AN56="Revisión","Revisión previa",$AL56))))</x:f>
      </x:c>
      <x:c r="AP56" s="23" t="str">
        <x:f>IF($A56="","",IF($AC56="BLOQUEADA","Gate duro",IF($AD56&gt;=MAX($AE56,$AF56,$AG56),"Potencial MMABP",IF($AE56&gt;=MAX($AD56,$AF56,$AG56),"Fricción/variedad",IF($AF56&gt;=MAX($AD56,$AE56,$AG56),"Cobertura","Evidencia/feasibilidad")))))</x:f>
      </x:c>
      <x:c r="AQ56" s="23" t="str">
        <x:f>IF($A56="","",IF(LEFT($AO56,8)="Primaria",IF($AE56&gt;=75,"40+20 probable",IF($AD56&gt;=75,"40 base + causales selectivas","40 base + probes mínimos")),"No abre Runtime profundo"))</x:f>
      </x:c>
      <x:c r="AR56" s="23" t="str">
        <x:f>IF($A56="","",IF($AC56="BLOQUEADA","Corregir WorkMap/B0 antes de selección",IF($AC56="REVISIÓN","Microconfirmación B0 o resolución semántica",IF($AO56="Contexto / backlog","Conservar como contexto total","Enviar a Runtime"))))</x:f>
      </x:c>
      <x:c r="AS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  <x:c r="AA57" s="36"/>
      <x:c r="AB57" s="36"/>
      <x:c r="AC57" s="23" t="str">
        <x:f>IF($A57="","",IF(OR($G57&lt;&gt;"Sí",$H57&lt;&gt;"Sí",$I57&lt;&gt;"Correcta",$J57="Sí",$K57&lt;2),"BLOQUEADA",IF(OR($J57="Posible",$K57&lt;3,$L57&lt;2),"REVISIÓN","ELEGIBLE")))</x:f>
      </x:c>
      <x:c r="AD57" s="38" t="str">
        <x:f>IF($A57="","",IF($AC57="BLOQUEADA",0,ROUND(($L57*Scoring_Weights!$C$9+$M57*Scoring_Weights!$C$10+$N57*Scoring_Weights!$C$11+$O57*Scoring_Weights!$C$12+$P57*Scoring_Weights!$C$13+$Q57*Scoring_Weights!$C$14+$R57*Scoring_Weights!$C$15+$X57*Scoring_Weights!$C$16+$AB57*Scoring_Weights!$C$17)*20,1)))</x:f>
      </x:c>
      <x:c r="AE57" s="38" t="str">
        <x:f>IF($A57="","",IF($AC57="BLOQUEADA",0,ROUND(($Q57*Scoring_Weights!$C$19+$R57*Scoring_Weights!$C$20+$S57*Scoring_Weights!$C$21+$T57*Scoring_Weights!$C$22+$U57*Scoring_Weights!$C$23+$V57*Scoring_Weights!$C$24+$W57*Scoring_Weights!$C$25)*20,1)))</x:f>
      </x:c>
      <x:c r="AF57" s="38" t="str">
        <x:f>IF($A57="","",IF($AC57="BLOQUEADA",0,ROUND(($Z57*Scoring_Weights!$C$27+$Y57*Scoring_Weights!$C$28+$X57*Scoring_Weights!$C$29)*20,1)))</x:f>
      </x:c>
      <x:c r="AG57" s="38" t="str">
        <x:f>IF($A57="","",IF($AC57="BLOQUEADA",0,ROUND(($AA57*Scoring_Weights!$C$31+$AB57*Scoring_Weights!$C$32+$K57*Scoring_Weights!$C$33)*20,1)))</x:f>
      </x:c>
      <x:c r="AH57" s="38" t="str">
        <x:f>IF($A57="","",IF($AC57="BLOQUEADA",0,MIN(10,IF(OR($O57&gt;=4,$P57&gt;=4),2,0)+IF($Q57&gt;=4,2,0)+IF($R57&gt;=4,2,0)+IF($U57&gt;=4,2,0)+IF($T57&gt;=4,1,0)+IF($V57&gt;=4,1,0))))</x:f>
      </x:c>
      <x:c r="AI57" s="38" t="str">
        <x:f>IF($A57="","",IF($AC57="BLOQUEADA",0,ROUND((MAX(0,5-$K57)+MAX(0,5-$AA57)+IF($I57="Ambigua",2,0)+IF($J57="Posible",2,0))*2,1)))</x:f>
      </x:c>
      <x:c r="AJ57" s="38" t="str">
        <x:f>IF($A57="","",IF($AC57="BLOQUEADA",0,ROUND($AD57*Scoring_Weights!$C$2+$AE57*Scoring_Weights!$C$3+$AF57*Scoring_Weights!$C$4+$AG57*Scoring_Weights!$C$5+$AH57*Scoring_Weights!$C$6-$AI57*Scoring_Weights!$C$7,1)))</x:f>
      </x:c>
      <x:c r="AK57" s="36" t="str">
        <x:f>IF($AC57&lt;&gt;"ELEGIBLE","",COUNTIFS($AC$2:$AC$101,"ELEGIBLE",$AJ$2:$AJ$101,"&gt;"&amp;$AJ57)+COUNTIFS($AC$2:$AC57,"ELEGIBLE",$AJ$2:$AJ57,$AJ57))</x:f>
      </x:c>
      <x:c r="AL57" s="23" t="str">
        <x:f>IF($A57="","",IF($AC57="BLOQUEADA","No seleccionable",IF($AC57="REVISIÓN","Revisión previa",IF($AK57&lt;=8,"Primaria propuesta","Contexto / backlog"))))</x:f>
      </x:c>
      <x:c r="AM57" s="23" t="str">
        <x:f>IF($A57="","",IF(MAX($O57,$P57)&gt;=MAX($Q57,$R57,$T57,$U57,$W57),"Transformación/OLC",IF(MAX($Q57,$R57)&gt;=MAX($T57,$U57,$W57),"Handoff/Flujo",IF(MAX($T57,$U57,$V57,$W57)&gt;=3,"Capacidad/Compensación","Contexto/PM"))))</x:f>
      </x:c>
      <x:c r="AN57" s="23"/>
      <x:c r="AO57" s="23" t="str">
        <x:f>IF($A57="","",IF($AN57="Forzar primaria","Primaria forzada",IF($AN57="Excluir","Excluida",IF($AN57="Revisión","Revisión previa",$AL57))))</x:f>
      </x:c>
      <x:c r="AP57" s="23" t="str">
        <x:f>IF($A57="","",IF($AC57="BLOQUEADA","Gate duro",IF($AD57&gt;=MAX($AE57,$AF57,$AG57),"Potencial MMABP",IF($AE57&gt;=MAX($AD57,$AF57,$AG57),"Fricción/variedad",IF($AF57&gt;=MAX($AD57,$AE57,$AG57),"Cobertura","Evidencia/feasibilidad")))))</x:f>
      </x:c>
      <x:c r="AQ57" s="23" t="str">
        <x:f>IF($A57="","",IF(LEFT($AO57,8)="Primaria",IF($AE57&gt;=75,"40+20 probable",IF($AD57&gt;=75,"40 base + causales selectivas","40 base + probes mínimos")),"No abre Runtime profundo"))</x:f>
      </x:c>
      <x:c r="AR57" s="23" t="str">
        <x:f>IF($A57="","",IF($AC57="BLOQUEADA","Corregir WorkMap/B0 antes de selección",IF($AC57="REVISIÓN","Microconfirmación B0 o resolución semántica",IF($AO57="Contexto / backlog","Conservar como contexto total","Enviar a Runtime"))))</x:f>
      </x:c>
      <x:c r="AS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  <x:c r="AA58" s="36"/>
      <x:c r="AB58" s="36"/>
      <x:c r="AC58" s="23" t="str">
        <x:f>IF($A58="","",IF(OR($G58&lt;&gt;"Sí",$H58&lt;&gt;"Sí",$I58&lt;&gt;"Correcta",$J58="Sí",$K58&lt;2),"BLOQUEADA",IF(OR($J58="Posible",$K58&lt;3,$L58&lt;2),"REVISIÓN","ELEGIBLE")))</x:f>
      </x:c>
      <x:c r="AD58" s="38" t="str">
        <x:f>IF($A58="","",IF($AC58="BLOQUEADA",0,ROUND(($L58*Scoring_Weights!$C$9+$M58*Scoring_Weights!$C$10+$N58*Scoring_Weights!$C$11+$O58*Scoring_Weights!$C$12+$P58*Scoring_Weights!$C$13+$Q58*Scoring_Weights!$C$14+$R58*Scoring_Weights!$C$15+$X58*Scoring_Weights!$C$16+$AB58*Scoring_Weights!$C$17)*20,1)))</x:f>
      </x:c>
      <x:c r="AE58" s="38" t="str">
        <x:f>IF($A58="","",IF($AC58="BLOQUEADA",0,ROUND(($Q58*Scoring_Weights!$C$19+$R58*Scoring_Weights!$C$20+$S58*Scoring_Weights!$C$21+$T58*Scoring_Weights!$C$22+$U58*Scoring_Weights!$C$23+$V58*Scoring_Weights!$C$24+$W58*Scoring_Weights!$C$25)*20,1)))</x:f>
      </x:c>
      <x:c r="AF58" s="38" t="str">
        <x:f>IF($A58="","",IF($AC58="BLOQUEADA",0,ROUND(($Z58*Scoring_Weights!$C$27+$Y58*Scoring_Weights!$C$28+$X58*Scoring_Weights!$C$29)*20,1)))</x:f>
      </x:c>
      <x:c r="AG58" s="38" t="str">
        <x:f>IF($A58="","",IF($AC58="BLOQUEADA",0,ROUND(($AA58*Scoring_Weights!$C$31+$AB58*Scoring_Weights!$C$32+$K58*Scoring_Weights!$C$33)*20,1)))</x:f>
      </x:c>
      <x:c r="AH58" s="38" t="str">
        <x:f>IF($A58="","",IF($AC58="BLOQUEADA",0,MIN(10,IF(OR($O58&gt;=4,$P58&gt;=4),2,0)+IF($Q58&gt;=4,2,0)+IF($R58&gt;=4,2,0)+IF($U58&gt;=4,2,0)+IF($T58&gt;=4,1,0)+IF($V58&gt;=4,1,0))))</x:f>
      </x:c>
      <x:c r="AI58" s="38" t="str">
        <x:f>IF($A58="","",IF($AC58="BLOQUEADA",0,ROUND((MAX(0,5-$K58)+MAX(0,5-$AA58)+IF($I58="Ambigua",2,0)+IF($J58="Posible",2,0))*2,1)))</x:f>
      </x:c>
      <x:c r="AJ58" s="38" t="str">
        <x:f>IF($A58="","",IF($AC58="BLOQUEADA",0,ROUND($AD58*Scoring_Weights!$C$2+$AE58*Scoring_Weights!$C$3+$AF58*Scoring_Weights!$C$4+$AG58*Scoring_Weights!$C$5+$AH58*Scoring_Weights!$C$6-$AI58*Scoring_Weights!$C$7,1)))</x:f>
      </x:c>
      <x:c r="AK58" s="36" t="str">
        <x:f>IF($AC58&lt;&gt;"ELEGIBLE","",COUNTIFS($AC$2:$AC$101,"ELEGIBLE",$AJ$2:$AJ$101,"&gt;"&amp;$AJ58)+COUNTIFS($AC$2:$AC58,"ELEGIBLE",$AJ$2:$AJ58,$AJ58))</x:f>
      </x:c>
      <x:c r="AL58" s="23" t="str">
        <x:f>IF($A58="","",IF($AC58="BLOQUEADA","No seleccionable",IF($AC58="REVISIÓN","Revisión previa",IF($AK58&lt;=8,"Primaria propuesta","Contexto / backlog"))))</x:f>
      </x:c>
      <x:c r="AM58" s="23" t="str">
        <x:f>IF($A58="","",IF(MAX($O58,$P58)&gt;=MAX($Q58,$R58,$T58,$U58,$W58),"Transformación/OLC",IF(MAX($Q58,$R58)&gt;=MAX($T58,$U58,$W58),"Handoff/Flujo",IF(MAX($T58,$U58,$V58,$W58)&gt;=3,"Capacidad/Compensación","Contexto/PM"))))</x:f>
      </x:c>
      <x:c r="AN58" s="23"/>
      <x:c r="AO58" s="23" t="str">
        <x:f>IF($A58="","",IF($AN58="Forzar primaria","Primaria forzada",IF($AN58="Excluir","Excluida",IF($AN58="Revisión","Revisión previa",$AL58))))</x:f>
      </x:c>
      <x:c r="AP58" s="23" t="str">
        <x:f>IF($A58="","",IF($AC58="BLOQUEADA","Gate duro",IF($AD58&gt;=MAX($AE58,$AF58,$AG58),"Potencial MMABP",IF($AE58&gt;=MAX($AD58,$AF58,$AG58),"Fricción/variedad",IF($AF58&gt;=MAX($AD58,$AE58,$AG58),"Cobertura","Evidencia/feasibilidad")))))</x:f>
      </x:c>
      <x:c r="AQ58" s="23" t="str">
        <x:f>IF($A58="","",IF(LEFT($AO58,8)="Primaria",IF($AE58&gt;=75,"40+20 probable",IF($AD58&gt;=75,"40 base + causales selectivas","40 base + probes mínimos")),"No abre Runtime profundo"))</x:f>
      </x:c>
      <x:c r="AR58" s="23" t="str">
        <x:f>IF($A58="","",IF($AC58="BLOQUEADA","Corregir WorkMap/B0 antes de selección",IF($AC58="REVISIÓN","Microconfirmación B0 o resolución semántica",IF($AO58="Contexto / backlog","Conservar como contexto total","Enviar a Runtime"))))</x:f>
      </x:c>
      <x:c r="AS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  <x:c r="AA59" s="36"/>
      <x:c r="AB59" s="36"/>
      <x:c r="AC59" s="23" t="str">
        <x:f>IF($A59="","",IF(OR($G59&lt;&gt;"Sí",$H59&lt;&gt;"Sí",$I59&lt;&gt;"Correcta",$J59="Sí",$K59&lt;2),"BLOQUEADA",IF(OR($J59="Posible",$K59&lt;3,$L59&lt;2),"REVISIÓN","ELEGIBLE")))</x:f>
      </x:c>
      <x:c r="AD59" s="38" t="str">
        <x:f>IF($A59="","",IF($AC59="BLOQUEADA",0,ROUND(($L59*Scoring_Weights!$C$9+$M59*Scoring_Weights!$C$10+$N59*Scoring_Weights!$C$11+$O59*Scoring_Weights!$C$12+$P59*Scoring_Weights!$C$13+$Q59*Scoring_Weights!$C$14+$R59*Scoring_Weights!$C$15+$X59*Scoring_Weights!$C$16+$AB59*Scoring_Weights!$C$17)*20,1)))</x:f>
      </x:c>
      <x:c r="AE59" s="38" t="str">
        <x:f>IF($A59="","",IF($AC59="BLOQUEADA",0,ROUND(($Q59*Scoring_Weights!$C$19+$R59*Scoring_Weights!$C$20+$S59*Scoring_Weights!$C$21+$T59*Scoring_Weights!$C$22+$U59*Scoring_Weights!$C$23+$V59*Scoring_Weights!$C$24+$W59*Scoring_Weights!$C$25)*20,1)))</x:f>
      </x:c>
      <x:c r="AF59" s="38" t="str">
        <x:f>IF($A59="","",IF($AC59="BLOQUEADA",0,ROUND(($Z59*Scoring_Weights!$C$27+$Y59*Scoring_Weights!$C$28+$X59*Scoring_Weights!$C$29)*20,1)))</x:f>
      </x:c>
      <x:c r="AG59" s="38" t="str">
        <x:f>IF($A59="","",IF($AC59="BLOQUEADA",0,ROUND(($AA59*Scoring_Weights!$C$31+$AB59*Scoring_Weights!$C$32+$K59*Scoring_Weights!$C$33)*20,1)))</x:f>
      </x:c>
      <x:c r="AH59" s="38" t="str">
        <x:f>IF($A59="","",IF($AC59="BLOQUEADA",0,MIN(10,IF(OR($O59&gt;=4,$P59&gt;=4),2,0)+IF($Q59&gt;=4,2,0)+IF($R59&gt;=4,2,0)+IF($U59&gt;=4,2,0)+IF($T59&gt;=4,1,0)+IF($V59&gt;=4,1,0))))</x:f>
      </x:c>
      <x:c r="AI59" s="38" t="str">
        <x:f>IF($A59="","",IF($AC59="BLOQUEADA",0,ROUND((MAX(0,5-$K59)+MAX(0,5-$AA59)+IF($I59="Ambigua",2,0)+IF($J59="Posible",2,0))*2,1)))</x:f>
      </x:c>
      <x:c r="AJ59" s="38" t="str">
        <x:f>IF($A59="","",IF($AC59="BLOQUEADA",0,ROUND($AD59*Scoring_Weights!$C$2+$AE59*Scoring_Weights!$C$3+$AF59*Scoring_Weights!$C$4+$AG59*Scoring_Weights!$C$5+$AH59*Scoring_Weights!$C$6-$AI59*Scoring_Weights!$C$7,1)))</x:f>
      </x:c>
      <x:c r="AK59" s="36" t="str">
        <x:f>IF($AC59&lt;&gt;"ELEGIBLE","",COUNTIFS($AC$2:$AC$101,"ELEGIBLE",$AJ$2:$AJ$101,"&gt;"&amp;$AJ59)+COUNTIFS($AC$2:$AC59,"ELEGIBLE",$AJ$2:$AJ59,$AJ59))</x:f>
      </x:c>
      <x:c r="AL59" s="23" t="str">
        <x:f>IF($A59="","",IF($AC59="BLOQUEADA","No seleccionable",IF($AC59="REVISIÓN","Revisión previa",IF($AK59&lt;=8,"Primaria propuesta","Contexto / backlog"))))</x:f>
      </x:c>
      <x:c r="AM59" s="23" t="str">
        <x:f>IF($A59="","",IF(MAX($O59,$P59)&gt;=MAX($Q59,$R59,$T59,$U59,$W59),"Transformación/OLC",IF(MAX($Q59,$R59)&gt;=MAX($T59,$U59,$W59),"Handoff/Flujo",IF(MAX($T59,$U59,$V59,$W59)&gt;=3,"Capacidad/Compensación","Contexto/PM"))))</x:f>
      </x:c>
      <x:c r="AN59" s="23"/>
      <x:c r="AO59" s="23" t="str">
        <x:f>IF($A59="","",IF($AN59="Forzar primaria","Primaria forzada",IF($AN59="Excluir","Excluida",IF($AN59="Revisión","Revisión previa",$AL59))))</x:f>
      </x:c>
      <x:c r="AP59" s="23" t="str">
        <x:f>IF($A59="","",IF($AC59="BLOQUEADA","Gate duro",IF($AD59&gt;=MAX($AE59,$AF59,$AG59),"Potencial MMABP",IF($AE59&gt;=MAX($AD59,$AF59,$AG59),"Fricción/variedad",IF($AF59&gt;=MAX($AD59,$AE59,$AG59),"Cobertura","Evidencia/feasibilidad")))))</x:f>
      </x:c>
      <x:c r="AQ59" s="23" t="str">
        <x:f>IF($A59="","",IF(LEFT($AO59,8)="Primaria",IF($AE59&gt;=75,"40+20 probable",IF($AD59&gt;=75,"40 base + causales selectivas","40 base + probes mínimos")),"No abre Runtime profundo"))</x:f>
      </x:c>
      <x:c r="AR59" s="23" t="str">
        <x:f>IF($A59="","",IF($AC59="BLOQUEADA","Corregir WorkMap/B0 antes de selección",IF($AC59="REVISIÓN","Microconfirmación B0 o resolución semántica",IF($AO59="Contexto / backlog","Conservar como contexto total","Enviar a Runtime"))))</x:f>
      </x:c>
      <x:c r="AS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  <x:c r="AA60" s="36"/>
      <x:c r="AB60" s="36"/>
      <x:c r="AC60" s="23" t="str">
        <x:f>IF($A60="","",IF(OR($G60&lt;&gt;"Sí",$H60&lt;&gt;"Sí",$I60&lt;&gt;"Correcta",$J60="Sí",$K60&lt;2),"BLOQUEADA",IF(OR($J60="Posible",$K60&lt;3,$L60&lt;2),"REVISIÓN","ELEGIBLE")))</x:f>
      </x:c>
      <x:c r="AD60" s="38" t="str">
        <x:f>IF($A60="","",IF($AC60="BLOQUEADA",0,ROUND(($L60*Scoring_Weights!$C$9+$M60*Scoring_Weights!$C$10+$N60*Scoring_Weights!$C$11+$O60*Scoring_Weights!$C$12+$P60*Scoring_Weights!$C$13+$Q60*Scoring_Weights!$C$14+$R60*Scoring_Weights!$C$15+$X60*Scoring_Weights!$C$16+$AB60*Scoring_Weights!$C$17)*20,1)))</x:f>
      </x:c>
      <x:c r="AE60" s="38" t="str">
        <x:f>IF($A60="","",IF($AC60="BLOQUEADA",0,ROUND(($Q60*Scoring_Weights!$C$19+$R60*Scoring_Weights!$C$20+$S60*Scoring_Weights!$C$21+$T60*Scoring_Weights!$C$22+$U60*Scoring_Weights!$C$23+$V60*Scoring_Weights!$C$24+$W60*Scoring_Weights!$C$25)*20,1)))</x:f>
      </x:c>
      <x:c r="AF60" s="38" t="str">
        <x:f>IF($A60="","",IF($AC60="BLOQUEADA",0,ROUND(($Z60*Scoring_Weights!$C$27+$Y60*Scoring_Weights!$C$28+$X60*Scoring_Weights!$C$29)*20,1)))</x:f>
      </x:c>
      <x:c r="AG60" s="38" t="str">
        <x:f>IF($A60="","",IF($AC60="BLOQUEADA",0,ROUND(($AA60*Scoring_Weights!$C$31+$AB60*Scoring_Weights!$C$32+$K60*Scoring_Weights!$C$33)*20,1)))</x:f>
      </x:c>
      <x:c r="AH60" s="38" t="str">
        <x:f>IF($A60="","",IF($AC60="BLOQUEADA",0,MIN(10,IF(OR($O60&gt;=4,$P60&gt;=4),2,0)+IF($Q60&gt;=4,2,0)+IF($R60&gt;=4,2,0)+IF($U60&gt;=4,2,0)+IF($T60&gt;=4,1,0)+IF($V60&gt;=4,1,0))))</x:f>
      </x:c>
      <x:c r="AI60" s="38" t="str">
        <x:f>IF($A60="","",IF($AC60="BLOQUEADA",0,ROUND((MAX(0,5-$K60)+MAX(0,5-$AA60)+IF($I60="Ambigua",2,0)+IF($J60="Posible",2,0))*2,1)))</x:f>
      </x:c>
      <x:c r="AJ60" s="38" t="str">
        <x:f>IF($A60="","",IF($AC60="BLOQUEADA",0,ROUND($AD60*Scoring_Weights!$C$2+$AE60*Scoring_Weights!$C$3+$AF60*Scoring_Weights!$C$4+$AG60*Scoring_Weights!$C$5+$AH60*Scoring_Weights!$C$6-$AI60*Scoring_Weights!$C$7,1)))</x:f>
      </x:c>
      <x:c r="AK60" s="36" t="str">
        <x:f>IF($AC60&lt;&gt;"ELEGIBLE","",COUNTIFS($AC$2:$AC$101,"ELEGIBLE",$AJ$2:$AJ$101,"&gt;"&amp;$AJ60)+COUNTIFS($AC$2:$AC60,"ELEGIBLE",$AJ$2:$AJ60,$AJ60))</x:f>
      </x:c>
      <x:c r="AL60" s="23" t="str">
        <x:f>IF($A60="","",IF($AC60="BLOQUEADA","No seleccionable",IF($AC60="REVISIÓN","Revisión previa",IF($AK60&lt;=8,"Primaria propuesta","Contexto / backlog"))))</x:f>
      </x:c>
      <x:c r="AM60" s="23" t="str">
        <x:f>IF($A60="","",IF(MAX($O60,$P60)&gt;=MAX($Q60,$R60,$T60,$U60,$W60),"Transformación/OLC",IF(MAX($Q60,$R60)&gt;=MAX($T60,$U60,$W60),"Handoff/Flujo",IF(MAX($T60,$U60,$V60,$W60)&gt;=3,"Capacidad/Compensación","Contexto/PM"))))</x:f>
      </x:c>
      <x:c r="AN60" s="23"/>
      <x:c r="AO60" s="23" t="str">
        <x:f>IF($A60="","",IF($AN60="Forzar primaria","Primaria forzada",IF($AN60="Excluir","Excluida",IF($AN60="Revisión","Revisión previa",$AL60))))</x:f>
      </x:c>
      <x:c r="AP60" s="23" t="str">
        <x:f>IF($A60="","",IF($AC60="BLOQUEADA","Gate duro",IF($AD60&gt;=MAX($AE60,$AF60,$AG60),"Potencial MMABP",IF($AE60&gt;=MAX($AD60,$AF60,$AG60),"Fricción/variedad",IF($AF60&gt;=MAX($AD60,$AE60,$AG60),"Cobertura","Evidencia/feasibilidad")))))</x:f>
      </x:c>
      <x:c r="AQ60" s="23" t="str">
        <x:f>IF($A60="","",IF(LEFT($AO60,8)="Primaria",IF($AE60&gt;=75,"40+20 probable",IF($AD60&gt;=75,"40 base + causales selectivas","40 base + probes mínimos")),"No abre Runtime profundo"))</x:f>
      </x:c>
      <x:c r="AR60" s="23" t="str">
        <x:f>IF($A60="","",IF($AC60="BLOQUEADA","Corregir WorkMap/B0 antes de selección",IF($AC60="REVISIÓN","Microconfirmación B0 o resolución semántica",IF($AO60="Contexto / backlog","Conservar como contexto total","Enviar a Runtime"))))</x:f>
      </x:c>
      <x:c r="AS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  <x:c r="AA61" s="36"/>
      <x:c r="AB61" s="36"/>
      <x:c r="AC61" s="23" t="str">
        <x:f>IF($A61="","",IF(OR($G61&lt;&gt;"Sí",$H61&lt;&gt;"Sí",$I61&lt;&gt;"Correcta",$J61="Sí",$K61&lt;2),"BLOQUEADA",IF(OR($J61="Posible",$K61&lt;3,$L61&lt;2),"REVISIÓN","ELEGIBLE")))</x:f>
      </x:c>
      <x:c r="AD61" s="38" t="str">
        <x:f>IF($A61="","",IF($AC61="BLOQUEADA",0,ROUND(($L61*Scoring_Weights!$C$9+$M61*Scoring_Weights!$C$10+$N61*Scoring_Weights!$C$11+$O61*Scoring_Weights!$C$12+$P61*Scoring_Weights!$C$13+$Q61*Scoring_Weights!$C$14+$R61*Scoring_Weights!$C$15+$X61*Scoring_Weights!$C$16+$AB61*Scoring_Weights!$C$17)*20,1)))</x:f>
      </x:c>
      <x:c r="AE61" s="38" t="str">
        <x:f>IF($A61="","",IF($AC61="BLOQUEADA",0,ROUND(($Q61*Scoring_Weights!$C$19+$R61*Scoring_Weights!$C$20+$S61*Scoring_Weights!$C$21+$T61*Scoring_Weights!$C$22+$U61*Scoring_Weights!$C$23+$V61*Scoring_Weights!$C$24+$W61*Scoring_Weights!$C$25)*20,1)))</x:f>
      </x:c>
      <x:c r="AF61" s="38" t="str">
        <x:f>IF($A61="","",IF($AC61="BLOQUEADA",0,ROUND(($Z61*Scoring_Weights!$C$27+$Y61*Scoring_Weights!$C$28+$X61*Scoring_Weights!$C$29)*20,1)))</x:f>
      </x:c>
      <x:c r="AG61" s="38" t="str">
        <x:f>IF($A61="","",IF($AC61="BLOQUEADA",0,ROUND(($AA61*Scoring_Weights!$C$31+$AB61*Scoring_Weights!$C$32+$K61*Scoring_Weights!$C$33)*20,1)))</x:f>
      </x:c>
      <x:c r="AH61" s="38" t="str">
        <x:f>IF($A61="","",IF($AC61="BLOQUEADA",0,MIN(10,IF(OR($O61&gt;=4,$P61&gt;=4),2,0)+IF($Q61&gt;=4,2,0)+IF($R61&gt;=4,2,0)+IF($U61&gt;=4,2,0)+IF($T61&gt;=4,1,0)+IF($V61&gt;=4,1,0))))</x:f>
      </x:c>
      <x:c r="AI61" s="38" t="str">
        <x:f>IF($A61="","",IF($AC61="BLOQUEADA",0,ROUND((MAX(0,5-$K61)+MAX(0,5-$AA61)+IF($I61="Ambigua",2,0)+IF($J61="Posible",2,0))*2,1)))</x:f>
      </x:c>
      <x:c r="AJ61" s="38" t="str">
        <x:f>IF($A61="","",IF($AC61="BLOQUEADA",0,ROUND($AD61*Scoring_Weights!$C$2+$AE61*Scoring_Weights!$C$3+$AF61*Scoring_Weights!$C$4+$AG61*Scoring_Weights!$C$5+$AH61*Scoring_Weights!$C$6-$AI61*Scoring_Weights!$C$7,1)))</x:f>
      </x:c>
      <x:c r="AK61" s="36" t="str">
        <x:f>IF($AC61&lt;&gt;"ELEGIBLE","",COUNTIFS($AC$2:$AC$101,"ELEGIBLE",$AJ$2:$AJ$101,"&gt;"&amp;$AJ61)+COUNTIFS($AC$2:$AC61,"ELEGIBLE",$AJ$2:$AJ61,$AJ61))</x:f>
      </x:c>
      <x:c r="AL61" s="23" t="str">
        <x:f>IF($A61="","",IF($AC61="BLOQUEADA","No seleccionable",IF($AC61="REVISIÓN","Revisión previa",IF($AK61&lt;=8,"Primaria propuesta","Contexto / backlog"))))</x:f>
      </x:c>
      <x:c r="AM61" s="23" t="str">
        <x:f>IF($A61="","",IF(MAX($O61,$P61)&gt;=MAX($Q61,$R61,$T61,$U61,$W61),"Transformación/OLC",IF(MAX($Q61,$R61)&gt;=MAX($T61,$U61,$W61),"Handoff/Flujo",IF(MAX($T61,$U61,$V61,$W61)&gt;=3,"Capacidad/Compensación","Contexto/PM"))))</x:f>
      </x:c>
      <x:c r="AN61" s="23"/>
      <x:c r="AO61" s="23" t="str">
        <x:f>IF($A61="","",IF($AN61="Forzar primaria","Primaria forzada",IF($AN61="Excluir","Excluida",IF($AN61="Revisión","Revisión previa",$AL61))))</x:f>
      </x:c>
      <x:c r="AP61" s="23" t="str">
        <x:f>IF($A61="","",IF($AC61="BLOQUEADA","Gate duro",IF($AD61&gt;=MAX($AE61,$AF61,$AG61),"Potencial MMABP",IF($AE61&gt;=MAX($AD61,$AF61,$AG61),"Fricción/variedad",IF($AF61&gt;=MAX($AD61,$AE61,$AG61),"Cobertura","Evidencia/feasibilidad")))))</x:f>
      </x:c>
      <x:c r="AQ61" s="23" t="str">
        <x:f>IF($A61="","",IF(LEFT($AO61,8)="Primaria",IF($AE61&gt;=75,"40+20 probable",IF($AD61&gt;=75,"40 base + causales selectivas","40 base + probes mínimos")),"No abre Runtime profundo"))</x:f>
      </x:c>
      <x:c r="AR61" s="23" t="str">
        <x:f>IF($A61="","",IF($AC61="BLOQUEADA","Corregir WorkMap/B0 antes de selección",IF($AC61="REVISIÓN","Microconfirmación B0 o resolución semántica",IF($AO61="Contexto / backlog","Conservar como contexto total","Enviar a Runtime"))))</x:f>
      </x:c>
      <x:c r="AS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  <x:c r="AA62" s="36"/>
      <x:c r="AB62" s="36"/>
      <x:c r="AC62" s="23" t="str">
        <x:f>IF($A62="","",IF(OR($G62&lt;&gt;"Sí",$H62&lt;&gt;"Sí",$I62&lt;&gt;"Correcta",$J62="Sí",$K62&lt;2),"BLOQUEADA",IF(OR($J62="Posible",$K62&lt;3,$L62&lt;2),"REVISIÓN","ELEGIBLE")))</x:f>
      </x:c>
      <x:c r="AD62" s="38" t="str">
        <x:f>IF($A62="","",IF($AC62="BLOQUEADA",0,ROUND(($L62*Scoring_Weights!$C$9+$M62*Scoring_Weights!$C$10+$N62*Scoring_Weights!$C$11+$O62*Scoring_Weights!$C$12+$P62*Scoring_Weights!$C$13+$Q62*Scoring_Weights!$C$14+$R62*Scoring_Weights!$C$15+$X62*Scoring_Weights!$C$16+$AB62*Scoring_Weights!$C$17)*20,1)))</x:f>
      </x:c>
      <x:c r="AE62" s="38" t="str">
        <x:f>IF($A62="","",IF($AC62="BLOQUEADA",0,ROUND(($Q62*Scoring_Weights!$C$19+$R62*Scoring_Weights!$C$20+$S62*Scoring_Weights!$C$21+$T62*Scoring_Weights!$C$22+$U62*Scoring_Weights!$C$23+$V62*Scoring_Weights!$C$24+$W62*Scoring_Weights!$C$25)*20,1)))</x:f>
      </x:c>
      <x:c r="AF62" s="38" t="str">
        <x:f>IF($A62="","",IF($AC62="BLOQUEADA",0,ROUND(($Z62*Scoring_Weights!$C$27+$Y62*Scoring_Weights!$C$28+$X62*Scoring_Weights!$C$29)*20,1)))</x:f>
      </x:c>
      <x:c r="AG62" s="38" t="str">
        <x:f>IF($A62="","",IF($AC62="BLOQUEADA",0,ROUND(($AA62*Scoring_Weights!$C$31+$AB62*Scoring_Weights!$C$32+$K62*Scoring_Weights!$C$33)*20,1)))</x:f>
      </x:c>
      <x:c r="AH62" s="38" t="str">
        <x:f>IF($A62="","",IF($AC62="BLOQUEADA",0,MIN(10,IF(OR($O62&gt;=4,$P62&gt;=4),2,0)+IF($Q62&gt;=4,2,0)+IF($R62&gt;=4,2,0)+IF($U62&gt;=4,2,0)+IF($T62&gt;=4,1,0)+IF($V62&gt;=4,1,0))))</x:f>
      </x:c>
      <x:c r="AI62" s="38" t="str">
        <x:f>IF($A62="","",IF($AC62="BLOQUEADA",0,ROUND((MAX(0,5-$K62)+MAX(0,5-$AA62)+IF($I62="Ambigua",2,0)+IF($J62="Posible",2,0))*2,1)))</x:f>
      </x:c>
      <x:c r="AJ62" s="38" t="str">
        <x:f>IF($A62="","",IF($AC62="BLOQUEADA",0,ROUND($AD62*Scoring_Weights!$C$2+$AE62*Scoring_Weights!$C$3+$AF62*Scoring_Weights!$C$4+$AG62*Scoring_Weights!$C$5+$AH62*Scoring_Weights!$C$6-$AI62*Scoring_Weights!$C$7,1)))</x:f>
      </x:c>
      <x:c r="AK62" s="36" t="str">
        <x:f>IF($AC62&lt;&gt;"ELEGIBLE","",COUNTIFS($AC$2:$AC$101,"ELEGIBLE",$AJ$2:$AJ$101,"&gt;"&amp;$AJ62)+COUNTIFS($AC$2:$AC62,"ELEGIBLE",$AJ$2:$AJ62,$AJ62))</x:f>
      </x:c>
      <x:c r="AL62" s="23" t="str">
        <x:f>IF($A62="","",IF($AC62="BLOQUEADA","No seleccionable",IF($AC62="REVISIÓN","Revisión previa",IF($AK62&lt;=8,"Primaria propuesta","Contexto / backlog"))))</x:f>
      </x:c>
      <x:c r="AM62" s="23" t="str">
        <x:f>IF($A62="","",IF(MAX($O62,$P62)&gt;=MAX($Q62,$R62,$T62,$U62,$W62),"Transformación/OLC",IF(MAX($Q62,$R62)&gt;=MAX($T62,$U62,$W62),"Handoff/Flujo",IF(MAX($T62,$U62,$V62,$W62)&gt;=3,"Capacidad/Compensación","Contexto/PM"))))</x:f>
      </x:c>
      <x:c r="AN62" s="23"/>
      <x:c r="AO62" s="23" t="str">
        <x:f>IF($A62="","",IF($AN62="Forzar primaria","Primaria forzada",IF($AN62="Excluir","Excluida",IF($AN62="Revisión","Revisión previa",$AL62))))</x:f>
      </x:c>
      <x:c r="AP62" s="23" t="str">
        <x:f>IF($A62="","",IF($AC62="BLOQUEADA","Gate duro",IF($AD62&gt;=MAX($AE62,$AF62,$AG62),"Potencial MMABP",IF($AE62&gt;=MAX($AD62,$AF62,$AG62),"Fricción/variedad",IF($AF62&gt;=MAX($AD62,$AE62,$AG62),"Cobertura","Evidencia/feasibilidad")))))</x:f>
      </x:c>
      <x:c r="AQ62" s="23" t="str">
        <x:f>IF($A62="","",IF(LEFT($AO62,8)="Primaria",IF($AE62&gt;=75,"40+20 probable",IF($AD62&gt;=75,"40 base + causales selectivas","40 base + probes mínimos")),"No abre Runtime profundo"))</x:f>
      </x:c>
      <x:c r="AR62" s="23" t="str">
        <x:f>IF($A62="","",IF($AC62="BLOQUEADA","Corregir WorkMap/B0 antes de selección",IF($AC62="REVISIÓN","Microconfirmación B0 o resolución semántica",IF($AO62="Contexto / backlog","Conservar como contexto total","Enviar a Runtime"))))</x:f>
      </x:c>
      <x:c r="AS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  <x:c r="AA63" s="36"/>
      <x:c r="AB63" s="36"/>
      <x:c r="AC63" s="23" t="str">
        <x:f>IF($A63="","",IF(OR($G63&lt;&gt;"Sí",$H63&lt;&gt;"Sí",$I63&lt;&gt;"Correcta",$J63="Sí",$K63&lt;2),"BLOQUEADA",IF(OR($J63="Posible",$K63&lt;3,$L63&lt;2),"REVISIÓN","ELEGIBLE")))</x:f>
      </x:c>
      <x:c r="AD63" s="38" t="str">
        <x:f>IF($A63="","",IF($AC63="BLOQUEADA",0,ROUND(($L63*Scoring_Weights!$C$9+$M63*Scoring_Weights!$C$10+$N63*Scoring_Weights!$C$11+$O63*Scoring_Weights!$C$12+$P63*Scoring_Weights!$C$13+$Q63*Scoring_Weights!$C$14+$R63*Scoring_Weights!$C$15+$X63*Scoring_Weights!$C$16+$AB63*Scoring_Weights!$C$17)*20,1)))</x:f>
      </x:c>
      <x:c r="AE63" s="38" t="str">
        <x:f>IF($A63="","",IF($AC63="BLOQUEADA",0,ROUND(($Q63*Scoring_Weights!$C$19+$R63*Scoring_Weights!$C$20+$S63*Scoring_Weights!$C$21+$T63*Scoring_Weights!$C$22+$U63*Scoring_Weights!$C$23+$V63*Scoring_Weights!$C$24+$W63*Scoring_Weights!$C$25)*20,1)))</x:f>
      </x:c>
      <x:c r="AF63" s="38" t="str">
        <x:f>IF($A63="","",IF($AC63="BLOQUEADA",0,ROUND(($Z63*Scoring_Weights!$C$27+$Y63*Scoring_Weights!$C$28+$X63*Scoring_Weights!$C$29)*20,1)))</x:f>
      </x:c>
      <x:c r="AG63" s="38" t="str">
        <x:f>IF($A63="","",IF($AC63="BLOQUEADA",0,ROUND(($AA63*Scoring_Weights!$C$31+$AB63*Scoring_Weights!$C$32+$K63*Scoring_Weights!$C$33)*20,1)))</x:f>
      </x:c>
      <x:c r="AH63" s="38" t="str">
        <x:f>IF($A63="","",IF($AC63="BLOQUEADA",0,MIN(10,IF(OR($O63&gt;=4,$P63&gt;=4),2,0)+IF($Q63&gt;=4,2,0)+IF($R63&gt;=4,2,0)+IF($U63&gt;=4,2,0)+IF($T63&gt;=4,1,0)+IF($V63&gt;=4,1,0))))</x:f>
      </x:c>
      <x:c r="AI63" s="38" t="str">
        <x:f>IF($A63="","",IF($AC63="BLOQUEADA",0,ROUND((MAX(0,5-$K63)+MAX(0,5-$AA63)+IF($I63="Ambigua",2,0)+IF($J63="Posible",2,0))*2,1)))</x:f>
      </x:c>
      <x:c r="AJ63" s="38" t="str">
        <x:f>IF($A63="","",IF($AC63="BLOQUEADA",0,ROUND($AD63*Scoring_Weights!$C$2+$AE63*Scoring_Weights!$C$3+$AF63*Scoring_Weights!$C$4+$AG63*Scoring_Weights!$C$5+$AH63*Scoring_Weights!$C$6-$AI63*Scoring_Weights!$C$7,1)))</x:f>
      </x:c>
      <x:c r="AK63" s="36" t="str">
        <x:f>IF($AC63&lt;&gt;"ELEGIBLE","",COUNTIFS($AC$2:$AC$101,"ELEGIBLE",$AJ$2:$AJ$101,"&gt;"&amp;$AJ63)+COUNTIFS($AC$2:$AC63,"ELEGIBLE",$AJ$2:$AJ63,$AJ63))</x:f>
      </x:c>
      <x:c r="AL63" s="23" t="str">
        <x:f>IF($A63="","",IF($AC63="BLOQUEADA","No seleccionable",IF($AC63="REVISIÓN","Revisión previa",IF($AK63&lt;=8,"Primaria propuesta","Contexto / backlog"))))</x:f>
      </x:c>
      <x:c r="AM63" s="23" t="str">
        <x:f>IF($A63="","",IF(MAX($O63,$P63)&gt;=MAX($Q63,$R63,$T63,$U63,$W63),"Transformación/OLC",IF(MAX($Q63,$R63)&gt;=MAX($T63,$U63,$W63),"Handoff/Flujo",IF(MAX($T63,$U63,$V63,$W63)&gt;=3,"Capacidad/Compensación","Contexto/PM"))))</x:f>
      </x:c>
      <x:c r="AN63" s="23"/>
      <x:c r="AO63" s="23" t="str">
        <x:f>IF($A63="","",IF($AN63="Forzar primaria","Primaria forzada",IF($AN63="Excluir","Excluida",IF($AN63="Revisión","Revisión previa",$AL63))))</x:f>
      </x:c>
      <x:c r="AP63" s="23" t="str">
        <x:f>IF($A63="","",IF($AC63="BLOQUEADA","Gate duro",IF($AD63&gt;=MAX($AE63,$AF63,$AG63),"Potencial MMABP",IF($AE63&gt;=MAX($AD63,$AF63,$AG63),"Fricción/variedad",IF($AF63&gt;=MAX($AD63,$AE63,$AG63),"Cobertura","Evidencia/feasibilidad")))))</x:f>
      </x:c>
      <x:c r="AQ63" s="23" t="str">
        <x:f>IF($A63="","",IF(LEFT($AO63,8)="Primaria",IF($AE63&gt;=75,"40+20 probable",IF($AD63&gt;=75,"40 base + causales selectivas","40 base + probes mínimos")),"No abre Runtime profundo"))</x:f>
      </x:c>
      <x:c r="AR63" s="23" t="str">
        <x:f>IF($A63="","",IF($AC63="BLOQUEADA","Corregir WorkMap/B0 antes de selección",IF($AC63="REVISIÓN","Microconfirmación B0 o resolución semántica",IF($AO63="Contexto / backlog","Conservar como contexto total","Enviar a Runtime"))))</x:f>
      </x:c>
      <x:c r="AS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  <x:c r="AA64" s="36"/>
      <x:c r="AB64" s="36"/>
      <x:c r="AC64" s="23" t="str">
        <x:f>IF($A64="","",IF(OR($G64&lt;&gt;"Sí",$H64&lt;&gt;"Sí",$I64&lt;&gt;"Correcta",$J64="Sí",$K64&lt;2),"BLOQUEADA",IF(OR($J64="Posible",$K64&lt;3,$L64&lt;2),"REVISIÓN","ELEGIBLE")))</x:f>
      </x:c>
      <x:c r="AD64" s="38" t="str">
        <x:f>IF($A64="","",IF($AC64="BLOQUEADA",0,ROUND(($L64*Scoring_Weights!$C$9+$M64*Scoring_Weights!$C$10+$N64*Scoring_Weights!$C$11+$O64*Scoring_Weights!$C$12+$P64*Scoring_Weights!$C$13+$Q64*Scoring_Weights!$C$14+$R64*Scoring_Weights!$C$15+$X64*Scoring_Weights!$C$16+$AB64*Scoring_Weights!$C$17)*20,1)))</x:f>
      </x:c>
      <x:c r="AE64" s="38" t="str">
        <x:f>IF($A64="","",IF($AC64="BLOQUEADA",0,ROUND(($Q64*Scoring_Weights!$C$19+$R64*Scoring_Weights!$C$20+$S64*Scoring_Weights!$C$21+$T64*Scoring_Weights!$C$22+$U64*Scoring_Weights!$C$23+$V64*Scoring_Weights!$C$24+$W64*Scoring_Weights!$C$25)*20,1)))</x:f>
      </x:c>
      <x:c r="AF64" s="38" t="str">
        <x:f>IF($A64="","",IF($AC64="BLOQUEADA",0,ROUND(($Z64*Scoring_Weights!$C$27+$Y64*Scoring_Weights!$C$28+$X64*Scoring_Weights!$C$29)*20,1)))</x:f>
      </x:c>
      <x:c r="AG64" s="38" t="str">
        <x:f>IF($A64="","",IF($AC64="BLOQUEADA",0,ROUND(($AA64*Scoring_Weights!$C$31+$AB64*Scoring_Weights!$C$32+$K64*Scoring_Weights!$C$33)*20,1)))</x:f>
      </x:c>
      <x:c r="AH64" s="38" t="str">
        <x:f>IF($A64="","",IF($AC64="BLOQUEADA",0,MIN(10,IF(OR($O64&gt;=4,$P64&gt;=4),2,0)+IF($Q64&gt;=4,2,0)+IF($R64&gt;=4,2,0)+IF($U64&gt;=4,2,0)+IF($T64&gt;=4,1,0)+IF($V64&gt;=4,1,0))))</x:f>
      </x:c>
      <x:c r="AI64" s="38" t="str">
        <x:f>IF($A64="","",IF($AC64="BLOQUEADA",0,ROUND((MAX(0,5-$K64)+MAX(0,5-$AA64)+IF($I64="Ambigua",2,0)+IF($J64="Posible",2,0))*2,1)))</x:f>
      </x:c>
      <x:c r="AJ64" s="38" t="str">
        <x:f>IF($A64="","",IF($AC64="BLOQUEADA",0,ROUND($AD64*Scoring_Weights!$C$2+$AE64*Scoring_Weights!$C$3+$AF64*Scoring_Weights!$C$4+$AG64*Scoring_Weights!$C$5+$AH64*Scoring_Weights!$C$6-$AI64*Scoring_Weights!$C$7,1)))</x:f>
      </x:c>
      <x:c r="AK64" s="36" t="str">
        <x:f>IF($AC64&lt;&gt;"ELEGIBLE","",COUNTIFS($AC$2:$AC$101,"ELEGIBLE",$AJ$2:$AJ$101,"&gt;"&amp;$AJ64)+COUNTIFS($AC$2:$AC64,"ELEGIBLE",$AJ$2:$AJ64,$AJ64))</x:f>
      </x:c>
      <x:c r="AL64" s="23" t="str">
        <x:f>IF($A64="","",IF($AC64="BLOQUEADA","No seleccionable",IF($AC64="REVISIÓN","Revisión previa",IF($AK64&lt;=8,"Primaria propuesta","Contexto / backlog"))))</x:f>
      </x:c>
      <x:c r="AM64" s="23" t="str">
        <x:f>IF($A64="","",IF(MAX($O64,$P64)&gt;=MAX($Q64,$R64,$T64,$U64,$W64),"Transformación/OLC",IF(MAX($Q64,$R64)&gt;=MAX($T64,$U64,$W64),"Handoff/Flujo",IF(MAX($T64,$U64,$V64,$W64)&gt;=3,"Capacidad/Compensación","Contexto/PM"))))</x:f>
      </x:c>
      <x:c r="AN64" s="23"/>
      <x:c r="AO64" s="23" t="str">
        <x:f>IF($A64="","",IF($AN64="Forzar primaria","Primaria forzada",IF($AN64="Excluir","Excluida",IF($AN64="Revisión","Revisión previa",$AL64))))</x:f>
      </x:c>
      <x:c r="AP64" s="23" t="str">
        <x:f>IF($A64="","",IF($AC64="BLOQUEADA","Gate duro",IF($AD64&gt;=MAX($AE64,$AF64,$AG64),"Potencial MMABP",IF($AE64&gt;=MAX($AD64,$AF64,$AG64),"Fricción/variedad",IF($AF64&gt;=MAX($AD64,$AE64,$AG64),"Cobertura","Evidencia/feasibilidad")))))</x:f>
      </x:c>
      <x:c r="AQ64" s="23" t="str">
        <x:f>IF($A64="","",IF(LEFT($AO64,8)="Primaria",IF($AE64&gt;=75,"40+20 probable",IF($AD64&gt;=75,"40 base + causales selectivas","40 base + probes mínimos")),"No abre Runtime profundo"))</x:f>
      </x:c>
      <x:c r="AR64" s="23" t="str">
        <x:f>IF($A64="","",IF($AC64="BLOQUEADA","Corregir WorkMap/B0 antes de selección",IF($AC64="REVISIÓN","Microconfirmación B0 o resolución semántica",IF($AO64="Contexto / backlog","Conservar como contexto total","Enviar a Runtime"))))</x:f>
      </x:c>
      <x:c r="AS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  <x:c r="AA65" s="36"/>
      <x:c r="AB65" s="36"/>
      <x:c r="AC65" s="23" t="str">
        <x:f>IF($A65="","",IF(OR($G65&lt;&gt;"Sí",$H65&lt;&gt;"Sí",$I65&lt;&gt;"Correcta",$J65="Sí",$K65&lt;2),"BLOQUEADA",IF(OR($J65="Posible",$K65&lt;3,$L65&lt;2),"REVISIÓN","ELEGIBLE")))</x:f>
      </x:c>
      <x:c r="AD65" s="38" t="str">
        <x:f>IF($A65="","",IF($AC65="BLOQUEADA",0,ROUND(($L65*Scoring_Weights!$C$9+$M65*Scoring_Weights!$C$10+$N65*Scoring_Weights!$C$11+$O65*Scoring_Weights!$C$12+$P65*Scoring_Weights!$C$13+$Q65*Scoring_Weights!$C$14+$R65*Scoring_Weights!$C$15+$X65*Scoring_Weights!$C$16+$AB65*Scoring_Weights!$C$17)*20,1)))</x:f>
      </x:c>
      <x:c r="AE65" s="38" t="str">
        <x:f>IF($A65="","",IF($AC65="BLOQUEADA",0,ROUND(($Q65*Scoring_Weights!$C$19+$R65*Scoring_Weights!$C$20+$S65*Scoring_Weights!$C$21+$T65*Scoring_Weights!$C$22+$U65*Scoring_Weights!$C$23+$V65*Scoring_Weights!$C$24+$W65*Scoring_Weights!$C$25)*20,1)))</x:f>
      </x:c>
      <x:c r="AF65" s="38" t="str">
        <x:f>IF($A65="","",IF($AC65="BLOQUEADA",0,ROUND(($Z65*Scoring_Weights!$C$27+$Y65*Scoring_Weights!$C$28+$X65*Scoring_Weights!$C$29)*20,1)))</x:f>
      </x:c>
      <x:c r="AG65" s="38" t="str">
        <x:f>IF($A65="","",IF($AC65="BLOQUEADA",0,ROUND(($AA65*Scoring_Weights!$C$31+$AB65*Scoring_Weights!$C$32+$K65*Scoring_Weights!$C$33)*20,1)))</x:f>
      </x:c>
      <x:c r="AH65" s="38" t="str">
        <x:f>IF($A65="","",IF($AC65="BLOQUEADA",0,MIN(10,IF(OR($O65&gt;=4,$P65&gt;=4),2,0)+IF($Q65&gt;=4,2,0)+IF($R65&gt;=4,2,0)+IF($U65&gt;=4,2,0)+IF($T65&gt;=4,1,0)+IF($V65&gt;=4,1,0))))</x:f>
      </x:c>
      <x:c r="AI65" s="38" t="str">
        <x:f>IF($A65="","",IF($AC65="BLOQUEADA",0,ROUND((MAX(0,5-$K65)+MAX(0,5-$AA65)+IF($I65="Ambigua",2,0)+IF($J65="Posible",2,0))*2,1)))</x:f>
      </x:c>
      <x:c r="AJ65" s="38" t="str">
        <x:f>IF($A65="","",IF($AC65="BLOQUEADA",0,ROUND($AD65*Scoring_Weights!$C$2+$AE65*Scoring_Weights!$C$3+$AF65*Scoring_Weights!$C$4+$AG65*Scoring_Weights!$C$5+$AH65*Scoring_Weights!$C$6-$AI65*Scoring_Weights!$C$7,1)))</x:f>
      </x:c>
      <x:c r="AK65" s="36" t="str">
        <x:f>IF($AC65&lt;&gt;"ELEGIBLE","",COUNTIFS($AC$2:$AC$101,"ELEGIBLE",$AJ$2:$AJ$101,"&gt;"&amp;$AJ65)+COUNTIFS($AC$2:$AC65,"ELEGIBLE",$AJ$2:$AJ65,$AJ65))</x:f>
      </x:c>
      <x:c r="AL65" s="23" t="str">
        <x:f>IF($A65="","",IF($AC65="BLOQUEADA","No seleccionable",IF($AC65="REVISIÓN","Revisión previa",IF($AK65&lt;=8,"Primaria propuesta","Contexto / backlog"))))</x:f>
      </x:c>
      <x:c r="AM65" s="23" t="str">
        <x:f>IF($A65="","",IF(MAX($O65,$P65)&gt;=MAX($Q65,$R65,$T65,$U65,$W65),"Transformación/OLC",IF(MAX($Q65,$R65)&gt;=MAX($T65,$U65,$W65),"Handoff/Flujo",IF(MAX($T65,$U65,$V65,$W65)&gt;=3,"Capacidad/Compensación","Contexto/PM"))))</x:f>
      </x:c>
      <x:c r="AN65" s="23"/>
      <x:c r="AO65" s="23" t="str">
        <x:f>IF($A65="","",IF($AN65="Forzar primaria","Primaria forzada",IF($AN65="Excluir","Excluida",IF($AN65="Revisión","Revisión previa",$AL65))))</x:f>
      </x:c>
      <x:c r="AP65" s="23" t="str">
        <x:f>IF($A65="","",IF($AC65="BLOQUEADA","Gate duro",IF($AD65&gt;=MAX($AE65,$AF65,$AG65),"Potencial MMABP",IF($AE65&gt;=MAX($AD65,$AF65,$AG65),"Fricción/variedad",IF($AF65&gt;=MAX($AD65,$AE65,$AG65),"Cobertura","Evidencia/feasibilidad")))))</x:f>
      </x:c>
      <x:c r="AQ65" s="23" t="str">
        <x:f>IF($A65="","",IF(LEFT($AO65,8)="Primaria",IF($AE65&gt;=75,"40+20 probable",IF($AD65&gt;=75,"40 base + causales selectivas","40 base + probes mínimos")),"No abre Runtime profundo"))</x:f>
      </x:c>
      <x:c r="AR65" s="23" t="str">
        <x:f>IF($A65="","",IF($AC65="BLOQUEADA","Corregir WorkMap/B0 antes de selección",IF($AC65="REVISIÓN","Microconfirmación B0 o resolución semántica",IF($AO65="Contexto / backlog","Conservar como contexto total","Enviar a Runtime"))))</x:f>
      </x:c>
      <x:c r="AS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  <x:c r="AA66" s="36"/>
      <x:c r="AB66" s="36"/>
      <x:c r="AC66" s="23" t="str">
        <x:f>IF($A66="","",IF(OR($G66&lt;&gt;"Sí",$H66&lt;&gt;"Sí",$I66&lt;&gt;"Correcta",$J66="Sí",$K66&lt;2),"BLOQUEADA",IF(OR($J66="Posible",$K66&lt;3,$L66&lt;2),"REVISIÓN","ELEGIBLE")))</x:f>
      </x:c>
      <x:c r="AD66" s="38" t="str">
        <x:f>IF($A66="","",IF($AC66="BLOQUEADA",0,ROUND(($L66*Scoring_Weights!$C$9+$M66*Scoring_Weights!$C$10+$N66*Scoring_Weights!$C$11+$O66*Scoring_Weights!$C$12+$P66*Scoring_Weights!$C$13+$Q66*Scoring_Weights!$C$14+$R66*Scoring_Weights!$C$15+$X66*Scoring_Weights!$C$16+$AB66*Scoring_Weights!$C$17)*20,1)))</x:f>
      </x:c>
      <x:c r="AE66" s="38" t="str">
        <x:f>IF($A66="","",IF($AC66="BLOQUEADA",0,ROUND(($Q66*Scoring_Weights!$C$19+$R66*Scoring_Weights!$C$20+$S66*Scoring_Weights!$C$21+$T66*Scoring_Weights!$C$22+$U66*Scoring_Weights!$C$23+$V66*Scoring_Weights!$C$24+$W66*Scoring_Weights!$C$25)*20,1)))</x:f>
      </x:c>
      <x:c r="AF66" s="38" t="str">
        <x:f>IF($A66="","",IF($AC66="BLOQUEADA",0,ROUND(($Z66*Scoring_Weights!$C$27+$Y66*Scoring_Weights!$C$28+$X66*Scoring_Weights!$C$29)*20,1)))</x:f>
      </x:c>
      <x:c r="AG66" s="38" t="str">
        <x:f>IF($A66="","",IF($AC66="BLOQUEADA",0,ROUND(($AA66*Scoring_Weights!$C$31+$AB66*Scoring_Weights!$C$32+$K66*Scoring_Weights!$C$33)*20,1)))</x:f>
      </x:c>
      <x:c r="AH66" s="38" t="str">
        <x:f>IF($A66="","",IF($AC66="BLOQUEADA",0,MIN(10,IF(OR($O66&gt;=4,$P66&gt;=4),2,0)+IF($Q66&gt;=4,2,0)+IF($R66&gt;=4,2,0)+IF($U66&gt;=4,2,0)+IF($T66&gt;=4,1,0)+IF($V66&gt;=4,1,0))))</x:f>
      </x:c>
      <x:c r="AI66" s="38" t="str">
        <x:f>IF($A66="","",IF($AC66="BLOQUEADA",0,ROUND((MAX(0,5-$K66)+MAX(0,5-$AA66)+IF($I66="Ambigua",2,0)+IF($J66="Posible",2,0))*2,1)))</x:f>
      </x:c>
      <x:c r="AJ66" s="38" t="str">
        <x:f>IF($A66="","",IF($AC66="BLOQUEADA",0,ROUND($AD66*Scoring_Weights!$C$2+$AE66*Scoring_Weights!$C$3+$AF66*Scoring_Weights!$C$4+$AG66*Scoring_Weights!$C$5+$AH66*Scoring_Weights!$C$6-$AI66*Scoring_Weights!$C$7,1)))</x:f>
      </x:c>
      <x:c r="AK66" s="36" t="str">
        <x:f>IF($AC66&lt;&gt;"ELEGIBLE","",COUNTIFS($AC$2:$AC$101,"ELEGIBLE",$AJ$2:$AJ$101,"&gt;"&amp;$AJ66)+COUNTIFS($AC$2:$AC66,"ELEGIBLE",$AJ$2:$AJ66,$AJ66))</x:f>
      </x:c>
      <x:c r="AL66" s="23" t="str">
        <x:f>IF($A66="","",IF($AC66="BLOQUEADA","No seleccionable",IF($AC66="REVISIÓN","Revisión previa",IF($AK66&lt;=8,"Primaria propuesta","Contexto / backlog"))))</x:f>
      </x:c>
      <x:c r="AM66" s="23" t="str">
        <x:f>IF($A66="","",IF(MAX($O66,$P66)&gt;=MAX($Q66,$R66,$T66,$U66,$W66),"Transformación/OLC",IF(MAX($Q66,$R66)&gt;=MAX($T66,$U66,$W66),"Handoff/Flujo",IF(MAX($T66,$U66,$V66,$W66)&gt;=3,"Capacidad/Compensación","Contexto/PM"))))</x:f>
      </x:c>
      <x:c r="AN66" s="23"/>
      <x:c r="AO66" s="23" t="str">
        <x:f>IF($A66="","",IF($AN66="Forzar primaria","Primaria forzada",IF($AN66="Excluir","Excluida",IF($AN66="Revisión","Revisión previa",$AL66))))</x:f>
      </x:c>
      <x:c r="AP66" s="23" t="str">
        <x:f>IF($A66="","",IF($AC66="BLOQUEADA","Gate duro",IF($AD66&gt;=MAX($AE66,$AF66,$AG66),"Potencial MMABP",IF($AE66&gt;=MAX($AD66,$AF66,$AG66),"Fricción/variedad",IF($AF66&gt;=MAX($AD66,$AE66,$AG66),"Cobertura","Evidencia/feasibilidad")))))</x:f>
      </x:c>
      <x:c r="AQ66" s="23" t="str">
        <x:f>IF($A66="","",IF(LEFT($AO66,8)="Primaria",IF($AE66&gt;=75,"40+20 probable",IF($AD66&gt;=75,"40 base + causales selectivas","40 base + probes mínimos")),"No abre Runtime profundo"))</x:f>
      </x:c>
      <x:c r="AR66" s="23" t="str">
        <x:f>IF($A66="","",IF($AC66="BLOQUEADA","Corregir WorkMap/B0 antes de selección",IF($AC66="REVISIÓN","Microconfirmación B0 o resolución semántica",IF($AO66="Contexto / backlog","Conservar como contexto total","Enviar a Runtime"))))</x:f>
      </x:c>
      <x:c r="AS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  <x:c r="AA67" s="36"/>
      <x:c r="AB67" s="36"/>
      <x:c r="AC67" s="23" t="str">
        <x:f>IF($A67="","",IF(OR($G67&lt;&gt;"Sí",$H67&lt;&gt;"Sí",$I67&lt;&gt;"Correcta",$J67="Sí",$K67&lt;2),"BLOQUEADA",IF(OR($J67="Posible",$K67&lt;3,$L67&lt;2),"REVISIÓN","ELEGIBLE")))</x:f>
      </x:c>
      <x:c r="AD67" s="38" t="str">
        <x:f>IF($A67="","",IF($AC67="BLOQUEADA",0,ROUND(($L67*Scoring_Weights!$C$9+$M67*Scoring_Weights!$C$10+$N67*Scoring_Weights!$C$11+$O67*Scoring_Weights!$C$12+$P67*Scoring_Weights!$C$13+$Q67*Scoring_Weights!$C$14+$R67*Scoring_Weights!$C$15+$X67*Scoring_Weights!$C$16+$AB67*Scoring_Weights!$C$17)*20,1)))</x:f>
      </x:c>
      <x:c r="AE67" s="38" t="str">
        <x:f>IF($A67="","",IF($AC67="BLOQUEADA",0,ROUND(($Q67*Scoring_Weights!$C$19+$R67*Scoring_Weights!$C$20+$S67*Scoring_Weights!$C$21+$T67*Scoring_Weights!$C$22+$U67*Scoring_Weights!$C$23+$V67*Scoring_Weights!$C$24+$W67*Scoring_Weights!$C$25)*20,1)))</x:f>
      </x:c>
      <x:c r="AF67" s="38" t="str">
        <x:f>IF($A67="","",IF($AC67="BLOQUEADA",0,ROUND(($Z67*Scoring_Weights!$C$27+$Y67*Scoring_Weights!$C$28+$X67*Scoring_Weights!$C$29)*20,1)))</x:f>
      </x:c>
      <x:c r="AG67" s="38" t="str">
        <x:f>IF($A67="","",IF($AC67="BLOQUEADA",0,ROUND(($AA67*Scoring_Weights!$C$31+$AB67*Scoring_Weights!$C$32+$K67*Scoring_Weights!$C$33)*20,1)))</x:f>
      </x:c>
      <x:c r="AH67" s="38" t="str">
        <x:f>IF($A67="","",IF($AC67="BLOQUEADA",0,MIN(10,IF(OR($O67&gt;=4,$P67&gt;=4),2,0)+IF($Q67&gt;=4,2,0)+IF($R67&gt;=4,2,0)+IF($U67&gt;=4,2,0)+IF($T67&gt;=4,1,0)+IF($V67&gt;=4,1,0))))</x:f>
      </x:c>
      <x:c r="AI67" s="38" t="str">
        <x:f>IF($A67="","",IF($AC67="BLOQUEADA",0,ROUND((MAX(0,5-$K67)+MAX(0,5-$AA67)+IF($I67="Ambigua",2,0)+IF($J67="Posible",2,0))*2,1)))</x:f>
      </x:c>
      <x:c r="AJ67" s="38" t="str">
        <x:f>IF($A67="","",IF($AC67="BLOQUEADA",0,ROUND($AD67*Scoring_Weights!$C$2+$AE67*Scoring_Weights!$C$3+$AF67*Scoring_Weights!$C$4+$AG67*Scoring_Weights!$C$5+$AH67*Scoring_Weights!$C$6-$AI67*Scoring_Weights!$C$7,1)))</x:f>
      </x:c>
      <x:c r="AK67" s="36" t="str">
        <x:f>IF($AC67&lt;&gt;"ELEGIBLE","",COUNTIFS($AC$2:$AC$101,"ELEGIBLE",$AJ$2:$AJ$101,"&gt;"&amp;$AJ67)+COUNTIFS($AC$2:$AC67,"ELEGIBLE",$AJ$2:$AJ67,$AJ67))</x:f>
      </x:c>
      <x:c r="AL67" s="23" t="str">
        <x:f>IF($A67="","",IF($AC67="BLOQUEADA","No seleccionable",IF($AC67="REVISIÓN","Revisión previa",IF($AK67&lt;=8,"Primaria propuesta","Contexto / backlog"))))</x:f>
      </x:c>
      <x:c r="AM67" s="23" t="str">
        <x:f>IF($A67="","",IF(MAX($O67,$P67)&gt;=MAX($Q67,$R67,$T67,$U67,$W67),"Transformación/OLC",IF(MAX($Q67,$R67)&gt;=MAX($T67,$U67,$W67),"Handoff/Flujo",IF(MAX($T67,$U67,$V67,$W67)&gt;=3,"Capacidad/Compensación","Contexto/PM"))))</x:f>
      </x:c>
      <x:c r="AN67" s="23"/>
      <x:c r="AO67" s="23" t="str">
        <x:f>IF($A67="","",IF($AN67="Forzar primaria","Primaria forzada",IF($AN67="Excluir","Excluida",IF($AN67="Revisión","Revisión previa",$AL67))))</x:f>
      </x:c>
      <x:c r="AP67" s="23" t="str">
        <x:f>IF($A67="","",IF($AC67="BLOQUEADA","Gate duro",IF($AD67&gt;=MAX($AE67,$AF67,$AG67),"Potencial MMABP",IF($AE67&gt;=MAX($AD67,$AF67,$AG67),"Fricción/variedad",IF($AF67&gt;=MAX($AD67,$AE67,$AG67),"Cobertura","Evidencia/feasibilidad")))))</x:f>
      </x:c>
      <x:c r="AQ67" s="23" t="str">
        <x:f>IF($A67="","",IF(LEFT($AO67,8)="Primaria",IF($AE67&gt;=75,"40+20 probable",IF($AD67&gt;=75,"40 base + causales selectivas","40 base + probes mínimos")),"No abre Runtime profundo"))</x:f>
      </x:c>
      <x:c r="AR67" s="23" t="str">
        <x:f>IF($A67="","",IF($AC67="BLOQUEADA","Corregir WorkMap/B0 antes de selección",IF($AC67="REVISIÓN","Microconfirmación B0 o resolución semántica",IF($AO67="Contexto / backlog","Conservar como contexto total","Enviar a Runtime"))))</x:f>
      </x:c>
      <x:c r="AS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  <x:c r="AA68" s="36"/>
      <x:c r="AB68" s="36"/>
      <x:c r="AC68" s="23" t="str">
        <x:f>IF($A68="","",IF(OR($G68&lt;&gt;"Sí",$H68&lt;&gt;"Sí",$I68&lt;&gt;"Correcta",$J68="Sí",$K68&lt;2),"BLOQUEADA",IF(OR($J68="Posible",$K68&lt;3,$L68&lt;2),"REVISIÓN","ELEGIBLE")))</x:f>
      </x:c>
      <x:c r="AD68" s="38" t="str">
        <x:f>IF($A68="","",IF($AC68="BLOQUEADA",0,ROUND(($L68*Scoring_Weights!$C$9+$M68*Scoring_Weights!$C$10+$N68*Scoring_Weights!$C$11+$O68*Scoring_Weights!$C$12+$P68*Scoring_Weights!$C$13+$Q68*Scoring_Weights!$C$14+$R68*Scoring_Weights!$C$15+$X68*Scoring_Weights!$C$16+$AB68*Scoring_Weights!$C$17)*20,1)))</x:f>
      </x:c>
      <x:c r="AE68" s="38" t="str">
        <x:f>IF($A68="","",IF($AC68="BLOQUEADA",0,ROUND(($Q68*Scoring_Weights!$C$19+$R68*Scoring_Weights!$C$20+$S68*Scoring_Weights!$C$21+$T68*Scoring_Weights!$C$22+$U68*Scoring_Weights!$C$23+$V68*Scoring_Weights!$C$24+$W68*Scoring_Weights!$C$25)*20,1)))</x:f>
      </x:c>
      <x:c r="AF68" s="38" t="str">
        <x:f>IF($A68="","",IF($AC68="BLOQUEADA",0,ROUND(($Z68*Scoring_Weights!$C$27+$Y68*Scoring_Weights!$C$28+$X68*Scoring_Weights!$C$29)*20,1)))</x:f>
      </x:c>
      <x:c r="AG68" s="38" t="str">
        <x:f>IF($A68="","",IF($AC68="BLOQUEADA",0,ROUND(($AA68*Scoring_Weights!$C$31+$AB68*Scoring_Weights!$C$32+$K68*Scoring_Weights!$C$33)*20,1)))</x:f>
      </x:c>
      <x:c r="AH68" s="38" t="str">
        <x:f>IF($A68="","",IF($AC68="BLOQUEADA",0,MIN(10,IF(OR($O68&gt;=4,$P68&gt;=4),2,0)+IF($Q68&gt;=4,2,0)+IF($R68&gt;=4,2,0)+IF($U68&gt;=4,2,0)+IF($T68&gt;=4,1,0)+IF($V68&gt;=4,1,0))))</x:f>
      </x:c>
      <x:c r="AI68" s="38" t="str">
        <x:f>IF($A68="","",IF($AC68="BLOQUEADA",0,ROUND((MAX(0,5-$K68)+MAX(0,5-$AA68)+IF($I68="Ambigua",2,0)+IF($J68="Posible",2,0))*2,1)))</x:f>
      </x:c>
      <x:c r="AJ68" s="38" t="str">
        <x:f>IF($A68="","",IF($AC68="BLOQUEADA",0,ROUND($AD68*Scoring_Weights!$C$2+$AE68*Scoring_Weights!$C$3+$AF68*Scoring_Weights!$C$4+$AG68*Scoring_Weights!$C$5+$AH68*Scoring_Weights!$C$6-$AI68*Scoring_Weights!$C$7,1)))</x:f>
      </x:c>
      <x:c r="AK68" s="36" t="str">
        <x:f>IF($AC68&lt;&gt;"ELEGIBLE","",COUNTIFS($AC$2:$AC$101,"ELEGIBLE",$AJ$2:$AJ$101,"&gt;"&amp;$AJ68)+COUNTIFS($AC$2:$AC68,"ELEGIBLE",$AJ$2:$AJ68,$AJ68))</x:f>
      </x:c>
      <x:c r="AL68" s="23" t="str">
        <x:f>IF($A68="","",IF($AC68="BLOQUEADA","No seleccionable",IF($AC68="REVISIÓN","Revisión previa",IF($AK68&lt;=8,"Primaria propuesta","Contexto / backlog"))))</x:f>
      </x:c>
      <x:c r="AM68" s="23" t="str">
        <x:f>IF($A68="","",IF(MAX($O68,$P68)&gt;=MAX($Q68,$R68,$T68,$U68,$W68),"Transformación/OLC",IF(MAX($Q68,$R68)&gt;=MAX($T68,$U68,$W68),"Handoff/Flujo",IF(MAX($T68,$U68,$V68,$W68)&gt;=3,"Capacidad/Compensación","Contexto/PM"))))</x:f>
      </x:c>
      <x:c r="AN68" s="23"/>
      <x:c r="AO68" s="23" t="str">
        <x:f>IF($A68="","",IF($AN68="Forzar primaria","Primaria forzada",IF($AN68="Excluir","Excluida",IF($AN68="Revisión","Revisión previa",$AL68))))</x:f>
      </x:c>
      <x:c r="AP68" s="23" t="str">
        <x:f>IF($A68="","",IF($AC68="BLOQUEADA","Gate duro",IF($AD68&gt;=MAX($AE68,$AF68,$AG68),"Potencial MMABP",IF($AE68&gt;=MAX($AD68,$AF68,$AG68),"Fricción/variedad",IF($AF68&gt;=MAX($AD68,$AE68,$AG68),"Cobertura","Evidencia/feasibilidad")))))</x:f>
      </x:c>
      <x:c r="AQ68" s="23" t="str">
        <x:f>IF($A68="","",IF(LEFT($AO68,8)="Primaria",IF($AE68&gt;=75,"40+20 probable",IF($AD68&gt;=75,"40 base + causales selectivas","40 base + probes mínimos")),"No abre Runtime profundo"))</x:f>
      </x:c>
      <x:c r="AR68" s="23" t="str">
        <x:f>IF($A68="","",IF($AC68="BLOQUEADA","Corregir WorkMap/B0 antes de selección",IF($AC68="REVISIÓN","Microconfirmación B0 o resolución semántica",IF($AO68="Contexto / backlog","Conservar como contexto total","Enviar a Runtime"))))</x:f>
      </x:c>
      <x:c r="AS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  <x:c r="AA69" s="36"/>
      <x:c r="AB69" s="36"/>
      <x:c r="AC69" s="23" t="str">
        <x:f>IF($A69="","",IF(OR($G69&lt;&gt;"Sí",$H69&lt;&gt;"Sí",$I69&lt;&gt;"Correcta",$J69="Sí",$K69&lt;2),"BLOQUEADA",IF(OR($J69="Posible",$K69&lt;3,$L69&lt;2),"REVISIÓN","ELEGIBLE")))</x:f>
      </x:c>
      <x:c r="AD69" s="38" t="str">
        <x:f>IF($A69="","",IF($AC69="BLOQUEADA",0,ROUND(($L69*Scoring_Weights!$C$9+$M69*Scoring_Weights!$C$10+$N69*Scoring_Weights!$C$11+$O69*Scoring_Weights!$C$12+$P69*Scoring_Weights!$C$13+$Q69*Scoring_Weights!$C$14+$R69*Scoring_Weights!$C$15+$X69*Scoring_Weights!$C$16+$AB69*Scoring_Weights!$C$17)*20,1)))</x:f>
      </x:c>
      <x:c r="AE69" s="38" t="str">
        <x:f>IF($A69="","",IF($AC69="BLOQUEADA",0,ROUND(($Q69*Scoring_Weights!$C$19+$R69*Scoring_Weights!$C$20+$S69*Scoring_Weights!$C$21+$T69*Scoring_Weights!$C$22+$U69*Scoring_Weights!$C$23+$V69*Scoring_Weights!$C$24+$W69*Scoring_Weights!$C$25)*20,1)))</x:f>
      </x:c>
      <x:c r="AF69" s="38" t="str">
        <x:f>IF($A69="","",IF($AC69="BLOQUEADA",0,ROUND(($Z69*Scoring_Weights!$C$27+$Y69*Scoring_Weights!$C$28+$X69*Scoring_Weights!$C$29)*20,1)))</x:f>
      </x:c>
      <x:c r="AG69" s="38" t="str">
        <x:f>IF($A69="","",IF($AC69="BLOQUEADA",0,ROUND(($AA69*Scoring_Weights!$C$31+$AB69*Scoring_Weights!$C$32+$K69*Scoring_Weights!$C$33)*20,1)))</x:f>
      </x:c>
      <x:c r="AH69" s="38" t="str">
        <x:f>IF($A69="","",IF($AC69="BLOQUEADA",0,MIN(10,IF(OR($O69&gt;=4,$P69&gt;=4),2,0)+IF($Q69&gt;=4,2,0)+IF($R69&gt;=4,2,0)+IF($U69&gt;=4,2,0)+IF($T69&gt;=4,1,0)+IF($V69&gt;=4,1,0))))</x:f>
      </x:c>
      <x:c r="AI69" s="38" t="str">
        <x:f>IF($A69="","",IF($AC69="BLOQUEADA",0,ROUND((MAX(0,5-$K69)+MAX(0,5-$AA69)+IF($I69="Ambigua",2,0)+IF($J69="Posible",2,0))*2,1)))</x:f>
      </x:c>
      <x:c r="AJ69" s="38" t="str">
        <x:f>IF($A69="","",IF($AC69="BLOQUEADA",0,ROUND($AD69*Scoring_Weights!$C$2+$AE69*Scoring_Weights!$C$3+$AF69*Scoring_Weights!$C$4+$AG69*Scoring_Weights!$C$5+$AH69*Scoring_Weights!$C$6-$AI69*Scoring_Weights!$C$7,1)))</x:f>
      </x:c>
      <x:c r="AK69" s="36" t="str">
        <x:f>IF($AC69&lt;&gt;"ELEGIBLE","",COUNTIFS($AC$2:$AC$101,"ELEGIBLE",$AJ$2:$AJ$101,"&gt;"&amp;$AJ69)+COUNTIFS($AC$2:$AC69,"ELEGIBLE",$AJ$2:$AJ69,$AJ69))</x:f>
      </x:c>
      <x:c r="AL69" s="23" t="str">
        <x:f>IF($A69="","",IF($AC69="BLOQUEADA","No seleccionable",IF($AC69="REVISIÓN","Revisión previa",IF($AK69&lt;=8,"Primaria propuesta","Contexto / backlog"))))</x:f>
      </x:c>
      <x:c r="AM69" s="23" t="str">
        <x:f>IF($A69="","",IF(MAX($O69,$P69)&gt;=MAX($Q69,$R69,$T69,$U69,$W69),"Transformación/OLC",IF(MAX($Q69,$R69)&gt;=MAX($T69,$U69,$W69),"Handoff/Flujo",IF(MAX($T69,$U69,$V69,$W69)&gt;=3,"Capacidad/Compensación","Contexto/PM"))))</x:f>
      </x:c>
      <x:c r="AN69" s="23"/>
      <x:c r="AO69" s="23" t="str">
        <x:f>IF($A69="","",IF($AN69="Forzar primaria","Primaria forzada",IF($AN69="Excluir","Excluida",IF($AN69="Revisión","Revisión previa",$AL69))))</x:f>
      </x:c>
      <x:c r="AP69" s="23" t="str">
        <x:f>IF($A69="","",IF($AC69="BLOQUEADA","Gate duro",IF($AD69&gt;=MAX($AE69,$AF69,$AG69),"Potencial MMABP",IF($AE69&gt;=MAX($AD69,$AF69,$AG69),"Fricción/variedad",IF($AF69&gt;=MAX($AD69,$AE69,$AG69),"Cobertura","Evidencia/feasibilidad")))))</x:f>
      </x:c>
      <x:c r="AQ69" s="23" t="str">
        <x:f>IF($A69="","",IF(LEFT($AO69,8)="Primaria",IF($AE69&gt;=75,"40+20 probable",IF($AD69&gt;=75,"40 base + causales selectivas","40 base + probes mínimos")),"No abre Runtime profundo"))</x:f>
      </x:c>
      <x:c r="AR69" s="23" t="str">
        <x:f>IF($A69="","",IF($AC69="BLOQUEADA","Corregir WorkMap/B0 antes de selección",IF($AC69="REVISIÓN","Microconfirmación B0 o resolución semántica",IF($AO69="Contexto / backlog","Conservar como contexto total","Enviar a Runtime"))))</x:f>
      </x:c>
      <x:c r="AS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  <x:c r="AA70" s="36"/>
      <x:c r="AB70" s="36"/>
      <x:c r="AC70" s="23" t="str">
        <x:f>IF($A70="","",IF(OR($G70&lt;&gt;"Sí",$H70&lt;&gt;"Sí",$I70&lt;&gt;"Correcta",$J70="Sí",$K70&lt;2),"BLOQUEADA",IF(OR($J70="Posible",$K70&lt;3,$L70&lt;2),"REVISIÓN","ELEGIBLE")))</x:f>
      </x:c>
      <x:c r="AD70" s="38" t="str">
        <x:f>IF($A70="","",IF($AC70="BLOQUEADA",0,ROUND(($L70*Scoring_Weights!$C$9+$M70*Scoring_Weights!$C$10+$N70*Scoring_Weights!$C$11+$O70*Scoring_Weights!$C$12+$P70*Scoring_Weights!$C$13+$Q70*Scoring_Weights!$C$14+$R70*Scoring_Weights!$C$15+$X70*Scoring_Weights!$C$16+$AB70*Scoring_Weights!$C$17)*20,1)))</x:f>
      </x:c>
      <x:c r="AE70" s="38" t="str">
        <x:f>IF($A70="","",IF($AC70="BLOQUEADA",0,ROUND(($Q70*Scoring_Weights!$C$19+$R70*Scoring_Weights!$C$20+$S70*Scoring_Weights!$C$21+$T70*Scoring_Weights!$C$22+$U70*Scoring_Weights!$C$23+$V70*Scoring_Weights!$C$24+$W70*Scoring_Weights!$C$25)*20,1)))</x:f>
      </x:c>
      <x:c r="AF70" s="38" t="str">
        <x:f>IF($A70="","",IF($AC70="BLOQUEADA",0,ROUND(($Z70*Scoring_Weights!$C$27+$Y70*Scoring_Weights!$C$28+$X70*Scoring_Weights!$C$29)*20,1)))</x:f>
      </x:c>
      <x:c r="AG70" s="38" t="str">
        <x:f>IF($A70="","",IF($AC70="BLOQUEADA",0,ROUND(($AA70*Scoring_Weights!$C$31+$AB70*Scoring_Weights!$C$32+$K70*Scoring_Weights!$C$33)*20,1)))</x:f>
      </x:c>
      <x:c r="AH70" s="38" t="str">
        <x:f>IF($A70="","",IF($AC70="BLOQUEADA",0,MIN(10,IF(OR($O70&gt;=4,$P70&gt;=4),2,0)+IF($Q70&gt;=4,2,0)+IF($R70&gt;=4,2,0)+IF($U70&gt;=4,2,0)+IF($T70&gt;=4,1,0)+IF($V70&gt;=4,1,0))))</x:f>
      </x:c>
      <x:c r="AI70" s="38" t="str">
        <x:f>IF($A70="","",IF($AC70="BLOQUEADA",0,ROUND((MAX(0,5-$K70)+MAX(0,5-$AA70)+IF($I70="Ambigua",2,0)+IF($J70="Posible",2,0))*2,1)))</x:f>
      </x:c>
      <x:c r="AJ70" s="38" t="str">
        <x:f>IF($A70="","",IF($AC70="BLOQUEADA",0,ROUND($AD70*Scoring_Weights!$C$2+$AE70*Scoring_Weights!$C$3+$AF70*Scoring_Weights!$C$4+$AG70*Scoring_Weights!$C$5+$AH70*Scoring_Weights!$C$6-$AI70*Scoring_Weights!$C$7,1)))</x:f>
      </x:c>
      <x:c r="AK70" s="36" t="str">
        <x:f>IF($AC70&lt;&gt;"ELEGIBLE","",COUNTIFS($AC$2:$AC$101,"ELEGIBLE",$AJ$2:$AJ$101,"&gt;"&amp;$AJ70)+COUNTIFS($AC$2:$AC70,"ELEGIBLE",$AJ$2:$AJ70,$AJ70))</x:f>
      </x:c>
      <x:c r="AL70" s="23" t="str">
        <x:f>IF($A70="","",IF($AC70="BLOQUEADA","No seleccionable",IF($AC70="REVISIÓN","Revisión previa",IF($AK70&lt;=8,"Primaria propuesta","Contexto / backlog"))))</x:f>
      </x:c>
      <x:c r="AM70" s="23" t="str">
        <x:f>IF($A70="","",IF(MAX($O70,$P70)&gt;=MAX($Q70,$R70,$T70,$U70,$W70),"Transformación/OLC",IF(MAX($Q70,$R70)&gt;=MAX($T70,$U70,$W70),"Handoff/Flujo",IF(MAX($T70,$U70,$V70,$W70)&gt;=3,"Capacidad/Compensación","Contexto/PM"))))</x:f>
      </x:c>
      <x:c r="AN70" s="23"/>
      <x:c r="AO70" s="23" t="str">
        <x:f>IF($A70="","",IF($AN70="Forzar primaria","Primaria forzada",IF($AN70="Excluir","Excluida",IF($AN70="Revisión","Revisión previa",$AL70))))</x:f>
      </x:c>
      <x:c r="AP70" s="23" t="str">
        <x:f>IF($A70="","",IF($AC70="BLOQUEADA","Gate duro",IF($AD70&gt;=MAX($AE70,$AF70,$AG70),"Potencial MMABP",IF($AE70&gt;=MAX($AD70,$AF70,$AG70),"Fricción/variedad",IF($AF70&gt;=MAX($AD70,$AE70,$AG70),"Cobertura","Evidencia/feasibilidad")))))</x:f>
      </x:c>
      <x:c r="AQ70" s="23" t="str">
        <x:f>IF($A70="","",IF(LEFT($AO70,8)="Primaria",IF($AE70&gt;=75,"40+20 probable",IF($AD70&gt;=75,"40 base + causales selectivas","40 base + probes mínimos")),"No abre Runtime profundo"))</x:f>
      </x:c>
      <x:c r="AR70" s="23" t="str">
        <x:f>IF($A70="","",IF($AC70="BLOQUEADA","Corregir WorkMap/B0 antes de selección",IF($AC70="REVISIÓN","Microconfirmación B0 o resolución semántica",IF($AO70="Contexto / backlog","Conservar como contexto total","Enviar a Runtime"))))</x:f>
      </x:c>
      <x:c r="AS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  <x:c r="AA71" s="36"/>
      <x:c r="AB71" s="36"/>
      <x:c r="AC71" s="23" t="str">
        <x:f>IF($A71="","",IF(OR($G71&lt;&gt;"Sí",$H71&lt;&gt;"Sí",$I71&lt;&gt;"Correcta",$J71="Sí",$K71&lt;2),"BLOQUEADA",IF(OR($J71="Posible",$K71&lt;3,$L71&lt;2),"REVISIÓN","ELEGIBLE")))</x:f>
      </x:c>
      <x:c r="AD71" s="38" t="str">
        <x:f>IF($A71="","",IF($AC71="BLOQUEADA",0,ROUND(($L71*Scoring_Weights!$C$9+$M71*Scoring_Weights!$C$10+$N71*Scoring_Weights!$C$11+$O71*Scoring_Weights!$C$12+$P71*Scoring_Weights!$C$13+$Q71*Scoring_Weights!$C$14+$R71*Scoring_Weights!$C$15+$X71*Scoring_Weights!$C$16+$AB71*Scoring_Weights!$C$17)*20,1)))</x:f>
      </x:c>
      <x:c r="AE71" s="38" t="str">
        <x:f>IF($A71="","",IF($AC71="BLOQUEADA",0,ROUND(($Q71*Scoring_Weights!$C$19+$R71*Scoring_Weights!$C$20+$S71*Scoring_Weights!$C$21+$T71*Scoring_Weights!$C$22+$U71*Scoring_Weights!$C$23+$V71*Scoring_Weights!$C$24+$W71*Scoring_Weights!$C$25)*20,1)))</x:f>
      </x:c>
      <x:c r="AF71" s="38" t="str">
        <x:f>IF($A71="","",IF($AC71="BLOQUEADA",0,ROUND(($Z71*Scoring_Weights!$C$27+$Y71*Scoring_Weights!$C$28+$X71*Scoring_Weights!$C$29)*20,1)))</x:f>
      </x:c>
      <x:c r="AG71" s="38" t="str">
        <x:f>IF($A71="","",IF($AC71="BLOQUEADA",0,ROUND(($AA71*Scoring_Weights!$C$31+$AB71*Scoring_Weights!$C$32+$K71*Scoring_Weights!$C$33)*20,1)))</x:f>
      </x:c>
      <x:c r="AH71" s="38" t="str">
        <x:f>IF($A71="","",IF($AC71="BLOQUEADA",0,MIN(10,IF(OR($O71&gt;=4,$P71&gt;=4),2,0)+IF($Q71&gt;=4,2,0)+IF($R71&gt;=4,2,0)+IF($U71&gt;=4,2,0)+IF($T71&gt;=4,1,0)+IF($V71&gt;=4,1,0))))</x:f>
      </x:c>
      <x:c r="AI71" s="38" t="str">
        <x:f>IF($A71="","",IF($AC71="BLOQUEADA",0,ROUND((MAX(0,5-$K71)+MAX(0,5-$AA71)+IF($I71="Ambigua",2,0)+IF($J71="Posible",2,0))*2,1)))</x:f>
      </x:c>
      <x:c r="AJ71" s="38" t="str">
        <x:f>IF($A71="","",IF($AC71="BLOQUEADA",0,ROUND($AD71*Scoring_Weights!$C$2+$AE71*Scoring_Weights!$C$3+$AF71*Scoring_Weights!$C$4+$AG71*Scoring_Weights!$C$5+$AH71*Scoring_Weights!$C$6-$AI71*Scoring_Weights!$C$7,1)))</x:f>
      </x:c>
      <x:c r="AK71" s="36" t="str">
        <x:f>IF($AC71&lt;&gt;"ELEGIBLE","",COUNTIFS($AC$2:$AC$101,"ELEGIBLE",$AJ$2:$AJ$101,"&gt;"&amp;$AJ71)+COUNTIFS($AC$2:$AC71,"ELEGIBLE",$AJ$2:$AJ71,$AJ71))</x:f>
      </x:c>
      <x:c r="AL71" s="23" t="str">
        <x:f>IF($A71="","",IF($AC71="BLOQUEADA","No seleccionable",IF($AC71="REVISIÓN","Revisión previa",IF($AK71&lt;=8,"Primaria propuesta","Contexto / backlog"))))</x:f>
      </x:c>
      <x:c r="AM71" s="23" t="str">
        <x:f>IF($A71="","",IF(MAX($O71,$P71)&gt;=MAX($Q71,$R71,$T71,$U71,$W71),"Transformación/OLC",IF(MAX($Q71,$R71)&gt;=MAX($T71,$U71,$W71),"Handoff/Flujo",IF(MAX($T71,$U71,$V71,$W71)&gt;=3,"Capacidad/Compensación","Contexto/PM"))))</x:f>
      </x:c>
      <x:c r="AN71" s="23"/>
      <x:c r="AO71" s="23" t="str">
        <x:f>IF($A71="","",IF($AN71="Forzar primaria","Primaria forzada",IF($AN71="Excluir","Excluida",IF($AN71="Revisión","Revisión previa",$AL71))))</x:f>
      </x:c>
      <x:c r="AP71" s="23" t="str">
        <x:f>IF($A71="","",IF($AC71="BLOQUEADA","Gate duro",IF($AD71&gt;=MAX($AE71,$AF71,$AG71),"Potencial MMABP",IF($AE71&gt;=MAX($AD71,$AF71,$AG71),"Fricción/variedad",IF($AF71&gt;=MAX($AD71,$AE71,$AG71),"Cobertura","Evidencia/feasibilidad")))))</x:f>
      </x:c>
      <x:c r="AQ71" s="23" t="str">
        <x:f>IF($A71="","",IF(LEFT($AO71,8)="Primaria",IF($AE71&gt;=75,"40+20 probable",IF($AD71&gt;=75,"40 base + causales selectivas","40 base + probes mínimos")),"No abre Runtime profundo"))</x:f>
      </x:c>
      <x:c r="AR71" s="23" t="str">
        <x:f>IF($A71="","",IF($AC71="BLOQUEADA","Corregir WorkMap/B0 antes de selección",IF($AC71="REVISIÓN","Microconfirmación B0 o resolución semántica",IF($AO71="Contexto / backlog","Conservar como contexto total","Enviar a Runtime"))))</x:f>
      </x:c>
      <x:c r="AS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  <x:c r="AA72" s="36"/>
      <x:c r="AB72" s="36"/>
      <x:c r="AC72" s="23" t="str">
        <x:f>IF($A72="","",IF(OR($G72&lt;&gt;"Sí",$H72&lt;&gt;"Sí",$I72&lt;&gt;"Correcta",$J72="Sí",$K72&lt;2),"BLOQUEADA",IF(OR($J72="Posible",$K72&lt;3,$L72&lt;2),"REVISIÓN","ELEGIBLE")))</x:f>
      </x:c>
      <x:c r="AD72" s="38" t="str">
        <x:f>IF($A72="","",IF($AC72="BLOQUEADA",0,ROUND(($L72*Scoring_Weights!$C$9+$M72*Scoring_Weights!$C$10+$N72*Scoring_Weights!$C$11+$O72*Scoring_Weights!$C$12+$P72*Scoring_Weights!$C$13+$Q72*Scoring_Weights!$C$14+$R72*Scoring_Weights!$C$15+$X72*Scoring_Weights!$C$16+$AB72*Scoring_Weights!$C$17)*20,1)))</x:f>
      </x:c>
      <x:c r="AE72" s="38" t="str">
        <x:f>IF($A72="","",IF($AC72="BLOQUEADA",0,ROUND(($Q72*Scoring_Weights!$C$19+$R72*Scoring_Weights!$C$20+$S72*Scoring_Weights!$C$21+$T72*Scoring_Weights!$C$22+$U72*Scoring_Weights!$C$23+$V72*Scoring_Weights!$C$24+$W72*Scoring_Weights!$C$25)*20,1)))</x:f>
      </x:c>
      <x:c r="AF72" s="38" t="str">
        <x:f>IF($A72="","",IF($AC72="BLOQUEADA",0,ROUND(($Z72*Scoring_Weights!$C$27+$Y72*Scoring_Weights!$C$28+$X72*Scoring_Weights!$C$29)*20,1)))</x:f>
      </x:c>
      <x:c r="AG72" s="38" t="str">
        <x:f>IF($A72="","",IF($AC72="BLOQUEADA",0,ROUND(($AA72*Scoring_Weights!$C$31+$AB72*Scoring_Weights!$C$32+$K72*Scoring_Weights!$C$33)*20,1)))</x:f>
      </x:c>
      <x:c r="AH72" s="38" t="str">
        <x:f>IF($A72="","",IF($AC72="BLOQUEADA",0,MIN(10,IF(OR($O72&gt;=4,$P72&gt;=4),2,0)+IF($Q72&gt;=4,2,0)+IF($R72&gt;=4,2,0)+IF($U72&gt;=4,2,0)+IF($T72&gt;=4,1,0)+IF($V72&gt;=4,1,0))))</x:f>
      </x:c>
      <x:c r="AI72" s="38" t="str">
        <x:f>IF($A72="","",IF($AC72="BLOQUEADA",0,ROUND((MAX(0,5-$K72)+MAX(0,5-$AA72)+IF($I72="Ambigua",2,0)+IF($J72="Posible",2,0))*2,1)))</x:f>
      </x:c>
      <x:c r="AJ72" s="38" t="str">
        <x:f>IF($A72="","",IF($AC72="BLOQUEADA",0,ROUND($AD72*Scoring_Weights!$C$2+$AE72*Scoring_Weights!$C$3+$AF72*Scoring_Weights!$C$4+$AG72*Scoring_Weights!$C$5+$AH72*Scoring_Weights!$C$6-$AI72*Scoring_Weights!$C$7,1)))</x:f>
      </x:c>
      <x:c r="AK72" s="36" t="str">
        <x:f>IF($AC72&lt;&gt;"ELEGIBLE","",COUNTIFS($AC$2:$AC$101,"ELEGIBLE",$AJ$2:$AJ$101,"&gt;"&amp;$AJ72)+COUNTIFS($AC$2:$AC72,"ELEGIBLE",$AJ$2:$AJ72,$AJ72))</x:f>
      </x:c>
      <x:c r="AL72" s="23" t="str">
        <x:f>IF($A72="","",IF($AC72="BLOQUEADA","No seleccionable",IF($AC72="REVISIÓN","Revisión previa",IF($AK72&lt;=8,"Primaria propuesta","Contexto / backlog"))))</x:f>
      </x:c>
      <x:c r="AM72" s="23" t="str">
        <x:f>IF($A72="","",IF(MAX($O72,$P72)&gt;=MAX($Q72,$R72,$T72,$U72,$W72),"Transformación/OLC",IF(MAX($Q72,$R72)&gt;=MAX($T72,$U72,$W72),"Handoff/Flujo",IF(MAX($T72,$U72,$V72,$W72)&gt;=3,"Capacidad/Compensación","Contexto/PM"))))</x:f>
      </x:c>
      <x:c r="AN72" s="23"/>
      <x:c r="AO72" s="23" t="str">
        <x:f>IF($A72="","",IF($AN72="Forzar primaria","Primaria forzada",IF($AN72="Excluir","Excluida",IF($AN72="Revisión","Revisión previa",$AL72))))</x:f>
      </x:c>
      <x:c r="AP72" s="23" t="str">
        <x:f>IF($A72="","",IF($AC72="BLOQUEADA","Gate duro",IF($AD72&gt;=MAX($AE72,$AF72,$AG72),"Potencial MMABP",IF($AE72&gt;=MAX($AD72,$AF72,$AG72),"Fricción/variedad",IF($AF72&gt;=MAX($AD72,$AE72,$AG72),"Cobertura","Evidencia/feasibilidad")))))</x:f>
      </x:c>
      <x:c r="AQ72" s="23" t="str">
        <x:f>IF($A72="","",IF(LEFT($AO72,8)="Primaria",IF($AE72&gt;=75,"40+20 probable",IF($AD72&gt;=75,"40 base + causales selectivas","40 base + probes mínimos")),"No abre Runtime profundo"))</x:f>
      </x:c>
      <x:c r="AR72" s="23" t="str">
        <x:f>IF($A72="","",IF($AC72="BLOQUEADA","Corregir WorkMap/B0 antes de selección",IF($AC72="REVISIÓN","Microconfirmación B0 o resolución semántica",IF($AO72="Contexto / backlog","Conservar como contexto total","Enviar a Runtime"))))</x:f>
      </x:c>
      <x:c r="AS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  <x:c r="AA73" s="36"/>
      <x:c r="AB73" s="36"/>
      <x:c r="AC73" s="23" t="str">
        <x:f>IF($A73="","",IF(OR($G73&lt;&gt;"Sí",$H73&lt;&gt;"Sí",$I73&lt;&gt;"Correcta",$J73="Sí",$K73&lt;2),"BLOQUEADA",IF(OR($J73="Posible",$K73&lt;3,$L73&lt;2),"REVISIÓN","ELEGIBLE")))</x:f>
      </x:c>
      <x:c r="AD73" s="38" t="str">
        <x:f>IF($A73="","",IF($AC73="BLOQUEADA",0,ROUND(($L73*Scoring_Weights!$C$9+$M73*Scoring_Weights!$C$10+$N73*Scoring_Weights!$C$11+$O73*Scoring_Weights!$C$12+$P73*Scoring_Weights!$C$13+$Q73*Scoring_Weights!$C$14+$R73*Scoring_Weights!$C$15+$X73*Scoring_Weights!$C$16+$AB73*Scoring_Weights!$C$17)*20,1)))</x:f>
      </x:c>
      <x:c r="AE73" s="38" t="str">
        <x:f>IF($A73="","",IF($AC73="BLOQUEADA",0,ROUND(($Q73*Scoring_Weights!$C$19+$R73*Scoring_Weights!$C$20+$S73*Scoring_Weights!$C$21+$T73*Scoring_Weights!$C$22+$U73*Scoring_Weights!$C$23+$V73*Scoring_Weights!$C$24+$W73*Scoring_Weights!$C$25)*20,1)))</x:f>
      </x:c>
      <x:c r="AF73" s="38" t="str">
        <x:f>IF($A73="","",IF($AC73="BLOQUEADA",0,ROUND(($Z73*Scoring_Weights!$C$27+$Y73*Scoring_Weights!$C$28+$X73*Scoring_Weights!$C$29)*20,1)))</x:f>
      </x:c>
      <x:c r="AG73" s="38" t="str">
        <x:f>IF($A73="","",IF($AC73="BLOQUEADA",0,ROUND(($AA73*Scoring_Weights!$C$31+$AB73*Scoring_Weights!$C$32+$K73*Scoring_Weights!$C$33)*20,1)))</x:f>
      </x:c>
      <x:c r="AH73" s="38" t="str">
        <x:f>IF($A73="","",IF($AC73="BLOQUEADA",0,MIN(10,IF(OR($O73&gt;=4,$P73&gt;=4),2,0)+IF($Q73&gt;=4,2,0)+IF($R73&gt;=4,2,0)+IF($U73&gt;=4,2,0)+IF($T73&gt;=4,1,0)+IF($V73&gt;=4,1,0))))</x:f>
      </x:c>
      <x:c r="AI73" s="38" t="str">
        <x:f>IF($A73="","",IF($AC73="BLOQUEADA",0,ROUND((MAX(0,5-$K73)+MAX(0,5-$AA73)+IF($I73="Ambigua",2,0)+IF($J73="Posible",2,0))*2,1)))</x:f>
      </x:c>
      <x:c r="AJ73" s="38" t="str">
        <x:f>IF($A73="","",IF($AC73="BLOQUEADA",0,ROUND($AD73*Scoring_Weights!$C$2+$AE73*Scoring_Weights!$C$3+$AF73*Scoring_Weights!$C$4+$AG73*Scoring_Weights!$C$5+$AH73*Scoring_Weights!$C$6-$AI73*Scoring_Weights!$C$7,1)))</x:f>
      </x:c>
      <x:c r="AK73" s="36" t="str">
        <x:f>IF($AC73&lt;&gt;"ELEGIBLE","",COUNTIFS($AC$2:$AC$101,"ELEGIBLE",$AJ$2:$AJ$101,"&gt;"&amp;$AJ73)+COUNTIFS($AC$2:$AC73,"ELEGIBLE",$AJ$2:$AJ73,$AJ73))</x:f>
      </x:c>
      <x:c r="AL73" s="23" t="str">
        <x:f>IF($A73="","",IF($AC73="BLOQUEADA","No seleccionable",IF($AC73="REVISIÓN","Revisión previa",IF($AK73&lt;=8,"Primaria propuesta","Contexto / backlog"))))</x:f>
      </x:c>
      <x:c r="AM73" s="23" t="str">
        <x:f>IF($A73="","",IF(MAX($O73,$P73)&gt;=MAX($Q73,$R73,$T73,$U73,$W73),"Transformación/OLC",IF(MAX($Q73,$R73)&gt;=MAX($T73,$U73,$W73),"Handoff/Flujo",IF(MAX($T73,$U73,$V73,$W73)&gt;=3,"Capacidad/Compensación","Contexto/PM"))))</x:f>
      </x:c>
      <x:c r="AN73" s="23"/>
      <x:c r="AO73" s="23" t="str">
        <x:f>IF($A73="","",IF($AN73="Forzar primaria","Primaria forzada",IF($AN73="Excluir","Excluida",IF($AN73="Revisión","Revisión previa",$AL73))))</x:f>
      </x:c>
      <x:c r="AP73" s="23" t="str">
        <x:f>IF($A73="","",IF($AC73="BLOQUEADA","Gate duro",IF($AD73&gt;=MAX($AE73,$AF73,$AG73),"Potencial MMABP",IF($AE73&gt;=MAX($AD73,$AF73,$AG73),"Fricción/variedad",IF($AF73&gt;=MAX($AD73,$AE73,$AG73),"Cobertura","Evidencia/feasibilidad")))))</x:f>
      </x:c>
      <x:c r="AQ73" s="23" t="str">
        <x:f>IF($A73="","",IF(LEFT($AO73,8)="Primaria",IF($AE73&gt;=75,"40+20 probable",IF($AD73&gt;=75,"40 base + causales selectivas","40 base + probes mínimos")),"No abre Runtime profundo"))</x:f>
      </x:c>
      <x:c r="AR73" s="23" t="str">
        <x:f>IF($A73="","",IF($AC73="BLOQUEADA","Corregir WorkMap/B0 antes de selección",IF($AC73="REVISIÓN","Microconfirmación B0 o resolución semántica",IF($AO73="Contexto / backlog","Conservar como contexto total","Enviar a Runtime"))))</x:f>
      </x:c>
      <x:c r="AS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  <x:c r="AA74" s="36"/>
      <x:c r="AB74" s="36"/>
      <x:c r="AC74" s="23" t="str">
        <x:f>IF($A74="","",IF(OR($G74&lt;&gt;"Sí",$H74&lt;&gt;"Sí",$I74&lt;&gt;"Correcta",$J74="Sí",$K74&lt;2),"BLOQUEADA",IF(OR($J74="Posible",$K74&lt;3,$L74&lt;2),"REVISIÓN","ELEGIBLE")))</x:f>
      </x:c>
      <x:c r="AD74" s="38" t="str">
        <x:f>IF($A74="","",IF($AC74="BLOQUEADA",0,ROUND(($L74*Scoring_Weights!$C$9+$M74*Scoring_Weights!$C$10+$N74*Scoring_Weights!$C$11+$O74*Scoring_Weights!$C$12+$P74*Scoring_Weights!$C$13+$Q74*Scoring_Weights!$C$14+$R74*Scoring_Weights!$C$15+$X74*Scoring_Weights!$C$16+$AB74*Scoring_Weights!$C$17)*20,1)))</x:f>
      </x:c>
      <x:c r="AE74" s="38" t="str">
        <x:f>IF($A74="","",IF($AC74="BLOQUEADA",0,ROUND(($Q74*Scoring_Weights!$C$19+$R74*Scoring_Weights!$C$20+$S74*Scoring_Weights!$C$21+$T74*Scoring_Weights!$C$22+$U74*Scoring_Weights!$C$23+$V74*Scoring_Weights!$C$24+$W74*Scoring_Weights!$C$25)*20,1)))</x:f>
      </x:c>
      <x:c r="AF74" s="38" t="str">
        <x:f>IF($A74="","",IF($AC74="BLOQUEADA",0,ROUND(($Z74*Scoring_Weights!$C$27+$Y74*Scoring_Weights!$C$28+$X74*Scoring_Weights!$C$29)*20,1)))</x:f>
      </x:c>
      <x:c r="AG74" s="38" t="str">
        <x:f>IF($A74="","",IF($AC74="BLOQUEADA",0,ROUND(($AA74*Scoring_Weights!$C$31+$AB74*Scoring_Weights!$C$32+$K74*Scoring_Weights!$C$33)*20,1)))</x:f>
      </x:c>
      <x:c r="AH74" s="38" t="str">
        <x:f>IF($A74="","",IF($AC74="BLOQUEADA",0,MIN(10,IF(OR($O74&gt;=4,$P74&gt;=4),2,0)+IF($Q74&gt;=4,2,0)+IF($R74&gt;=4,2,0)+IF($U74&gt;=4,2,0)+IF($T74&gt;=4,1,0)+IF($V74&gt;=4,1,0))))</x:f>
      </x:c>
      <x:c r="AI74" s="38" t="str">
        <x:f>IF($A74="","",IF($AC74="BLOQUEADA",0,ROUND((MAX(0,5-$K74)+MAX(0,5-$AA74)+IF($I74="Ambigua",2,0)+IF($J74="Posible",2,0))*2,1)))</x:f>
      </x:c>
      <x:c r="AJ74" s="38" t="str">
        <x:f>IF($A74="","",IF($AC74="BLOQUEADA",0,ROUND($AD74*Scoring_Weights!$C$2+$AE74*Scoring_Weights!$C$3+$AF74*Scoring_Weights!$C$4+$AG74*Scoring_Weights!$C$5+$AH74*Scoring_Weights!$C$6-$AI74*Scoring_Weights!$C$7,1)))</x:f>
      </x:c>
      <x:c r="AK74" s="36" t="str">
        <x:f>IF($AC74&lt;&gt;"ELEGIBLE","",COUNTIFS($AC$2:$AC$101,"ELEGIBLE",$AJ$2:$AJ$101,"&gt;"&amp;$AJ74)+COUNTIFS($AC$2:$AC74,"ELEGIBLE",$AJ$2:$AJ74,$AJ74))</x:f>
      </x:c>
      <x:c r="AL74" s="23" t="str">
        <x:f>IF($A74="","",IF($AC74="BLOQUEADA","No seleccionable",IF($AC74="REVISIÓN","Revisión previa",IF($AK74&lt;=8,"Primaria propuesta","Contexto / backlog"))))</x:f>
      </x:c>
      <x:c r="AM74" s="23" t="str">
        <x:f>IF($A74="","",IF(MAX($O74,$P74)&gt;=MAX($Q74,$R74,$T74,$U74,$W74),"Transformación/OLC",IF(MAX($Q74,$R74)&gt;=MAX($T74,$U74,$W74),"Handoff/Flujo",IF(MAX($T74,$U74,$V74,$W74)&gt;=3,"Capacidad/Compensación","Contexto/PM"))))</x:f>
      </x:c>
      <x:c r="AN74" s="23"/>
      <x:c r="AO74" s="23" t="str">
        <x:f>IF($A74="","",IF($AN74="Forzar primaria","Primaria forzada",IF($AN74="Excluir","Excluida",IF($AN74="Revisión","Revisión previa",$AL74))))</x:f>
      </x:c>
      <x:c r="AP74" s="23" t="str">
        <x:f>IF($A74="","",IF($AC74="BLOQUEADA","Gate duro",IF($AD74&gt;=MAX($AE74,$AF74,$AG74),"Potencial MMABP",IF($AE74&gt;=MAX($AD74,$AF74,$AG74),"Fricción/variedad",IF($AF74&gt;=MAX($AD74,$AE74,$AG74),"Cobertura","Evidencia/feasibilidad")))))</x:f>
      </x:c>
      <x:c r="AQ74" s="23" t="str">
        <x:f>IF($A74="","",IF(LEFT($AO74,8)="Primaria",IF($AE74&gt;=75,"40+20 probable",IF($AD74&gt;=75,"40 base + causales selectivas","40 base + probes mínimos")),"No abre Runtime profundo"))</x:f>
      </x:c>
      <x:c r="AR74" s="23" t="str">
        <x:f>IF($A74="","",IF($AC74="BLOQUEADA","Corregir WorkMap/B0 antes de selección",IF($AC74="REVISIÓN","Microconfirmación B0 o resolución semántica",IF($AO74="Contexto / backlog","Conservar como contexto total","Enviar a Runtime"))))</x:f>
      </x:c>
      <x:c r="AS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  <x:c r="AA75" s="36"/>
      <x:c r="AB75" s="36"/>
      <x:c r="AC75" s="23" t="str">
        <x:f>IF($A75="","",IF(OR($G75&lt;&gt;"Sí",$H75&lt;&gt;"Sí",$I75&lt;&gt;"Correcta",$J75="Sí",$K75&lt;2),"BLOQUEADA",IF(OR($J75="Posible",$K75&lt;3,$L75&lt;2),"REVISIÓN","ELEGIBLE")))</x:f>
      </x:c>
      <x:c r="AD75" s="38" t="str">
        <x:f>IF($A75="","",IF($AC75="BLOQUEADA",0,ROUND(($L75*Scoring_Weights!$C$9+$M75*Scoring_Weights!$C$10+$N75*Scoring_Weights!$C$11+$O75*Scoring_Weights!$C$12+$P75*Scoring_Weights!$C$13+$Q75*Scoring_Weights!$C$14+$R75*Scoring_Weights!$C$15+$X75*Scoring_Weights!$C$16+$AB75*Scoring_Weights!$C$17)*20,1)))</x:f>
      </x:c>
      <x:c r="AE75" s="38" t="str">
        <x:f>IF($A75="","",IF($AC75="BLOQUEADA",0,ROUND(($Q75*Scoring_Weights!$C$19+$R75*Scoring_Weights!$C$20+$S75*Scoring_Weights!$C$21+$T75*Scoring_Weights!$C$22+$U75*Scoring_Weights!$C$23+$V75*Scoring_Weights!$C$24+$W75*Scoring_Weights!$C$25)*20,1)))</x:f>
      </x:c>
      <x:c r="AF75" s="38" t="str">
        <x:f>IF($A75="","",IF($AC75="BLOQUEADA",0,ROUND(($Z75*Scoring_Weights!$C$27+$Y75*Scoring_Weights!$C$28+$X75*Scoring_Weights!$C$29)*20,1)))</x:f>
      </x:c>
      <x:c r="AG75" s="38" t="str">
        <x:f>IF($A75="","",IF($AC75="BLOQUEADA",0,ROUND(($AA75*Scoring_Weights!$C$31+$AB75*Scoring_Weights!$C$32+$K75*Scoring_Weights!$C$33)*20,1)))</x:f>
      </x:c>
      <x:c r="AH75" s="38" t="str">
        <x:f>IF($A75="","",IF($AC75="BLOQUEADA",0,MIN(10,IF(OR($O75&gt;=4,$P75&gt;=4),2,0)+IF($Q75&gt;=4,2,0)+IF($R75&gt;=4,2,0)+IF($U75&gt;=4,2,0)+IF($T75&gt;=4,1,0)+IF($V75&gt;=4,1,0))))</x:f>
      </x:c>
      <x:c r="AI75" s="38" t="str">
        <x:f>IF($A75="","",IF($AC75="BLOQUEADA",0,ROUND((MAX(0,5-$K75)+MAX(0,5-$AA75)+IF($I75="Ambigua",2,0)+IF($J75="Posible",2,0))*2,1)))</x:f>
      </x:c>
      <x:c r="AJ75" s="38" t="str">
        <x:f>IF($A75="","",IF($AC75="BLOQUEADA",0,ROUND($AD75*Scoring_Weights!$C$2+$AE75*Scoring_Weights!$C$3+$AF75*Scoring_Weights!$C$4+$AG75*Scoring_Weights!$C$5+$AH75*Scoring_Weights!$C$6-$AI75*Scoring_Weights!$C$7,1)))</x:f>
      </x:c>
      <x:c r="AK75" s="36" t="str">
        <x:f>IF($AC75&lt;&gt;"ELEGIBLE","",COUNTIFS($AC$2:$AC$101,"ELEGIBLE",$AJ$2:$AJ$101,"&gt;"&amp;$AJ75)+COUNTIFS($AC$2:$AC75,"ELEGIBLE",$AJ$2:$AJ75,$AJ75))</x:f>
      </x:c>
      <x:c r="AL75" s="23" t="str">
        <x:f>IF($A75="","",IF($AC75="BLOQUEADA","No seleccionable",IF($AC75="REVISIÓN","Revisión previa",IF($AK75&lt;=8,"Primaria propuesta","Contexto / backlog"))))</x:f>
      </x:c>
      <x:c r="AM75" s="23" t="str">
        <x:f>IF($A75="","",IF(MAX($O75,$P75)&gt;=MAX($Q75,$R75,$T75,$U75,$W75),"Transformación/OLC",IF(MAX($Q75,$R75)&gt;=MAX($T75,$U75,$W75),"Handoff/Flujo",IF(MAX($T75,$U75,$V75,$W75)&gt;=3,"Capacidad/Compensación","Contexto/PM"))))</x:f>
      </x:c>
      <x:c r="AN75" s="23"/>
      <x:c r="AO75" s="23" t="str">
        <x:f>IF($A75="","",IF($AN75="Forzar primaria","Primaria forzada",IF($AN75="Excluir","Excluida",IF($AN75="Revisión","Revisión previa",$AL75))))</x:f>
      </x:c>
      <x:c r="AP75" s="23" t="str">
        <x:f>IF($A75="","",IF($AC75="BLOQUEADA","Gate duro",IF($AD75&gt;=MAX($AE75,$AF75,$AG75),"Potencial MMABP",IF($AE75&gt;=MAX($AD75,$AF75,$AG75),"Fricción/variedad",IF($AF75&gt;=MAX($AD75,$AE75,$AG75),"Cobertura","Evidencia/feasibilidad")))))</x:f>
      </x:c>
      <x:c r="AQ75" s="23" t="str">
        <x:f>IF($A75="","",IF(LEFT($AO75,8)="Primaria",IF($AE75&gt;=75,"40+20 probable",IF($AD75&gt;=75,"40 base + causales selectivas","40 base + probes mínimos")),"No abre Runtime profundo"))</x:f>
      </x:c>
      <x:c r="AR75" s="23" t="str">
        <x:f>IF($A75="","",IF($AC75="BLOQUEADA","Corregir WorkMap/B0 antes de selección",IF($AC75="REVISIÓN","Microconfirmación B0 o resolución semántica",IF($AO75="Contexto / backlog","Conservar como contexto total","Enviar a Runtime"))))</x:f>
      </x:c>
      <x:c r="AS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  <x:c r="AA76" s="36"/>
      <x:c r="AB76" s="36"/>
      <x:c r="AC76" s="23" t="str">
        <x:f>IF($A76="","",IF(OR($G76&lt;&gt;"Sí",$H76&lt;&gt;"Sí",$I76&lt;&gt;"Correcta",$J76="Sí",$K76&lt;2),"BLOQUEADA",IF(OR($J76="Posible",$K76&lt;3,$L76&lt;2),"REVISIÓN","ELEGIBLE")))</x:f>
      </x:c>
      <x:c r="AD76" s="38" t="str">
        <x:f>IF($A76="","",IF($AC76="BLOQUEADA",0,ROUND(($L76*Scoring_Weights!$C$9+$M76*Scoring_Weights!$C$10+$N76*Scoring_Weights!$C$11+$O76*Scoring_Weights!$C$12+$P76*Scoring_Weights!$C$13+$Q76*Scoring_Weights!$C$14+$R76*Scoring_Weights!$C$15+$X76*Scoring_Weights!$C$16+$AB76*Scoring_Weights!$C$17)*20,1)))</x:f>
      </x:c>
      <x:c r="AE76" s="38" t="str">
        <x:f>IF($A76="","",IF($AC76="BLOQUEADA",0,ROUND(($Q76*Scoring_Weights!$C$19+$R76*Scoring_Weights!$C$20+$S76*Scoring_Weights!$C$21+$T76*Scoring_Weights!$C$22+$U76*Scoring_Weights!$C$23+$V76*Scoring_Weights!$C$24+$W76*Scoring_Weights!$C$25)*20,1)))</x:f>
      </x:c>
      <x:c r="AF76" s="38" t="str">
        <x:f>IF($A76="","",IF($AC76="BLOQUEADA",0,ROUND(($Z76*Scoring_Weights!$C$27+$Y76*Scoring_Weights!$C$28+$X76*Scoring_Weights!$C$29)*20,1)))</x:f>
      </x:c>
      <x:c r="AG76" s="38" t="str">
        <x:f>IF($A76="","",IF($AC76="BLOQUEADA",0,ROUND(($AA76*Scoring_Weights!$C$31+$AB76*Scoring_Weights!$C$32+$K76*Scoring_Weights!$C$33)*20,1)))</x:f>
      </x:c>
      <x:c r="AH76" s="38" t="str">
        <x:f>IF($A76="","",IF($AC76="BLOQUEADA",0,MIN(10,IF(OR($O76&gt;=4,$P76&gt;=4),2,0)+IF($Q76&gt;=4,2,0)+IF($R76&gt;=4,2,0)+IF($U76&gt;=4,2,0)+IF($T76&gt;=4,1,0)+IF($V76&gt;=4,1,0))))</x:f>
      </x:c>
      <x:c r="AI76" s="38" t="str">
        <x:f>IF($A76="","",IF($AC76="BLOQUEADA",0,ROUND((MAX(0,5-$K76)+MAX(0,5-$AA76)+IF($I76="Ambigua",2,0)+IF($J76="Posible",2,0))*2,1)))</x:f>
      </x:c>
      <x:c r="AJ76" s="38" t="str">
        <x:f>IF($A76="","",IF($AC76="BLOQUEADA",0,ROUND($AD76*Scoring_Weights!$C$2+$AE76*Scoring_Weights!$C$3+$AF76*Scoring_Weights!$C$4+$AG76*Scoring_Weights!$C$5+$AH76*Scoring_Weights!$C$6-$AI76*Scoring_Weights!$C$7,1)))</x:f>
      </x:c>
      <x:c r="AK76" s="36" t="str">
        <x:f>IF($AC76&lt;&gt;"ELEGIBLE","",COUNTIFS($AC$2:$AC$101,"ELEGIBLE",$AJ$2:$AJ$101,"&gt;"&amp;$AJ76)+COUNTIFS($AC$2:$AC76,"ELEGIBLE",$AJ$2:$AJ76,$AJ76))</x:f>
      </x:c>
      <x:c r="AL76" s="23" t="str">
        <x:f>IF($A76="","",IF($AC76="BLOQUEADA","No seleccionable",IF($AC76="REVISIÓN","Revisión previa",IF($AK76&lt;=8,"Primaria propuesta","Contexto / backlog"))))</x:f>
      </x:c>
      <x:c r="AM76" s="23" t="str">
        <x:f>IF($A76="","",IF(MAX($O76,$P76)&gt;=MAX($Q76,$R76,$T76,$U76,$W76),"Transformación/OLC",IF(MAX($Q76,$R76)&gt;=MAX($T76,$U76,$W76),"Handoff/Flujo",IF(MAX($T76,$U76,$V76,$W76)&gt;=3,"Capacidad/Compensación","Contexto/PM"))))</x:f>
      </x:c>
      <x:c r="AN76" s="23"/>
      <x:c r="AO76" s="23" t="str">
        <x:f>IF($A76="","",IF($AN76="Forzar primaria","Primaria forzada",IF($AN76="Excluir","Excluida",IF($AN76="Revisión","Revisión previa",$AL76))))</x:f>
      </x:c>
      <x:c r="AP76" s="23" t="str">
        <x:f>IF($A76="","",IF($AC76="BLOQUEADA","Gate duro",IF($AD76&gt;=MAX($AE76,$AF76,$AG76),"Potencial MMABP",IF($AE76&gt;=MAX($AD76,$AF76,$AG76),"Fricción/variedad",IF($AF76&gt;=MAX($AD76,$AE76,$AG76),"Cobertura","Evidencia/feasibilidad")))))</x:f>
      </x:c>
      <x:c r="AQ76" s="23" t="str">
        <x:f>IF($A76="","",IF(LEFT($AO76,8)="Primaria",IF($AE76&gt;=75,"40+20 probable",IF($AD76&gt;=75,"40 base + causales selectivas","40 base + probes mínimos")),"No abre Runtime profundo"))</x:f>
      </x:c>
      <x:c r="AR76" s="23" t="str">
        <x:f>IF($A76="","",IF($AC76="BLOQUEADA","Corregir WorkMap/B0 antes de selección",IF($AC76="REVISIÓN","Microconfirmación B0 o resolución semántica",IF($AO76="Contexto / backlog","Conservar como contexto total","Enviar a Runtime"))))</x:f>
      </x:c>
      <x:c r="AS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  <x:c r="AA77" s="36"/>
      <x:c r="AB77" s="36"/>
      <x:c r="AC77" s="23" t="str">
        <x:f>IF($A77="","",IF(OR($G77&lt;&gt;"Sí",$H77&lt;&gt;"Sí",$I77&lt;&gt;"Correcta",$J77="Sí",$K77&lt;2),"BLOQUEADA",IF(OR($J77="Posible",$K77&lt;3,$L77&lt;2),"REVISIÓN","ELEGIBLE")))</x:f>
      </x:c>
      <x:c r="AD77" s="38" t="str">
        <x:f>IF($A77="","",IF($AC77="BLOQUEADA",0,ROUND(($L77*Scoring_Weights!$C$9+$M77*Scoring_Weights!$C$10+$N77*Scoring_Weights!$C$11+$O77*Scoring_Weights!$C$12+$P77*Scoring_Weights!$C$13+$Q77*Scoring_Weights!$C$14+$R77*Scoring_Weights!$C$15+$X77*Scoring_Weights!$C$16+$AB77*Scoring_Weights!$C$17)*20,1)))</x:f>
      </x:c>
      <x:c r="AE77" s="38" t="str">
        <x:f>IF($A77="","",IF($AC77="BLOQUEADA",0,ROUND(($Q77*Scoring_Weights!$C$19+$R77*Scoring_Weights!$C$20+$S77*Scoring_Weights!$C$21+$T77*Scoring_Weights!$C$22+$U77*Scoring_Weights!$C$23+$V77*Scoring_Weights!$C$24+$W77*Scoring_Weights!$C$25)*20,1)))</x:f>
      </x:c>
      <x:c r="AF77" s="38" t="str">
        <x:f>IF($A77="","",IF($AC77="BLOQUEADA",0,ROUND(($Z77*Scoring_Weights!$C$27+$Y77*Scoring_Weights!$C$28+$X77*Scoring_Weights!$C$29)*20,1)))</x:f>
      </x:c>
      <x:c r="AG77" s="38" t="str">
        <x:f>IF($A77="","",IF($AC77="BLOQUEADA",0,ROUND(($AA77*Scoring_Weights!$C$31+$AB77*Scoring_Weights!$C$32+$K77*Scoring_Weights!$C$33)*20,1)))</x:f>
      </x:c>
      <x:c r="AH77" s="38" t="str">
        <x:f>IF($A77="","",IF($AC77="BLOQUEADA",0,MIN(10,IF(OR($O77&gt;=4,$P77&gt;=4),2,0)+IF($Q77&gt;=4,2,0)+IF($R77&gt;=4,2,0)+IF($U77&gt;=4,2,0)+IF($T77&gt;=4,1,0)+IF($V77&gt;=4,1,0))))</x:f>
      </x:c>
      <x:c r="AI77" s="38" t="str">
        <x:f>IF($A77="","",IF($AC77="BLOQUEADA",0,ROUND((MAX(0,5-$K77)+MAX(0,5-$AA77)+IF($I77="Ambigua",2,0)+IF($J77="Posible",2,0))*2,1)))</x:f>
      </x:c>
      <x:c r="AJ77" s="38" t="str">
        <x:f>IF($A77="","",IF($AC77="BLOQUEADA",0,ROUND($AD77*Scoring_Weights!$C$2+$AE77*Scoring_Weights!$C$3+$AF77*Scoring_Weights!$C$4+$AG77*Scoring_Weights!$C$5+$AH77*Scoring_Weights!$C$6-$AI77*Scoring_Weights!$C$7,1)))</x:f>
      </x:c>
      <x:c r="AK77" s="36" t="str">
        <x:f>IF($AC77&lt;&gt;"ELEGIBLE","",COUNTIFS($AC$2:$AC$101,"ELEGIBLE",$AJ$2:$AJ$101,"&gt;"&amp;$AJ77)+COUNTIFS($AC$2:$AC77,"ELEGIBLE",$AJ$2:$AJ77,$AJ77))</x:f>
      </x:c>
      <x:c r="AL77" s="23" t="str">
        <x:f>IF($A77="","",IF($AC77="BLOQUEADA","No seleccionable",IF($AC77="REVISIÓN","Revisión previa",IF($AK77&lt;=8,"Primaria propuesta","Contexto / backlog"))))</x:f>
      </x:c>
      <x:c r="AM77" s="23" t="str">
        <x:f>IF($A77="","",IF(MAX($O77,$P77)&gt;=MAX($Q77,$R77,$T77,$U77,$W77),"Transformación/OLC",IF(MAX($Q77,$R77)&gt;=MAX($T77,$U77,$W77),"Handoff/Flujo",IF(MAX($T77,$U77,$V77,$W77)&gt;=3,"Capacidad/Compensación","Contexto/PM"))))</x:f>
      </x:c>
      <x:c r="AN77" s="23"/>
      <x:c r="AO77" s="23" t="str">
        <x:f>IF($A77="","",IF($AN77="Forzar primaria","Primaria forzada",IF($AN77="Excluir","Excluida",IF($AN77="Revisión","Revisión previa",$AL77))))</x:f>
      </x:c>
      <x:c r="AP77" s="23" t="str">
        <x:f>IF($A77="","",IF($AC77="BLOQUEADA","Gate duro",IF($AD77&gt;=MAX($AE77,$AF77,$AG77),"Potencial MMABP",IF($AE77&gt;=MAX($AD77,$AF77,$AG77),"Fricción/variedad",IF($AF77&gt;=MAX($AD77,$AE77,$AG77),"Cobertura","Evidencia/feasibilidad")))))</x:f>
      </x:c>
      <x:c r="AQ77" s="23" t="str">
        <x:f>IF($A77="","",IF(LEFT($AO77,8)="Primaria",IF($AE77&gt;=75,"40+20 probable",IF($AD77&gt;=75,"40 base + causales selectivas","40 base + probes mínimos")),"No abre Runtime profundo"))</x:f>
      </x:c>
      <x:c r="AR77" s="23" t="str">
        <x:f>IF($A77="","",IF($AC77="BLOQUEADA","Corregir WorkMap/B0 antes de selección",IF($AC77="REVISIÓN","Microconfirmación B0 o resolución semántica",IF($AO77="Contexto / backlog","Conservar como contexto total","Enviar a Runtime"))))</x:f>
      </x:c>
      <x:c r="AS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  <x:c r="AA78" s="36"/>
      <x:c r="AB78" s="36"/>
      <x:c r="AC78" s="23" t="str">
        <x:f>IF($A78="","",IF(OR($G78&lt;&gt;"Sí",$H78&lt;&gt;"Sí",$I78&lt;&gt;"Correcta",$J78="Sí",$K78&lt;2),"BLOQUEADA",IF(OR($J78="Posible",$K78&lt;3,$L78&lt;2),"REVISIÓN","ELEGIBLE")))</x:f>
      </x:c>
      <x:c r="AD78" s="38" t="str">
        <x:f>IF($A78="","",IF($AC78="BLOQUEADA",0,ROUND(($L78*Scoring_Weights!$C$9+$M78*Scoring_Weights!$C$10+$N78*Scoring_Weights!$C$11+$O78*Scoring_Weights!$C$12+$P78*Scoring_Weights!$C$13+$Q78*Scoring_Weights!$C$14+$R78*Scoring_Weights!$C$15+$X78*Scoring_Weights!$C$16+$AB78*Scoring_Weights!$C$17)*20,1)))</x:f>
      </x:c>
      <x:c r="AE78" s="38" t="str">
        <x:f>IF($A78="","",IF($AC78="BLOQUEADA",0,ROUND(($Q78*Scoring_Weights!$C$19+$R78*Scoring_Weights!$C$20+$S78*Scoring_Weights!$C$21+$T78*Scoring_Weights!$C$22+$U78*Scoring_Weights!$C$23+$V78*Scoring_Weights!$C$24+$W78*Scoring_Weights!$C$25)*20,1)))</x:f>
      </x:c>
      <x:c r="AF78" s="38" t="str">
        <x:f>IF($A78="","",IF($AC78="BLOQUEADA",0,ROUND(($Z78*Scoring_Weights!$C$27+$Y78*Scoring_Weights!$C$28+$X78*Scoring_Weights!$C$29)*20,1)))</x:f>
      </x:c>
      <x:c r="AG78" s="38" t="str">
        <x:f>IF($A78="","",IF($AC78="BLOQUEADA",0,ROUND(($AA78*Scoring_Weights!$C$31+$AB78*Scoring_Weights!$C$32+$K78*Scoring_Weights!$C$33)*20,1)))</x:f>
      </x:c>
      <x:c r="AH78" s="38" t="str">
        <x:f>IF($A78="","",IF($AC78="BLOQUEADA",0,MIN(10,IF(OR($O78&gt;=4,$P78&gt;=4),2,0)+IF($Q78&gt;=4,2,0)+IF($R78&gt;=4,2,0)+IF($U78&gt;=4,2,0)+IF($T78&gt;=4,1,0)+IF($V78&gt;=4,1,0))))</x:f>
      </x:c>
      <x:c r="AI78" s="38" t="str">
        <x:f>IF($A78="","",IF($AC78="BLOQUEADA",0,ROUND((MAX(0,5-$K78)+MAX(0,5-$AA78)+IF($I78="Ambigua",2,0)+IF($J78="Posible",2,0))*2,1)))</x:f>
      </x:c>
      <x:c r="AJ78" s="38" t="str">
        <x:f>IF($A78="","",IF($AC78="BLOQUEADA",0,ROUND($AD78*Scoring_Weights!$C$2+$AE78*Scoring_Weights!$C$3+$AF78*Scoring_Weights!$C$4+$AG78*Scoring_Weights!$C$5+$AH78*Scoring_Weights!$C$6-$AI78*Scoring_Weights!$C$7,1)))</x:f>
      </x:c>
      <x:c r="AK78" s="36" t="str">
        <x:f>IF($AC78&lt;&gt;"ELEGIBLE","",COUNTIFS($AC$2:$AC$101,"ELEGIBLE",$AJ$2:$AJ$101,"&gt;"&amp;$AJ78)+COUNTIFS($AC$2:$AC78,"ELEGIBLE",$AJ$2:$AJ78,$AJ78))</x:f>
      </x:c>
      <x:c r="AL78" s="23" t="str">
        <x:f>IF($A78="","",IF($AC78="BLOQUEADA","No seleccionable",IF($AC78="REVISIÓN","Revisión previa",IF($AK78&lt;=8,"Primaria propuesta","Contexto / backlog"))))</x:f>
      </x:c>
      <x:c r="AM78" s="23" t="str">
        <x:f>IF($A78="","",IF(MAX($O78,$P78)&gt;=MAX($Q78,$R78,$T78,$U78,$W78),"Transformación/OLC",IF(MAX($Q78,$R78)&gt;=MAX($T78,$U78,$W78),"Handoff/Flujo",IF(MAX($T78,$U78,$V78,$W78)&gt;=3,"Capacidad/Compensación","Contexto/PM"))))</x:f>
      </x:c>
      <x:c r="AN78" s="23"/>
      <x:c r="AO78" s="23" t="str">
        <x:f>IF($A78="","",IF($AN78="Forzar primaria","Primaria forzada",IF($AN78="Excluir","Excluida",IF($AN78="Revisión","Revisión previa",$AL78))))</x:f>
      </x:c>
      <x:c r="AP78" s="23" t="str">
        <x:f>IF($A78="","",IF($AC78="BLOQUEADA","Gate duro",IF($AD78&gt;=MAX($AE78,$AF78,$AG78),"Potencial MMABP",IF($AE78&gt;=MAX($AD78,$AF78,$AG78),"Fricción/variedad",IF($AF78&gt;=MAX($AD78,$AE78,$AG78),"Cobertura","Evidencia/feasibilidad")))))</x:f>
      </x:c>
      <x:c r="AQ78" s="23" t="str">
        <x:f>IF($A78="","",IF(LEFT($AO78,8)="Primaria",IF($AE78&gt;=75,"40+20 probable",IF($AD78&gt;=75,"40 base + causales selectivas","40 base + probes mínimos")),"No abre Runtime profundo"))</x:f>
      </x:c>
      <x:c r="AR78" s="23" t="str">
        <x:f>IF($A78="","",IF($AC78="BLOQUEADA","Corregir WorkMap/B0 antes de selección",IF($AC78="REVISIÓN","Microconfirmación B0 o resolución semántica",IF($AO78="Contexto / backlog","Conservar como contexto total","Enviar a Runtime"))))</x:f>
      </x:c>
      <x:c r="AS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  <x:c r="AA79" s="36"/>
      <x:c r="AB79" s="36"/>
      <x:c r="AC79" s="23" t="str">
        <x:f>IF($A79="","",IF(OR($G79&lt;&gt;"Sí",$H79&lt;&gt;"Sí",$I79&lt;&gt;"Correcta",$J79="Sí",$K79&lt;2),"BLOQUEADA",IF(OR($J79="Posible",$K79&lt;3,$L79&lt;2),"REVISIÓN","ELEGIBLE")))</x:f>
      </x:c>
      <x:c r="AD79" s="38" t="str">
        <x:f>IF($A79="","",IF($AC79="BLOQUEADA",0,ROUND(($L79*Scoring_Weights!$C$9+$M79*Scoring_Weights!$C$10+$N79*Scoring_Weights!$C$11+$O79*Scoring_Weights!$C$12+$P79*Scoring_Weights!$C$13+$Q79*Scoring_Weights!$C$14+$R79*Scoring_Weights!$C$15+$X79*Scoring_Weights!$C$16+$AB79*Scoring_Weights!$C$17)*20,1)))</x:f>
      </x:c>
      <x:c r="AE79" s="38" t="str">
        <x:f>IF($A79="","",IF($AC79="BLOQUEADA",0,ROUND(($Q79*Scoring_Weights!$C$19+$R79*Scoring_Weights!$C$20+$S79*Scoring_Weights!$C$21+$T79*Scoring_Weights!$C$22+$U79*Scoring_Weights!$C$23+$V79*Scoring_Weights!$C$24+$W79*Scoring_Weights!$C$25)*20,1)))</x:f>
      </x:c>
      <x:c r="AF79" s="38" t="str">
        <x:f>IF($A79="","",IF($AC79="BLOQUEADA",0,ROUND(($Z79*Scoring_Weights!$C$27+$Y79*Scoring_Weights!$C$28+$X79*Scoring_Weights!$C$29)*20,1)))</x:f>
      </x:c>
      <x:c r="AG79" s="38" t="str">
        <x:f>IF($A79="","",IF($AC79="BLOQUEADA",0,ROUND(($AA79*Scoring_Weights!$C$31+$AB79*Scoring_Weights!$C$32+$K79*Scoring_Weights!$C$33)*20,1)))</x:f>
      </x:c>
      <x:c r="AH79" s="38" t="str">
        <x:f>IF($A79="","",IF($AC79="BLOQUEADA",0,MIN(10,IF(OR($O79&gt;=4,$P79&gt;=4),2,0)+IF($Q79&gt;=4,2,0)+IF($R79&gt;=4,2,0)+IF($U79&gt;=4,2,0)+IF($T79&gt;=4,1,0)+IF($V79&gt;=4,1,0))))</x:f>
      </x:c>
      <x:c r="AI79" s="38" t="str">
        <x:f>IF($A79="","",IF($AC79="BLOQUEADA",0,ROUND((MAX(0,5-$K79)+MAX(0,5-$AA79)+IF($I79="Ambigua",2,0)+IF($J79="Posible",2,0))*2,1)))</x:f>
      </x:c>
      <x:c r="AJ79" s="38" t="str">
        <x:f>IF($A79="","",IF($AC79="BLOQUEADA",0,ROUND($AD79*Scoring_Weights!$C$2+$AE79*Scoring_Weights!$C$3+$AF79*Scoring_Weights!$C$4+$AG79*Scoring_Weights!$C$5+$AH79*Scoring_Weights!$C$6-$AI79*Scoring_Weights!$C$7,1)))</x:f>
      </x:c>
      <x:c r="AK79" s="36" t="str">
        <x:f>IF($AC79&lt;&gt;"ELEGIBLE","",COUNTIFS($AC$2:$AC$101,"ELEGIBLE",$AJ$2:$AJ$101,"&gt;"&amp;$AJ79)+COUNTIFS($AC$2:$AC79,"ELEGIBLE",$AJ$2:$AJ79,$AJ79))</x:f>
      </x:c>
      <x:c r="AL79" s="23" t="str">
        <x:f>IF($A79="","",IF($AC79="BLOQUEADA","No seleccionable",IF($AC79="REVISIÓN","Revisión previa",IF($AK79&lt;=8,"Primaria propuesta","Contexto / backlog"))))</x:f>
      </x:c>
      <x:c r="AM79" s="23" t="str">
        <x:f>IF($A79="","",IF(MAX($O79,$P79)&gt;=MAX($Q79,$R79,$T79,$U79,$W79),"Transformación/OLC",IF(MAX($Q79,$R79)&gt;=MAX($T79,$U79,$W79),"Handoff/Flujo",IF(MAX($T79,$U79,$V79,$W79)&gt;=3,"Capacidad/Compensación","Contexto/PM"))))</x:f>
      </x:c>
      <x:c r="AN79" s="23"/>
      <x:c r="AO79" s="23" t="str">
        <x:f>IF($A79="","",IF($AN79="Forzar primaria","Primaria forzada",IF($AN79="Excluir","Excluida",IF($AN79="Revisión","Revisión previa",$AL79))))</x:f>
      </x:c>
      <x:c r="AP79" s="23" t="str">
        <x:f>IF($A79="","",IF($AC79="BLOQUEADA","Gate duro",IF($AD79&gt;=MAX($AE79,$AF79,$AG79),"Potencial MMABP",IF($AE79&gt;=MAX($AD79,$AF79,$AG79),"Fricción/variedad",IF($AF79&gt;=MAX($AD79,$AE79,$AG79),"Cobertura","Evidencia/feasibilidad")))))</x:f>
      </x:c>
      <x:c r="AQ79" s="23" t="str">
        <x:f>IF($A79="","",IF(LEFT($AO79,8)="Primaria",IF($AE79&gt;=75,"40+20 probable",IF($AD79&gt;=75,"40 base + causales selectivas","40 base + probes mínimos")),"No abre Runtime profundo"))</x:f>
      </x:c>
      <x:c r="AR79" s="23" t="str">
        <x:f>IF($A79="","",IF($AC79="BLOQUEADA","Corregir WorkMap/B0 antes de selección",IF($AC79="REVISIÓN","Microconfirmación B0 o resolución semántica",IF($AO79="Contexto / backlog","Conservar como contexto total","Enviar a Runtime"))))</x:f>
      </x:c>
      <x:c r="AS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  <x:c r="AA80" s="36"/>
      <x:c r="AB80" s="36"/>
      <x:c r="AC80" s="23" t="str">
        <x:f>IF($A80="","",IF(OR($G80&lt;&gt;"Sí",$H80&lt;&gt;"Sí",$I80&lt;&gt;"Correcta",$J80="Sí",$K80&lt;2),"BLOQUEADA",IF(OR($J80="Posible",$K80&lt;3,$L80&lt;2),"REVISIÓN","ELEGIBLE")))</x:f>
      </x:c>
      <x:c r="AD80" s="38" t="str">
        <x:f>IF($A80="","",IF($AC80="BLOQUEADA",0,ROUND(($L80*Scoring_Weights!$C$9+$M80*Scoring_Weights!$C$10+$N80*Scoring_Weights!$C$11+$O80*Scoring_Weights!$C$12+$P80*Scoring_Weights!$C$13+$Q80*Scoring_Weights!$C$14+$R80*Scoring_Weights!$C$15+$X80*Scoring_Weights!$C$16+$AB80*Scoring_Weights!$C$17)*20,1)))</x:f>
      </x:c>
      <x:c r="AE80" s="38" t="str">
        <x:f>IF($A80="","",IF($AC80="BLOQUEADA",0,ROUND(($Q80*Scoring_Weights!$C$19+$R80*Scoring_Weights!$C$20+$S80*Scoring_Weights!$C$21+$T80*Scoring_Weights!$C$22+$U80*Scoring_Weights!$C$23+$V80*Scoring_Weights!$C$24+$W80*Scoring_Weights!$C$25)*20,1)))</x:f>
      </x:c>
      <x:c r="AF80" s="38" t="str">
        <x:f>IF($A80="","",IF($AC80="BLOQUEADA",0,ROUND(($Z80*Scoring_Weights!$C$27+$Y80*Scoring_Weights!$C$28+$X80*Scoring_Weights!$C$29)*20,1)))</x:f>
      </x:c>
      <x:c r="AG80" s="38" t="str">
        <x:f>IF($A80="","",IF($AC80="BLOQUEADA",0,ROUND(($AA80*Scoring_Weights!$C$31+$AB80*Scoring_Weights!$C$32+$K80*Scoring_Weights!$C$33)*20,1)))</x:f>
      </x:c>
      <x:c r="AH80" s="38" t="str">
        <x:f>IF($A80="","",IF($AC80="BLOQUEADA",0,MIN(10,IF(OR($O80&gt;=4,$P80&gt;=4),2,0)+IF($Q80&gt;=4,2,0)+IF($R80&gt;=4,2,0)+IF($U80&gt;=4,2,0)+IF($T80&gt;=4,1,0)+IF($V80&gt;=4,1,0))))</x:f>
      </x:c>
      <x:c r="AI80" s="38" t="str">
        <x:f>IF($A80="","",IF($AC80="BLOQUEADA",0,ROUND((MAX(0,5-$K80)+MAX(0,5-$AA80)+IF($I80="Ambigua",2,0)+IF($J80="Posible",2,0))*2,1)))</x:f>
      </x:c>
      <x:c r="AJ80" s="38" t="str">
        <x:f>IF($A80="","",IF($AC80="BLOQUEADA",0,ROUND($AD80*Scoring_Weights!$C$2+$AE80*Scoring_Weights!$C$3+$AF80*Scoring_Weights!$C$4+$AG80*Scoring_Weights!$C$5+$AH80*Scoring_Weights!$C$6-$AI80*Scoring_Weights!$C$7,1)))</x:f>
      </x:c>
      <x:c r="AK80" s="36" t="str">
        <x:f>IF($AC80&lt;&gt;"ELEGIBLE","",COUNTIFS($AC$2:$AC$101,"ELEGIBLE",$AJ$2:$AJ$101,"&gt;"&amp;$AJ80)+COUNTIFS($AC$2:$AC80,"ELEGIBLE",$AJ$2:$AJ80,$AJ80))</x:f>
      </x:c>
      <x:c r="AL80" s="23" t="str">
        <x:f>IF($A80="","",IF($AC80="BLOQUEADA","No seleccionable",IF($AC80="REVISIÓN","Revisión previa",IF($AK80&lt;=8,"Primaria propuesta","Contexto / backlog"))))</x:f>
      </x:c>
      <x:c r="AM80" s="23" t="str">
        <x:f>IF($A80="","",IF(MAX($O80,$P80)&gt;=MAX($Q80,$R80,$T80,$U80,$W80),"Transformación/OLC",IF(MAX($Q80,$R80)&gt;=MAX($T80,$U80,$W80),"Handoff/Flujo",IF(MAX($T80,$U80,$V80,$W80)&gt;=3,"Capacidad/Compensación","Contexto/PM"))))</x:f>
      </x:c>
      <x:c r="AN80" s="23"/>
      <x:c r="AO80" s="23" t="str">
        <x:f>IF($A80="","",IF($AN80="Forzar primaria","Primaria forzada",IF($AN80="Excluir","Excluida",IF($AN80="Revisión","Revisión previa",$AL80))))</x:f>
      </x:c>
      <x:c r="AP80" s="23" t="str">
        <x:f>IF($A80="","",IF($AC80="BLOQUEADA","Gate duro",IF($AD80&gt;=MAX($AE80,$AF80,$AG80),"Potencial MMABP",IF($AE80&gt;=MAX($AD80,$AF80,$AG80),"Fricción/variedad",IF($AF80&gt;=MAX($AD80,$AE80,$AG80),"Cobertura","Evidencia/feasibilidad")))))</x:f>
      </x:c>
      <x:c r="AQ80" s="23" t="str">
        <x:f>IF($A80="","",IF(LEFT($AO80,8)="Primaria",IF($AE80&gt;=75,"40+20 probable",IF($AD80&gt;=75,"40 base + causales selectivas","40 base + probes mínimos")),"No abre Runtime profundo"))</x:f>
      </x:c>
      <x:c r="AR80" s="23" t="str">
        <x:f>IF($A80="","",IF($AC80="BLOQUEADA","Corregir WorkMap/B0 antes de selección",IF($AC80="REVISIÓN","Microconfirmación B0 o resolución semántica",IF($AO80="Contexto / backlog","Conservar como contexto total","Enviar a Runtime"))))</x:f>
      </x:c>
      <x:c r="AS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  <x:c r="AA81" s="36"/>
      <x:c r="AB81" s="36"/>
      <x:c r="AC81" s="23" t="str">
        <x:f>IF($A81="","",IF(OR($G81&lt;&gt;"Sí",$H81&lt;&gt;"Sí",$I81&lt;&gt;"Correcta",$J81="Sí",$K81&lt;2),"BLOQUEADA",IF(OR($J81="Posible",$K81&lt;3,$L81&lt;2),"REVISIÓN","ELEGIBLE")))</x:f>
      </x:c>
      <x:c r="AD81" s="38" t="str">
        <x:f>IF($A81="","",IF($AC81="BLOQUEADA",0,ROUND(($L81*Scoring_Weights!$C$9+$M81*Scoring_Weights!$C$10+$N81*Scoring_Weights!$C$11+$O81*Scoring_Weights!$C$12+$P81*Scoring_Weights!$C$13+$Q81*Scoring_Weights!$C$14+$R81*Scoring_Weights!$C$15+$X81*Scoring_Weights!$C$16+$AB81*Scoring_Weights!$C$17)*20,1)))</x:f>
      </x:c>
      <x:c r="AE81" s="38" t="str">
        <x:f>IF($A81="","",IF($AC81="BLOQUEADA",0,ROUND(($Q81*Scoring_Weights!$C$19+$R81*Scoring_Weights!$C$20+$S81*Scoring_Weights!$C$21+$T81*Scoring_Weights!$C$22+$U81*Scoring_Weights!$C$23+$V81*Scoring_Weights!$C$24+$W81*Scoring_Weights!$C$25)*20,1)))</x:f>
      </x:c>
      <x:c r="AF81" s="38" t="str">
        <x:f>IF($A81="","",IF($AC81="BLOQUEADA",0,ROUND(($Z81*Scoring_Weights!$C$27+$Y81*Scoring_Weights!$C$28+$X81*Scoring_Weights!$C$29)*20,1)))</x:f>
      </x:c>
      <x:c r="AG81" s="38" t="str">
        <x:f>IF($A81="","",IF($AC81="BLOQUEADA",0,ROUND(($AA81*Scoring_Weights!$C$31+$AB81*Scoring_Weights!$C$32+$K81*Scoring_Weights!$C$33)*20,1)))</x:f>
      </x:c>
      <x:c r="AH81" s="38" t="str">
        <x:f>IF($A81="","",IF($AC81="BLOQUEADA",0,MIN(10,IF(OR($O81&gt;=4,$P81&gt;=4),2,0)+IF($Q81&gt;=4,2,0)+IF($R81&gt;=4,2,0)+IF($U81&gt;=4,2,0)+IF($T81&gt;=4,1,0)+IF($V81&gt;=4,1,0))))</x:f>
      </x:c>
      <x:c r="AI81" s="38" t="str">
        <x:f>IF($A81="","",IF($AC81="BLOQUEADA",0,ROUND((MAX(0,5-$K81)+MAX(0,5-$AA81)+IF($I81="Ambigua",2,0)+IF($J81="Posible",2,0))*2,1)))</x:f>
      </x:c>
      <x:c r="AJ81" s="38" t="str">
        <x:f>IF($A81="","",IF($AC81="BLOQUEADA",0,ROUND($AD81*Scoring_Weights!$C$2+$AE81*Scoring_Weights!$C$3+$AF81*Scoring_Weights!$C$4+$AG81*Scoring_Weights!$C$5+$AH81*Scoring_Weights!$C$6-$AI81*Scoring_Weights!$C$7,1)))</x:f>
      </x:c>
      <x:c r="AK81" s="36" t="str">
        <x:f>IF($AC81&lt;&gt;"ELEGIBLE","",COUNTIFS($AC$2:$AC$101,"ELEGIBLE",$AJ$2:$AJ$101,"&gt;"&amp;$AJ81)+COUNTIFS($AC$2:$AC81,"ELEGIBLE",$AJ$2:$AJ81,$AJ81))</x:f>
      </x:c>
      <x:c r="AL81" s="23" t="str">
        <x:f>IF($A81="","",IF($AC81="BLOQUEADA","No seleccionable",IF($AC81="REVISIÓN","Revisión previa",IF($AK81&lt;=8,"Primaria propuesta","Contexto / backlog"))))</x:f>
      </x:c>
      <x:c r="AM81" s="23" t="str">
        <x:f>IF($A81="","",IF(MAX($O81,$P81)&gt;=MAX($Q81,$R81,$T81,$U81,$W81),"Transformación/OLC",IF(MAX($Q81,$R81)&gt;=MAX($T81,$U81,$W81),"Handoff/Flujo",IF(MAX($T81,$U81,$V81,$W81)&gt;=3,"Capacidad/Compensación","Contexto/PM"))))</x:f>
      </x:c>
      <x:c r="AN81" s="23"/>
      <x:c r="AO81" s="23" t="str">
        <x:f>IF($A81="","",IF($AN81="Forzar primaria","Primaria forzada",IF($AN81="Excluir","Excluida",IF($AN81="Revisión","Revisión previa",$AL81))))</x:f>
      </x:c>
      <x:c r="AP81" s="23" t="str">
        <x:f>IF($A81="","",IF($AC81="BLOQUEADA","Gate duro",IF($AD81&gt;=MAX($AE81,$AF81,$AG81),"Potencial MMABP",IF($AE81&gt;=MAX($AD81,$AF81,$AG81),"Fricción/variedad",IF($AF81&gt;=MAX($AD81,$AE81,$AG81),"Cobertura","Evidencia/feasibilidad")))))</x:f>
      </x:c>
      <x:c r="AQ81" s="23" t="str">
        <x:f>IF($A81="","",IF(LEFT($AO81,8)="Primaria",IF($AE81&gt;=75,"40+20 probable",IF($AD81&gt;=75,"40 base + causales selectivas","40 base + probes mínimos")),"No abre Runtime profundo"))</x:f>
      </x:c>
      <x:c r="AR81" s="23" t="str">
        <x:f>IF($A81="","",IF($AC81="BLOQUEADA","Corregir WorkMap/B0 antes de selección",IF($AC81="REVISIÓN","Microconfirmación B0 o resolución semántica",IF($AO81="Contexto / backlog","Conservar como contexto total","Enviar a Runtime"))))</x:f>
      </x:c>
      <x:c r="AS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  <x:c r="AA82" s="36"/>
      <x:c r="AB82" s="36"/>
      <x:c r="AC82" s="23" t="str">
        <x:f>IF($A82="","",IF(OR($G82&lt;&gt;"Sí",$H82&lt;&gt;"Sí",$I82&lt;&gt;"Correcta",$J82="Sí",$K82&lt;2),"BLOQUEADA",IF(OR($J82="Posible",$K82&lt;3,$L82&lt;2),"REVISIÓN","ELEGIBLE")))</x:f>
      </x:c>
      <x:c r="AD82" s="38" t="str">
        <x:f>IF($A82="","",IF($AC82="BLOQUEADA",0,ROUND(($L82*Scoring_Weights!$C$9+$M82*Scoring_Weights!$C$10+$N82*Scoring_Weights!$C$11+$O82*Scoring_Weights!$C$12+$P82*Scoring_Weights!$C$13+$Q82*Scoring_Weights!$C$14+$R82*Scoring_Weights!$C$15+$X82*Scoring_Weights!$C$16+$AB82*Scoring_Weights!$C$17)*20,1)))</x:f>
      </x:c>
      <x:c r="AE82" s="38" t="str">
        <x:f>IF($A82="","",IF($AC82="BLOQUEADA",0,ROUND(($Q82*Scoring_Weights!$C$19+$R82*Scoring_Weights!$C$20+$S82*Scoring_Weights!$C$21+$T82*Scoring_Weights!$C$22+$U82*Scoring_Weights!$C$23+$V82*Scoring_Weights!$C$24+$W82*Scoring_Weights!$C$25)*20,1)))</x:f>
      </x:c>
      <x:c r="AF82" s="38" t="str">
        <x:f>IF($A82="","",IF($AC82="BLOQUEADA",0,ROUND(($Z82*Scoring_Weights!$C$27+$Y82*Scoring_Weights!$C$28+$X82*Scoring_Weights!$C$29)*20,1)))</x:f>
      </x:c>
      <x:c r="AG82" s="38" t="str">
        <x:f>IF($A82="","",IF($AC82="BLOQUEADA",0,ROUND(($AA82*Scoring_Weights!$C$31+$AB82*Scoring_Weights!$C$32+$K82*Scoring_Weights!$C$33)*20,1)))</x:f>
      </x:c>
      <x:c r="AH82" s="38" t="str">
        <x:f>IF($A82="","",IF($AC82="BLOQUEADA",0,MIN(10,IF(OR($O82&gt;=4,$P82&gt;=4),2,0)+IF($Q82&gt;=4,2,0)+IF($R82&gt;=4,2,0)+IF($U82&gt;=4,2,0)+IF($T82&gt;=4,1,0)+IF($V82&gt;=4,1,0))))</x:f>
      </x:c>
      <x:c r="AI82" s="38" t="str">
        <x:f>IF($A82="","",IF($AC82="BLOQUEADA",0,ROUND((MAX(0,5-$K82)+MAX(0,5-$AA82)+IF($I82="Ambigua",2,0)+IF($J82="Posible",2,0))*2,1)))</x:f>
      </x:c>
      <x:c r="AJ82" s="38" t="str">
        <x:f>IF($A82="","",IF($AC82="BLOQUEADA",0,ROUND($AD82*Scoring_Weights!$C$2+$AE82*Scoring_Weights!$C$3+$AF82*Scoring_Weights!$C$4+$AG82*Scoring_Weights!$C$5+$AH82*Scoring_Weights!$C$6-$AI82*Scoring_Weights!$C$7,1)))</x:f>
      </x:c>
      <x:c r="AK82" s="36" t="str">
        <x:f>IF($AC82&lt;&gt;"ELEGIBLE","",COUNTIFS($AC$2:$AC$101,"ELEGIBLE",$AJ$2:$AJ$101,"&gt;"&amp;$AJ82)+COUNTIFS($AC$2:$AC82,"ELEGIBLE",$AJ$2:$AJ82,$AJ82))</x:f>
      </x:c>
      <x:c r="AL82" s="23" t="str">
        <x:f>IF($A82="","",IF($AC82="BLOQUEADA","No seleccionable",IF($AC82="REVISIÓN","Revisión previa",IF($AK82&lt;=8,"Primaria propuesta","Contexto / backlog"))))</x:f>
      </x:c>
      <x:c r="AM82" s="23" t="str">
        <x:f>IF($A82="","",IF(MAX($O82,$P82)&gt;=MAX($Q82,$R82,$T82,$U82,$W82),"Transformación/OLC",IF(MAX($Q82,$R82)&gt;=MAX($T82,$U82,$W82),"Handoff/Flujo",IF(MAX($T82,$U82,$V82,$W82)&gt;=3,"Capacidad/Compensación","Contexto/PM"))))</x:f>
      </x:c>
      <x:c r="AN82" s="23"/>
      <x:c r="AO82" s="23" t="str">
        <x:f>IF($A82="","",IF($AN82="Forzar primaria","Primaria forzada",IF($AN82="Excluir","Excluida",IF($AN82="Revisión","Revisión previa",$AL82))))</x:f>
      </x:c>
      <x:c r="AP82" s="23" t="str">
        <x:f>IF($A82="","",IF($AC82="BLOQUEADA","Gate duro",IF($AD82&gt;=MAX($AE82,$AF82,$AG82),"Potencial MMABP",IF($AE82&gt;=MAX($AD82,$AF82,$AG82),"Fricción/variedad",IF($AF82&gt;=MAX($AD82,$AE82,$AG82),"Cobertura","Evidencia/feasibilidad")))))</x:f>
      </x:c>
      <x:c r="AQ82" s="23" t="str">
        <x:f>IF($A82="","",IF(LEFT($AO82,8)="Primaria",IF($AE82&gt;=75,"40+20 probable",IF($AD82&gt;=75,"40 base + causales selectivas","40 base + probes mínimos")),"No abre Runtime profundo"))</x:f>
      </x:c>
      <x:c r="AR82" s="23" t="str">
        <x:f>IF($A82="","",IF($AC82="BLOQUEADA","Corregir WorkMap/B0 antes de selección",IF($AC82="REVISIÓN","Microconfirmación B0 o resolución semántica",IF($AO82="Contexto / backlog","Conservar como contexto total","Enviar a Runtime"))))</x:f>
      </x:c>
      <x:c r="AS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  <x:c r="AA83" s="36"/>
      <x:c r="AB83" s="36"/>
      <x:c r="AC83" s="23" t="str">
        <x:f>IF($A83="","",IF(OR($G83&lt;&gt;"Sí",$H83&lt;&gt;"Sí",$I83&lt;&gt;"Correcta",$J83="Sí",$K83&lt;2),"BLOQUEADA",IF(OR($J83="Posible",$K83&lt;3,$L83&lt;2),"REVISIÓN","ELEGIBLE")))</x:f>
      </x:c>
      <x:c r="AD83" s="38" t="str">
        <x:f>IF($A83="","",IF($AC83="BLOQUEADA",0,ROUND(($L83*Scoring_Weights!$C$9+$M83*Scoring_Weights!$C$10+$N83*Scoring_Weights!$C$11+$O83*Scoring_Weights!$C$12+$P83*Scoring_Weights!$C$13+$Q83*Scoring_Weights!$C$14+$R83*Scoring_Weights!$C$15+$X83*Scoring_Weights!$C$16+$AB83*Scoring_Weights!$C$17)*20,1)))</x:f>
      </x:c>
      <x:c r="AE83" s="38" t="str">
        <x:f>IF($A83="","",IF($AC83="BLOQUEADA",0,ROUND(($Q83*Scoring_Weights!$C$19+$R83*Scoring_Weights!$C$20+$S83*Scoring_Weights!$C$21+$T83*Scoring_Weights!$C$22+$U83*Scoring_Weights!$C$23+$V83*Scoring_Weights!$C$24+$W83*Scoring_Weights!$C$25)*20,1)))</x:f>
      </x:c>
      <x:c r="AF83" s="38" t="str">
        <x:f>IF($A83="","",IF($AC83="BLOQUEADA",0,ROUND(($Z83*Scoring_Weights!$C$27+$Y83*Scoring_Weights!$C$28+$X83*Scoring_Weights!$C$29)*20,1)))</x:f>
      </x:c>
      <x:c r="AG83" s="38" t="str">
        <x:f>IF($A83="","",IF($AC83="BLOQUEADA",0,ROUND(($AA83*Scoring_Weights!$C$31+$AB83*Scoring_Weights!$C$32+$K83*Scoring_Weights!$C$33)*20,1)))</x:f>
      </x:c>
      <x:c r="AH83" s="38" t="str">
        <x:f>IF($A83="","",IF($AC83="BLOQUEADA",0,MIN(10,IF(OR($O83&gt;=4,$P83&gt;=4),2,0)+IF($Q83&gt;=4,2,0)+IF($R83&gt;=4,2,0)+IF($U83&gt;=4,2,0)+IF($T83&gt;=4,1,0)+IF($V83&gt;=4,1,0))))</x:f>
      </x:c>
      <x:c r="AI83" s="38" t="str">
        <x:f>IF($A83="","",IF($AC83="BLOQUEADA",0,ROUND((MAX(0,5-$K83)+MAX(0,5-$AA83)+IF($I83="Ambigua",2,0)+IF($J83="Posible",2,0))*2,1)))</x:f>
      </x:c>
      <x:c r="AJ83" s="38" t="str">
        <x:f>IF($A83="","",IF($AC83="BLOQUEADA",0,ROUND($AD83*Scoring_Weights!$C$2+$AE83*Scoring_Weights!$C$3+$AF83*Scoring_Weights!$C$4+$AG83*Scoring_Weights!$C$5+$AH83*Scoring_Weights!$C$6-$AI83*Scoring_Weights!$C$7,1)))</x:f>
      </x:c>
      <x:c r="AK83" s="36" t="str">
        <x:f>IF($AC83&lt;&gt;"ELEGIBLE","",COUNTIFS($AC$2:$AC$101,"ELEGIBLE",$AJ$2:$AJ$101,"&gt;"&amp;$AJ83)+COUNTIFS($AC$2:$AC83,"ELEGIBLE",$AJ$2:$AJ83,$AJ83))</x:f>
      </x:c>
      <x:c r="AL83" s="23" t="str">
        <x:f>IF($A83="","",IF($AC83="BLOQUEADA","No seleccionable",IF($AC83="REVISIÓN","Revisión previa",IF($AK83&lt;=8,"Primaria propuesta","Contexto / backlog"))))</x:f>
      </x:c>
      <x:c r="AM83" s="23" t="str">
        <x:f>IF($A83="","",IF(MAX($O83,$P83)&gt;=MAX($Q83,$R83,$T83,$U83,$W83),"Transformación/OLC",IF(MAX($Q83,$R83)&gt;=MAX($T83,$U83,$W83),"Handoff/Flujo",IF(MAX($T83,$U83,$V83,$W83)&gt;=3,"Capacidad/Compensación","Contexto/PM"))))</x:f>
      </x:c>
      <x:c r="AN83" s="23"/>
      <x:c r="AO83" s="23" t="str">
        <x:f>IF($A83="","",IF($AN83="Forzar primaria","Primaria forzada",IF($AN83="Excluir","Excluida",IF($AN83="Revisión","Revisión previa",$AL83))))</x:f>
      </x:c>
      <x:c r="AP83" s="23" t="str">
        <x:f>IF($A83="","",IF($AC83="BLOQUEADA","Gate duro",IF($AD83&gt;=MAX($AE83,$AF83,$AG83),"Potencial MMABP",IF($AE83&gt;=MAX($AD83,$AF83,$AG83),"Fricción/variedad",IF($AF83&gt;=MAX($AD83,$AE83,$AG83),"Cobertura","Evidencia/feasibilidad")))))</x:f>
      </x:c>
      <x:c r="AQ83" s="23" t="str">
        <x:f>IF($A83="","",IF(LEFT($AO83,8)="Primaria",IF($AE83&gt;=75,"40+20 probable",IF($AD83&gt;=75,"40 base + causales selectivas","40 base + probes mínimos")),"No abre Runtime profundo"))</x:f>
      </x:c>
      <x:c r="AR83" s="23" t="str">
        <x:f>IF($A83="","",IF($AC83="BLOQUEADA","Corregir WorkMap/B0 antes de selección",IF($AC83="REVISIÓN","Microconfirmación B0 o resolución semántica",IF($AO83="Contexto / backlog","Conservar como contexto total","Enviar a Runtime"))))</x:f>
      </x:c>
      <x:c r="AS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  <x:c r="AA84" s="36"/>
      <x:c r="AB84" s="36"/>
      <x:c r="AC84" s="23" t="str">
        <x:f>IF($A84="","",IF(OR($G84&lt;&gt;"Sí",$H84&lt;&gt;"Sí",$I84&lt;&gt;"Correcta",$J84="Sí",$K84&lt;2),"BLOQUEADA",IF(OR($J84="Posible",$K84&lt;3,$L84&lt;2),"REVISIÓN","ELEGIBLE")))</x:f>
      </x:c>
      <x:c r="AD84" s="38" t="str">
        <x:f>IF($A84="","",IF($AC84="BLOQUEADA",0,ROUND(($L84*Scoring_Weights!$C$9+$M84*Scoring_Weights!$C$10+$N84*Scoring_Weights!$C$11+$O84*Scoring_Weights!$C$12+$P84*Scoring_Weights!$C$13+$Q84*Scoring_Weights!$C$14+$R84*Scoring_Weights!$C$15+$X84*Scoring_Weights!$C$16+$AB84*Scoring_Weights!$C$17)*20,1)))</x:f>
      </x:c>
      <x:c r="AE84" s="38" t="str">
        <x:f>IF($A84="","",IF($AC84="BLOQUEADA",0,ROUND(($Q84*Scoring_Weights!$C$19+$R84*Scoring_Weights!$C$20+$S84*Scoring_Weights!$C$21+$T84*Scoring_Weights!$C$22+$U84*Scoring_Weights!$C$23+$V84*Scoring_Weights!$C$24+$W84*Scoring_Weights!$C$25)*20,1)))</x:f>
      </x:c>
      <x:c r="AF84" s="38" t="str">
        <x:f>IF($A84="","",IF($AC84="BLOQUEADA",0,ROUND(($Z84*Scoring_Weights!$C$27+$Y84*Scoring_Weights!$C$28+$X84*Scoring_Weights!$C$29)*20,1)))</x:f>
      </x:c>
      <x:c r="AG84" s="38" t="str">
        <x:f>IF($A84="","",IF($AC84="BLOQUEADA",0,ROUND(($AA84*Scoring_Weights!$C$31+$AB84*Scoring_Weights!$C$32+$K84*Scoring_Weights!$C$33)*20,1)))</x:f>
      </x:c>
      <x:c r="AH84" s="38" t="str">
        <x:f>IF($A84="","",IF($AC84="BLOQUEADA",0,MIN(10,IF(OR($O84&gt;=4,$P84&gt;=4),2,0)+IF($Q84&gt;=4,2,0)+IF($R84&gt;=4,2,0)+IF($U84&gt;=4,2,0)+IF($T84&gt;=4,1,0)+IF($V84&gt;=4,1,0))))</x:f>
      </x:c>
      <x:c r="AI84" s="38" t="str">
        <x:f>IF($A84="","",IF($AC84="BLOQUEADA",0,ROUND((MAX(0,5-$K84)+MAX(0,5-$AA84)+IF($I84="Ambigua",2,0)+IF($J84="Posible",2,0))*2,1)))</x:f>
      </x:c>
      <x:c r="AJ84" s="38" t="str">
        <x:f>IF($A84="","",IF($AC84="BLOQUEADA",0,ROUND($AD84*Scoring_Weights!$C$2+$AE84*Scoring_Weights!$C$3+$AF84*Scoring_Weights!$C$4+$AG84*Scoring_Weights!$C$5+$AH84*Scoring_Weights!$C$6-$AI84*Scoring_Weights!$C$7,1)))</x:f>
      </x:c>
      <x:c r="AK84" s="36" t="str">
        <x:f>IF($AC84&lt;&gt;"ELEGIBLE","",COUNTIFS($AC$2:$AC$101,"ELEGIBLE",$AJ$2:$AJ$101,"&gt;"&amp;$AJ84)+COUNTIFS($AC$2:$AC84,"ELEGIBLE",$AJ$2:$AJ84,$AJ84))</x:f>
      </x:c>
      <x:c r="AL84" s="23" t="str">
        <x:f>IF($A84="","",IF($AC84="BLOQUEADA","No seleccionable",IF($AC84="REVISIÓN","Revisión previa",IF($AK84&lt;=8,"Primaria propuesta","Contexto / backlog"))))</x:f>
      </x:c>
      <x:c r="AM84" s="23" t="str">
        <x:f>IF($A84="","",IF(MAX($O84,$P84)&gt;=MAX($Q84,$R84,$T84,$U84,$W84),"Transformación/OLC",IF(MAX($Q84,$R84)&gt;=MAX($T84,$U84,$W84),"Handoff/Flujo",IF(MAX($T84,$U84,$V84,$W84)&gt;=3,"Capacidad/Compensación","Contexto/PM"))))</x:f>
      </x:c>
      <x:c r="AN84" s="23"/>
      <x:c r="AO84" s="23" t="str">
        <x:f>IF($A84="","",IF($AN84="Forzar primaria","Primaria forzada",IF($AN84="Excluir","Excluida",IF($AN84="Revisión","Revisión previa",$AL84))))</x:f>
      </x:c>
      <x:c r="AP84" s="23" t="str">
        <x:f>IF($A84="","",IF($AC84="BLOQUEADA","Gate duro",IF($AD84&gt;=MAX($AE84,$AF84,$AG84),"Potencial MMABP",IF($AE84&gt;=MAX($AD84,$AF84,$AG84),"Fricción/variedad",IF($AF84&gt;=MAX($AD84,$AE84,$AG84),"Cobertura","Evidencia/feasibilidad")))))</x:f>
      </x:c>
      <x:c r="AQ84" s="23" t="str">
        <x:f>IF($A84="","",IF(LEFT($AO84,8)="Primaria",IF($AE84&gt;=75,"40+20 probable",IF($AD84&gt;=75,"40 base + causales selectivas","40 base + probes mínimos")),"No abre Runtime profundo"))</x:f>
      </x:c>
      <x:c r="AR84" s="23" t="str">
        <x:f>IF($A84="","",IF($AC84="BLOQUEADA","Corregir WorkMap/B0 antes de selección",IF($AC84="REVISIÓN","Microconfirmación B0 o resolución semántica",IF($AO84="Contexto / backlog","Conservar como contexto total","Enviar a Runtime"))))</x:f>
      </x:c>
      <x:c r="AS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  <x:c r="AA85" s="36"/>
      <x:c r="AB85" s="36"/>
      <x:c r="AC85" s="23" t="str">
        <x:f>IF($A85="","",IF(OR($G85&lt;&gt;"Sí",$H85&lt;&gt;"Sí",$I85&lt;&gt;"Correcta",$J85="Sí",$K85&lt;2),"BLOQUEADA",IF(OR($J85="Posible",$K85&lt;3,$L85&lt;2),"REVISIÓN","ELEGIBLE")))</x:f>
      </x:c>
      <x:c r="AD85" s="38" t="str">
        <x:f>IF($A85="","",IF($AC85="BLOQUEADA",0,ROUND(($L85*Scoring_Weights!$C$9+$M85*Scoring_Weights!$C$10+$N85*Scoring_Weights!$C$11+$O85*Scoring_Weights!$C$12+$P85*Scoring_Weights!$C$13+$Q85*Scoring_Weights!$C$14+$R85*Scoring_Weights!$C$15+$X85*Scoring_Weights!$C$16+$AB85*Scoring_Weights!$C$17)*20,1)))</x:f>
      </x:c>
      <x:c r="AE85" s="38" t="str">
        <x:f>IF($A85="","",IF($AC85="BLOQUEADA",0,ROUND(($Q85*Scoring_Weights!$C$19+$R85*Scoring_Weights!$C$20+$S85*Scoring_Weights!$C$21+$T85*Scoring_Weights!$C$22+$U85*Scoring_Weights!$C$23+$V85*Scoring_Weights!$C$24+$W85*Scoring_Weights!$C$25)*20,1)))</x:f>
      </x:c>
      <x:c r="AF85" s="38" t="str">
        <x:f>IF($A85="","",IF($AC85="BLOQUEADA",0,ROUND(($Z85*Scoring_Weights!$C$27+$Y85*Scoring_Weights!$C$28+$X85*Scoring_Weights!$C$29)*20,1)))</x:f>
      </x:c>
      <x:c r="AG85" s="38" t="str">
        <x:f>IF($A85="","",IF($AC85="BLOQUEADA",0,ROUND(($AA85*Scoring_Weights!$C$31+$AB85*Scoring_Weights!$C$32+$K85*Scoring_Weights!$C$33)*20,1)))</x:f>
      </x:c>
      <x:c r="AH85" s="38" t="str">
        <x:f>IF($A85="","",IF($AC85="BLOQUEADA",0,MIN(10,IF(OR($O85&gt;=4,$P85&gt;=4),2,0)+IF($Q85&gt;=4,2,0)+IF($R85&gt;=4,2,0)+IF($U85&gt;=4,2,0)+IF($T85&gt;=4,1,0)+IF($V85&gt;=4,1,0))))</x:f>
      </x:c>
      <x:c r="AI85" s="38" t="str">
        <x:f>IF($A85="","",IF($AC85="BLOQUEADA",0,ROUND((MAX(0,5-$K85)+MAX(0,5-$AA85)+IF($I85="Ambigua",2,0)+IF($J85="Posible",2,0))*2,1)))</x:f>
      </x:c>
      <x:c r="AJ85" s="38" t="str">
        <x:f>IF($A85="","",IF($AC85="BLOQUEADA",0,ROUND($AD85*Scoring_Weights!$C$2+$AE85*Scoring_Weights!$C$3+$AF85*Scoring_Weights!$C$4+$AG85*Scoring_Weights!$C$5+$AH85*Scoring_Weights!$C$6-$AI85*Scoring_Weights!$C$7,1)))</x:f>
      </x:c>
      <x:c r="AK85" s="36" t="str">
        <x:f>IF($AC85&lt;&gt;"ELEGIBLE","",COUNTIFS($AC$2:$AC$101,"ELEGIBLE",$AJ$2:$AJ$101,"&gt;"&amp;$AJ85)+COUNTIFS($AC$2:$AC85,"ELEGIBLE",$AJ$2:$AJ85,$AJ85))</x:f>
      </x:c>
      <x:c r="AL85" s="23" t="str">
        <x:f>IF($A85="","",IF($AC85="BLOQUEADA","No seleccionable",IF($AC85="REVISIÓN","Revisión previa",IF($AK85&lt;=8,"Primaria propuesta","Contexto / backlog"))))</x:f>
      </x:c>
      <x:c r="AM85" s="23" t="str">
        <x:f>IF($A85="","",IF(MAX($O85,$P85)&gt;=MAX($Q85,$R85,$T85,$U85,$W85),"Transformación/OLC",IF(MAX($Q85,$R85)&gt;=MAX($T85,$U85,$W85),"Handoff/Flujo",IF(MAX($T85,$U85,$V85,$W85)&gt;=3,"Capacidad/Compensación","Contexto/PM"))))</x:f>
      </x:c>
      <x:c r="AN85" s="23"/>
      <x:c r="AO85" s="23" t="str">
        <x:f>IF($A85="","",IF($AN85="Forzar primaria","Primaria forzada",IF($AN85="Excluir","Excluida",IF($AN85="Revisión","Revisión previa",$AL85))))</x:f>
      </x:c>
      <x:c r="AP85" s="23" t="str">
        <x:f>IF($A85="","",IF($AC85="BLOQUEADA","Gate duro",IF($AD85&gt;=MAX($AE85,$AF85,$AG85),"Potencial MMABP",IF($AE85&gt;=MAX($AD85,$AF85,$AG85),"Fricción/variedad",IF($AF85&gt;=MAX($AD85,$AE85,$AG85),"Cobertura","Evidencia/feasibilidad")))))</x:f>
      </x:c>
      <x:c r="AQ85" s="23" t="str">
        <x:f>IF($A85="","",IF(LEFT($AO85,8)="Primaria",IF($AE85&gt;=75,"40+20 probable",IF($AD85&gt;=75,"40 base + causales selectivas","40 base + probes mínimos")),"No abre Runtime profundo"))</x:f>
      </x:c>
      <x:c r="AR85" s="23" t="str">
        <x:f>IF($A85="","",IF($AC85="BLOQUEADA","Corregir WorkMap/B0 antes de selección",IF($AC85="REVISIÓN","Microconfirmación B0 o resolución semántica",IF($AO85="Contexto / backlog","Conservar como contexto total","Enviar a Runtime"))))</x:f>
      </x:c>
      <x:c r="AS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  <x:c r="AA86" s="36"/>
      <x:c r="AB86" s="36"/>
      <x:c r="AC86" s="23" t="str">
        <x:f>IF($A86="","",IF(OR($G86&lt;&gt;"Sí",$H86&lt;&gt;"Sí",$I86&lt;&gt;"Correcta",$J86="Sí",$K86&lt;2),"BLOQUEADA",IF(OR($J86="Posible",$K86&lt;3,$L86&lt;2),"REVISIÓN","ELEGIBLE")))</x:f>
      </x:c>
      <x:c r="AD86" s="38" t="str">
        <x:f>IF($A86="","",IF($AC86="BLOQUEADA",0,ROUND(($L86*Scoring_Weights!$C$9+$M86*Scoring_Weights!$C$10+$N86*Scoring_Weights!$C$11+$O86*Scoring_Weights!$C$12+$P86*Scoring_Weights!$C$13+$Q86*Scoring_Weights!$C$14+$R86*Scoring_Weights!$C$15+$X86*Scoring_Weights!$C$16+$AB86*Scoring_Weights!$C$17)*20,1)))</x:f>
      </x:c>
      <x:c r="AE86" s="38" t="str">
        <x:f>IF($A86="","",IF($AC86="BLOQUEADA",0,ROUND(($Q86*Scoring_Weights!$C$19+$R86*Scoring_Weights!$C$20+$S86*Scoring_Weights!$C$21+$T86*Scoring_Weights!$C$22+$U86*Scoring_Weights!$C$23+$V86*Scoring_Weights!$C$24+$W86*Scoring_Weights!$C$25)*20,1)))</x:f>
      </x:c>
      <x:c r="AF86" s="38" t="str">
        <x:f>IF($A86="","",IF($AC86="BLOQUEADA",0,ROUND(($Z86*Scoring_Weights!$C$27+$Y86*Scoring_Weights!$C$28+$X86*Scoring_Weights!$C$29)*20,1)))</x:f>
      </x:c>
      <x:c r="AG86" s="38" t="str">
        <x:f>IF($A86="","",IF($AC86="BLOQUEADA",0,ROUND(($AA86*Scoring_Weights!$C$31+$AB86*Scoring_Weights!$C$32+$K86*Scoring_Weights!$C$33)*20,1)))</x:f>
      </x:c>
      <x:c r="AH86" s="38" t="str">
        <x:f>IF($A86="","",IF($AC86="BLOQUEADA",0,MIN(10,IF(OR($O86&gt;=4,$P86&gt;=4),2,0)+IF($Q86&gt;=4,2,0)+IF($R86&gt;=4,2,0)+IF($U86&gt;=4,2,0)+IF($T86&gt;=4,1,0)+IF($V86&gt;=4,1,0))))</x:f>
      </x:c>
      <x:c r="AI86" s="38" t="str">
        <x:f>IF($A86="","",IF($AC86="BLOQUEADA",0,ROUND((MAX(0,5-$K86)+MAX(0,5-$AA86)+IF($I86="Ambigua",2,0)+IF($J86="Posible",2,0))*2,1)))</x:f>
      </x:c>
      <x:c r="AJ86" s="38" t="str">
        <x:f>IF($A86="","",IF($AC86="BLOQUEADA",0,ROUND($AD86*Scoring_Weights!$C$2+$AE86*Scoring_Weights!$C$3+$AF86*Scoring_Weights!$C$4+$AG86*Scoring_Weights!$C$5+$AH86*Scoring_Weights!$C$6-$AI86*Scoring_Weights!$C$7,1)))</x:f>
      </x:c>
      <x:c r="AK86" s="36" t="str">
        <x:f>IF($AC86&lt;&gt;"ELEGIBLE","",COUNTIFS($AC$2:$AC$101,"ELEGIBLE",$AJ$2:$AJ$101,"&gt;"&amp;$AJ86)+COUNTIFS($AC$2:$AC86,"ELEGIBLE",$AJ$2:$AJ86,$AJ86))</x:f>
      </x:c>
      <x:c r="AL86" s="23" t="str">
        <x:f>IF($A86="","",IF($AC86="BLOQUEADA","No seleccionable",IF($AC86="REVISIÓN","Revisión previa",IF($AK86&lt;=8,"Primaria propuesta","Contexto / backlog"))))</x:f>
      </x:c>
      <x:c r="AM86" s="23" t="str">
        <x:f>IF($A86="","",IF(MAX($O86,$P86)&gt;=MAX($Q86,$R86,$T86,$U86,$W86),"Transformación/OLC",IF(MAX($Q86,$R86)&gt;=MAX($T86,$U86,$W86),"Handoff/Flujo",IF(MAX($T86,$U86,$V86,$W86)&gt;=3,"Capacidad/Compensación","Contexto/PM"))))</x:f>
      </x:c>
      <x:c r="AN86" s="23"/>
      <x:c r="AO86" s="23" t="str">
        <x:f>IF($A86="","",IF($AN86="Forzar primaria","Primaria forzada",IF($AN86="Excluir","Excluida",IF($AN86="Revisión","Revisión previa",$AL86))))</x:f>
      </x:c>
      <x:c r="AP86" s="23" t="str">
        <x:f>IF($A86="","",IF($AC86="BLOQUEADA","Gate duro",IF($AD86&gt;=MAX($AE86,$AF86,$AG86),"Potencial MMABP",IF($AE86&gt;=MAX($AD86,$AF86,$AG86),"Fricción/variedad",IF($AF86&gt;=MAX($AD86,$AE86,$AG86),"Cobertura","Evidencia/feasibilidad")))))</x:f>
      </x:c>
      <x:c r="AQ86" s="23" t="str">
        <x:f>IF($A86="","",IF(LEFT($AO86,8)="Primaria",IF($AE86&gt;=75,"40+20 probable",IF($AD86&gt;=75,"40 base + causales selectivas","40 base + probes mínimos")),"No abre Runtime profundo"))</x:f>
      </x:c>
      <x:c r="AR86" s="23" t="str">
        <x:f>IF($A86="","",IF($AC86="BLOQUEADA","Corregir WorkMap/B0 antes de selección",IF($AC86="REVISIÓN","Microconfirmación B0 o resolución semántica",IF($AO86="Contexto / backlog","Conservar como contexto total","Enviar a Runtime"))))</x:f>
      </x:c>
      <x:c r="AS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  <x:c r="AA87" s="36"/>
      <x:c r="AB87" s="36"/>
      <x:c r="AC87" s="23" t="str">
        <x:f>IF($A87="","",IF(OR($G87&lt;&gt;"Sí",$H87&lt;&gt;"Sí",$I87&lt;&gt;"Correcta",$J87="Sí",$K87&lt;2),"BLOQUEADA",IF(OR($J87="Posible",$K87&lt;3,$L87&lt;2),"REVISIÓN","ELEGIBLE")))</x:f>
      </x:c>
      <x:c r="AD87" s="38" t="str">
        <x:f>IF($A87="","",IF($AC87="BLOQUEADA",0,ROUND(($L87*Scoring_Weights!$C$9+$M87*Scoring_Weights!$C$10+$N87*Scoring_Weights!$C$11+$O87*Scoring_Weights!$C$12+$P87*Scoring_Weights!$C$13+$Q87*Scoring_Weights!$C$14+$R87*Scoring_Weights!$C$15+$X87*Scoring_Weights!$C$16+$AB87*Scoring_Weights!$C$17)*20,1)))</x:f>
      </x:c>
      <x:c r="AE87" s="38" t="str">
        <x:f>IF($A87="","",IF($AC87="BLOQUEADA",0,ROUND(($Q87*Scoring_Weights!$C$19+$R87*Scoring_Weights!$C$20+$S87*Scoring_Weights!$C$21+$T87*Scoring_Weights!$C$22+$U87*Scoring_Weights!$C$23+$V87*Scoring_Weights!$C$24+$W87*Scoring_Weights!$C$25)*20,1)))</x:f>
      </x:c>
      <x:c r="AF87" s="38" t="str">
        <x:f>IF($A87="","",IF($AC87="BLOQUEADA",0,ROUND(($Z87*Scoring_Weights!$C$27+$Y87*Scoring_Weights!$C$28+$X87*Scoring_Weights!$C$29)*20,1)))</x:f>
      </x:c>
      <x:c r="AG87" s="38" t="str">
        <x:f>IF($A87="","",IF($AC87="BLOQUEADA",0,ROUND(($AA87*Scoring_Weights!$C$31+$AB87*Scoring_Weights!$C$32+$K87*Scoring_Weights!$C$33)*20,1)))</x:f>
      </x:c>
      <x:c r="AH87" s="38" t="str">
        <x:f>IF($A87="","",IF($AC87="BLOQUEADA",0,MIN(10,IF(OR($O87&gt;=4,$P87&gt;=4),2,0)+IF($Q87&gt;=4,2,0)+IF($R87&gt;=4,2,0)+IF($U87&gt;=4,2,0)+IF($T87&gt;=4,1,0)+IF($V87&gt;=4,1,0))))</x:f>
      </x:c>
      <x:c r="AI87" s="38" t="str">
        <x:f>IF($A87="","",IF($AC87="BLOQUEADA",0,ROUND((MAX(0,5-$K87)+MAX(0,5-$AA87)+IF($I87="Ambigua",2,0)+IF($J87="Posible",2,0))*2,1)))</x:f>
      </x:c>
      <x:c r="AJ87" s="38" t="str">
        <x:f>IF($A87="","",IF($AC87="BLOQUEADA",0,ROUND($AD87*Scoring_Weights!$C$2+$AE87*Scoring_Weights!$C$3+$AF87*Scoring_Weights!$C$4+$AG87*Scoring_Weights!$C$5+$AH87*Scoring_Weights!$C$6-$AI87*Scoring_Weights!$C$7,1)))</x:f>
      </x:c>
      <x:c r="AK87" s="36" t="str">
        <x:f>IF($AC87&lt;&gt;"ELEGIBLE","",COUNTIFS($AC$2:$AC$101,"ELEGIBLE",$AJ$2:$AJ$101,"&gt;"&amp;$AJ87)+COUNTIFS($AC$2:$AC87,"ELEGIBLE",$AJ$2:$AJ87,$AJ87))</x:f>
      </x:c>
      <x:c r="AL87" s="23" t="str">
        <x:f>IF($A87="","",IF($AC87="BLOQUEADA","No seleccionable",IF($AC87="REVISIÓN","Revisión previa",IF($AK87&lt;=8,"Primaria propuesta","Contexto / backlog"))))</x:f>
      </x:c>
      <x:c r="AM87" s="23" t="str">
        <x:f>IF($A87="","",IF(MAX($O87,$P87)&gt;=MAX($Q87,$R87,$T87,$U87,$W87),"Transformación/OLC",IF(MAX($Q87,$R87)&gt;=MAX($T87,$U87,$W87),"Handoff/Flujo",IF(MAX($T87,$U87,$V87,$W87)&gt;=3,"Capacidad/Compensación","Contexto/PM"))))</x:f>
      </x:c>
      <x:c r="AN87" s="23"/>
      <x:c r="AO87" s="23" t="str">
        <x:f>IF($A87="","",IF($AN87="Forzar primaria","Primaria forzada",IF($AN87="Excluir","Excluida",IF($AN87="Revisión","Revisión previa",$AL87))))</x:f>
      </x:c>
      <x:c r="AP87" s="23" t="str">
        <x:f>IF($A87="","",IF($AC87="BLOQUEADA","Gate duro",IF($AD87&gt;=MAX($AE87,$AF87,$AG87),"Potencial MMABP",IF($AE87&gt;=MAX($AD87,$AF87,$AG87),"Fricción/variedad",IF($AF87&gt;=MAX($AD87,$AE87,$AG87),"Cobertura","Evidencia/feasibilidad")))))</x:f>
      </x:c>
      <x:c r="AQ87" s="23" t="str">
        <x:f>IF($A87="","",IF(LEFT($AO87,8)="Primaria",IF($AE87&gt;=75,"40+20 probable",IF($AD87&gt;=75,"40 base + causales selectivas","40 base + probes mínimos")),"No abre Runtime profundo"))</x:f>
      </x:c>
      <x:c r="AR87" s="23" t="str">
        <x:f>IF($A87="","",IF($AC87="BLOQUEADA","Corregir WorkMap/B0 antes de selección",IF($AC87="REVISIÓN","Microconfirmación B0 o resolución semántica",IF($AO87="Contexto / backlog","Conservar como contexto total","Enviar a Runtime"))))</x:f>
      </x:c>
      <x:c r="AS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  <x:c r="AA88" s="36"/>
      <x:c r="AB88" s="36"/>
      <x:c r="AC88" s="23" t="str">
        <x:f>IF($A88="","",IF(OR($G88&lt;&gt;"Sí",$H88&lt;&gt;"Sí",$I88&lt;&gt;"Correcta",$J88="Sí",$K88&lt;2),"BLOQUEADA",IF(OR($J88="Posible",$K88&lt;3,$L88&lt;2),"REVISIÓN","ELEGIBLE")))</x:f>
      </x:c>
      <x:c r="AD88" s="38" t="str">
        <x:f>IF($A88="","",IF($AC88="BLOQUEADA",0,ROUND(($L88*Scoring_Weights!$C$9+$M88*Scoring_Weights!$C$10+$N88*Scoring_Weights!$C$11+$O88*Scoring_Weights!$C$12+$P88*Scoring_Weights!$C$13+$Q88*Scoring_Weights!$C$14+$R88*Scoring_Weights!$C$15+$X88*Scoring_Weights!$C$16+$AB88*Scoring_Weights!$C$17)*20,1)))</x:f>
      </x:c>
      <x:c r="AE88" s="38" t="str">
        <x:f>IF($A88="","",IF($AC88="BLOQUEADA",0,ROUND(($Q88*Scoring_Weights!$C$19+$R88*Scoring_Weights!$C$20+$S88*Scoring_Weights!$C$21+$T88*Scoring_Weights!$C$22+$U88*Scoring_Weights!$C$23+$V88*Scoring_Weights!$C$24+$W88*Scoring_Weights!$C$25)*20,1)))</x:f>
      </x:c>
      <x:c r="AF88" s="38" t="str">
        <x:f>IF($A88="","",IF($AC88="BLOQUEADA",0,ROUND(($Z88*Scoring_Weights!$C$27+$Y88*Scoring_Weights!$C$28+$X88*Scoring_Weights!$C$29)*20,1)))</x:f>
      </x:c>
      <x:c r="AG88" s="38" t="str">
        <x:f>IF($A88="","",IF($AC88="BLOQUEADA",0,ROUND(($AA88*Scoring_Weights!$C$31+$AB88*Scoring_Weights!$C$32+$K88*Scoring_Weights!$C$33)*20,1)))</x:f>
      </x:c>
      <x:c r="AH88" s="38" t="str">
        <x:f>IF($A88="","",IF($AC88="BLOQUEADA",0,MIN(10,IF(OR($O88&gt;=4,$P88&gt;=4),2,0)+IF($Q88&gt;=4,2,0)+IF($R88&gt;=4,2,0)+IF($U88&gt;=4,2,0)+IF($T88&gt;=4,1,0)+IF($V88&gt;=4,1,0))))</x:f>
      </x:c>
      <x:c r="AI88" s="38" t="str">
        <x:f>IF($A88="","",IF($AC88="BLOQUEADA",0,ROUND((MAX(0,5-$K88)+MAX(0,5-$AA88)+IF($I88="Ambigua",2,0)+IF($J88="Posible",2,0))*2,1)))</x:f>
      </x:c>
      <x:c r="AJ88" s="38" t="str">
        <x:f>IF($A88="","",IF($AC88="BLOQUEADA",0,ROUND($AD88*Scoring_Weights!$C$2+$AE88*Scoring_Weights!$C$3+$AF88*Scoring_Weights!$C$4+$AG88*Scoring_Weights!$C$5+$AH88*Scoring_Weights!$C$6-$AI88*Scoring_Weights!$C$7,1)))</x:f>
      </x:c>
      <x:c r="AK88" s="36" t="str">
        <x:f>IF($AC88&lt;&gt;"ELEGIBLE","",COUNTIFS($AC$2:$AC$101,"ELEGIBLE",$AJ$2:$AJ$101,"&gt;"&amp;$AJ88)+COUNTIFS($AC$2:$AC88,"ELEGIBLE",$AJ$2:$AJ88,$AJ88))</x:f>
      </x:c>
      <x:c r="AL88" s="23" t="str">
        <x:f>IF($A88="","",IF($AC88="BLOQUEADA","No seleccionable",IF($AC88="REVISIÓN","Revisión previa",IF($AK88&lt;=8,"Primaria propuesta","Contexto / backlog"))))</x:f>
      </x:c>
      <x:c r="AM88" s="23" t="str">
        <x:f>IF($A88="","",IF(MAX($O88,$P88)&gt;=MAX($Q88,$R88,$T88,$U88,$W88),"Transformación/OLC",IF(MAX($Q88,$R88)&gt;=MAX($T88,$U88,$W88),"Handoff/Flujo",IF(MAX($T88,$U88,$V88,$W88)&gt;=3,"Capacidad/Compensación","Contexto/PM"))))</x:f>
      </x:c>
      <x:c r="AN88" s="23"/>
      <x:c r="AO88" s="23" t="str">
        <x:f>IF($A88="","",IF($AN88="Forzar primaria","Primaria forzada",IF($AN88="Excluir","Excluida",IF($AN88="Revisión","Revisión previa",$AL88))))</x:f>
      </x:c>
      <x:c r="AP88" s="23" t="str">
        <x:f>IF($A88="","",IF($AC88="BLOQUEADA","Gate duro",IF($AD88&gt;=MAX($AE88,$AF88,$AG88),"Potencial MMABP",IF($AE88&gt;=MAX($AD88,$AF88,$AG88),"Fricción/variedad",IF($AF88&gt;=MAX($AD88,$AE88,$AG88),"Cobertura","Evidencia/feasibilidad")))))</x:f>
      </x:c>
      <x:c r="AQ88" s="23" t="str">
        <x:f>IF($A88="","",IF(LEFT($AO88,8)="Primaria",IF($AE88&gt;=75,"40+20 probable",IF($AD88&gt;=75,"40 base + causales selectivas","40 base + probes mínimos")),"No abre Runtime profundo"))</x:f>
      </x:c>
      <x:c r="AR88" s="23" t="str">
        <x:f>IF($A88="","",IF($AC88="BLOQUEADA","Corregir WorkMap/B0 antes de selección",IF($AC88="REVISIÓN","Microconfirmación B0 o resolución semántica",IF($AO88="Contexto / backlog","Conservar como contexto total","Enviar a Runtime"))))</x:f>
      </x:c>
      <x:c r="AS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  <x:c r="AA89" s="36"/>
      <x:c r="AB89" s="36"/>
      <x:c r="AC89" s="23" t="str">
        <x:f>IF($A89="","",IF(OR($G89&lt;&gt;"Sí",$H89&lt;&gt;"Sí",$I89&lt;&gt;"Correcta",$J89="Sí",$K89&lt;2),"BLOQUEADA",IF(OR($J89="Posible",$K89&lt;3,$L89&lt;2),"REVISIÓN","ELEGIBLE")))</x:f>
      </x:c>
      <x:c r="AD89" s="38" t="str">
        <x:f>IF($A89="","",IF($AC89="BLOQUEADA",0,ROUND(($L89*Scoring_Weights!$C$9+$M89*Scoring_Weights!$C$10+$N89*Scoring_Weights!$C$11+$O89*Scoring_Weights!$C$12+$P89*Scoring_Weights!$C$13+$Q89*Scoring_Weights!$C$14+$R89*Scoring_Weights!$C$15+$X89*Scoring_Weights!$C$16+$AB89*Scoring_Weights!$C$17)*20,1)))</x:f>
      </x:c>
      <x:c r="AE89" s="38" t="str">
        <x:f>IF($A89="","",IF($AC89="BLOQUEADA",0,ROUND(($Q89*Scoring_Weights!$C$19+$R89*Scoring_Weights!$C$20+$S89*Scoring_Weights!$C$21+$T89*Scoring_Weights!$C$22+$U89*Scoring_Weights!$C$23+$V89*Scoring_Weights!$C$24+$W89*Scoring_Weights!$C$25)*20,1)))</x:f>
      </x:c>
      <x:c r="AF89" s="38" t="str">
        <x:f>IF($A89="","",IF($AC89="BLOQUEADA",0,ROUND(($Z89*Scoring_Weights!$C$27+$Y89*Scoring_Weights!$C$28+$X89*Scoring_Weights!$C$29)*20,1)))</x:f>
      </x:c>
      <x:c r="AG89" s="38" t="str">
        <x:f>IF($A89="","",IF($AC89="BLOQUEADA",0,ROUND(($AA89*Scoring_Weights!$C$31+$AB89*Scoring_Weights!$C$32+$K89*Scoring_Weights!$C$33)*20,1)))</x:f>
      </x:c>
      <x:c r="AH89" s="38" t="str">
        <x:f>IF($A89="","",IF($AC89="BLOQUEADA",0,MIN(10,IF(OR($O89&gt;=4,$P89&gt;=4),2,0)+IF($Q89&gt;=4,2,0)+IF($R89&gt;=4,2,0)+IF($U89&gt;=4,2,0)+IF($T89&gt;=4,1,0)+IF($V89&gt;=4,1,0))))</x:f>
      </x:c>
      <x:c r="AI89" s="38" t="str">
        <x:f>IF($A89="","",IF($AC89="BLOQUEADA",0,ROUND((MAX(0,5-$K89)+MAX(0,5-$AA89)+IF($I89="Ambigua",2,0)+IF($J89="Posible",2,0))*2,1)))</x:f>
      </x:c>
      <x:c r="AJ89" s="38" t="str">
        <x:f>IF($A89="","",IF($AC89="BLOQUEADA",0,ROUND($AD89*Scoring_Weights!$C$2+$AE89*Scoring_Weights!$C$3+$AF89*Scoring_Weights!$C$4+$AG89*Scoring_Weights!$C$5+$AH89*Scoring_Weights!$C$6-$AI89*Scoring_Weights!$C$7,1)))</x:f>
      </x:c>
      <x:c r="AK89" s="36" t="str">
        <x:f>IF($AC89&lt;&gt;"ELEGIBLE","",COUNTIFS($AC$2:$AC$101,"ELEGIBLE",$AJ$2:$AJ$101,"&gt;"&amp;$AJ89)+COUNTIFS($AC$2:$AC89,"ELEGIBLE",$AJ$2:$AJ89,$AJ89))</x:f>
      </x:c>
      <x:c r="AL89" s="23" t="str">
        <x:f>IF($A89="","",IF($AC89="BLOQUEADA","No seleccionable",IF($AC89="REVISIÓN","Revisión previa",IF($AK89&lt;=8,"Primaria propuesta","Contexto / backlog"))))</x:f>
      </x:c>
      <x:c r="AM89" s="23" t="str">
        <x:f>IF($A89="","",IF(MAX($O89,$P89)&gt;=MAX($Q89,$R89,$T89,$U89,$W89),"Transformación/OLC",IF(MAX($Q89,$R89)&gt;=MAX($T89,$U89,$W89),"Handoff/Flujo",IF(MAX($T89,$U89,$V89,$W89)&gt;=3,"Capacidad/Compensación","Contexto/PM"))))</x:f>
      </x:c>
      <x:c r="AN89" s="23"/>
      <x:c r="AO89" s="23" t="str">
        <x:f>IF($A89="","",IF($AN89="Forzar primaria","Primaria forzada",IF($AN89="Excluir","Excluida",IF($AN89="Revisión","Revisión previa",$AL89))))</x:f>
      </x:c>
      <x:c r="AP89" s="23" t="str">
        <x:f>IF($A89="","",IF($AC89="BLOQUEADA","Gate duro",IF($AD89&gt;=MAX($AE89,$AF89,$AG89),"Potencial MMABP",IF($AE89&gt;=MAX($AD89,$AF89,$AG89),"Fricción/variedad",IF($AF89&gt;=MAX($AD89,$AE89,$AG89),"Cobertura","Evidencia/feasibilidad")))))</x:f>
      </x:c>
      <x:c r="AQ89" s="23" t="str">
        <x:f>IF($A89="","",IF(LEFT($AO89,8)="Primaria",IF($AE89&gt;=75,"40+20 probable",IF($AD89&gt;=75,"40 base + causales selectivas","40 base + probes mínimos")),"No abre Runtime profundo"))</x:f>
      </x:c>
      <x:c r="AR89" s="23" t="str">
        <x:f>IF($A89="","",IF($AC89="BLOQUEADA","Corregir WorkMap/B0 antes de selección",IF($AC89="REVISIÓN","Microconfirmación B0 o resolución semántica",IF($AO89="Contexto / backlog","Conservar como contexto total","Enviar a Runtime"))))</x:f>
      </x:c>
      <x:c r="AS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  <x:c r="AA90" s="36"/>
      <x:c r="AB90" s="36"/>
      <x:c r="AC90" s="23" t="str">
        <x:f>IF($A90="","",IF(OR($G90&lt;&gt;"Sí",$H90&lt;&gt;"Sí",$I90&lt;&gt;"Correcta",$J90="Sí",$K90&lt;2),"BLOQUEADA",IF(OR($J90="Posible",$K90&lt;3,$L90&lt;2),"REVISIÓN","ELEGIBLE")))</x:f>
      </x:c>
      <x:c r="AD90" s="38" t="str">
        <x:f>IF($A90="","",IF($AC90="BLOQUEADA",0,ROUND(($L90*Scoring_Weights!$C$9+$M90*Scoring_Weights!$C$10+$N90*Scoring_Weights!$C$11+$O90*Scoring_Weights!$C$12+$P90*Scoring_Weights!$C$13+$Q90*Scoring_Weights!$C$14+$R90*Scoring_Weights!$C$15+$X90*Scoring_Weights!$C$16+$AB90*Scoring_Weights!$C$17)*20,1)))</x:f>
      </x:c>
      <x:c r="AE90" s="38" t="str">
        <x:f>IF($A90="","",IF($AC90="BLOQUEADA",0,ROUND(($Q90*Scoring_Weights!$C$19+$R90*Scoring_Weights!$C$20+$S90*Scoring_Weights!$C$21+$T90*Scoring_Weights!$C$22+$U90*Scoring_Weights!$C$23+$V90*Scoring_Weights!$C$24+$W90*Scoring_Weights!$C$25)*20,1)))</x:f>
      </x:c>
      <x:c r="AF90" s="38" t="str">
        <x:f>IF($A90="","",IF($AC90="BLOQUEADA",0,ROUND(($Z90*Scoring_Weights!$C$27+$Y90*Scoring_Weights!$C$28+$X90*Scoring_Weights!$C$29)*20,1)))</x:f>
      </x:c>
      <x:c r="AG90" s="38" t="str">
        <x:f>IF($A90="","",IF($AC90="BLOQUEADA",0,ROUND(($AA90*Scoring_Weights!$C$31+$AB90*Scoring_Weights!$C$32+$K90*Scoring_Weights!$C$33)*20,1)))</x:f>
      </x:c>
      <x:c r="AH90" s="38" t="str">
        <x:f>IF($A90="","",IF($AC90="BLOQUEADA",0,MIN(10,IF(OR($O90&gt;=4,$P90&gt;=4),2,0)+IF($Q90&gt;=4,2,0)+IF($R90&gt;=4,2,0)+IF($U90&gt;=4,2,0)+IF($T90&gt;=4,1,0)+IF($V90&gt;=4,1,0))))</x:f>
      </x:c>
      <x:c r="AI90" s="38" t="str">
        <x:f>IF($A90="","",IF($AC90="BLOQUEADA",0,ROUND((MAX(0,5-$K90)+MAX(0,5-$AA90)+IF($I90="Ambigua",2,0)+IF($J90="Posible",2,0))*2,1)))</x:f>
      </x:c>
      <x:c r="AJ90" s="38" t="str">
        <x:f>IF($A90="","",IF($AC90="BLOQUEADA",0,ROUND($AD90*Scoring_Weights!$C$2+$AE90*Scoring_Weights!$C$3+$AF90*Scoring_Weights!$C$4+$AG90*Scoring_Weights!$C$5+$AH90*Scoring_Weights!$C$6-$AI90*Scoring_Weights!$C$7,1)))</x:f>
      </x:c>
      <x:c r="AK90" s="36" t="str">
        <x:f>IF($AC90&lt;&gt;"ELEGIBLE","",COUNTIFS($AC$2:$AC$101,"ELEGIBLE",$AJ$2:$AJ$101,"&gt;"&amp;$AJ90)+COUNTIFS($AC$2:$AC90,"ELEGIBLE",$AJ$2:$AJ90,$AJ90))</x:f>
      </x:c>
      <x:c r="AL90" s="23" t="str">
        <x:f>IF($A90="","",IF($AC90="BLOQUEADA","No seleccionable",IF($AC90="REVISIÓN","Revisión previa",IF($AK90&lt;=8,"Primaria propuesta","Contexto / backlog"))))</x:f>
      </x:c>
      <x:c r="AM90" s="23" t="str">
        <x:f>IF($A90="","",IF(MAX($O90,$P90)&gt;=MAX($Q90,$R90,$T90,$U90,$W90),"Transformación/OLC",IF(MAX($Q90,$R90)&gt;=MAX($T90,$U90,$W90),"Handoff/Flujo",IF(MAX($T90,$U90,$V90,$W90)&gt;=3,"Capacidad/Compensación","Contexto/PM"))))</x:f>
      </x:c>
      <x:c r="AN90" s="23"/>
      <x:c r="AO90" s="23" t="str">
        <x:f>IF($A90="","",IF($AN90="Forzar primaria","Primaria forzada",IF($AN90="Excluir","Excluida",IF($AN90="Revisión","Revisión previa",$AL90))))</x:f>
      </x:c>
      <x:c r="AP90" s="23" t="str">
        <x:f>IF($A90="","",IF($AC90="BLOQUEADA","Gate duro",IF($AD90&gt;=MAX($AE90,$AF90,$AG90),"Potencial MMABP",IF($AE90&gt;=MAX($AD90,$AF90,$AG90),"Fricción/variedad",IF($AF90&gt;=MAX($AD90,$AE90,$AG90),"Cobertura","Evidencia/feasibilidad")))))</x:f>
      </x:c>
      <x:c r="AQ90" s="23" t="str">
        <x:f>IF($A90="","",IF(LEFT($AO90,8)="Primaria",IF($AE90&gt;=75,"40+20 probable",IF($AD90&gt;=75,"40 base + causales selectivas","40 base + probes mínimos")),"No abre Runtime profundo"))</x:f>
      </x:c>
      <x:c r="AR90" s="23" t="str">
        <x:f>IF($A90="","",IF($AC90="BLOQUEADA","Corregir WorkMap/B0 antes de selección",IF($AC90="REVISIÓN","Microconfirmación B0 o resolución semántica",IF($AO90="Contexto / backlog","Conservar como contexto total","Enviar a Runtime"))))</x:f>
      </x:c>
      <x:c r="AS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  <x:c r="AA91" s="36"/>
      <x:c r="AB91" s="36"/>
      <x:c r="AC91" s="23" t="str">
        <x:f>IF($A91="","",IF(OR($G91&lt;&gt;"Sí",$H91&lt;&gt;"Sí",$I91&lt;&gt;"Correcta",$J91="Sí",$K91&lt;2),"BLOQUEADA",IF(OR($J91="Posible",$K91&lt;3,$L91&lt;2),"REVISIÓN","ELEGIBLE")))</x:f>
      </x:c>
      <x:c r="AD91" s="38" t="str">
        <x:f>IF($A91="","",IF($AC91="BLOQUEADA",0,ROUND(($L91*Scoring_Weights!$C$9+$M91*Scoring_Weights!$C$10+$N91*Scoring_Weights!$C$11+$O91*Scoring_Weights!$C$12+$P91*Scoring_Weights!$C$13+$Q91*Scoring_Weights!$C$14+$R91*Scoring_Weights!$C$15+$X91*Scoring_Weights!$C$16+$AB91*Scoring_Weights!$C$17)*20,1)))</x:f>
      </x:c>
      <x:c r="AE91" s="38" t="str">
        <x:f>IF($A91="","",IF($AC91="BLOQUEADA",0,ROUND(($Q91*Scoring_Weights!$C$19+$R91*Scoring_Weights!$C$20+$S91*Scoring_Weights!$C$21+$T91*Scoring_Weights!$C$22+$U91*Scoring_Weights!$C$23+$V91*Scoring_Weights!$C$24+$W91*Scoring_Weights!$C$25)*20,1)))</x:f>
      </x:c>
      <x:c r="AF91" s="38" t="str">
        <x:f>IF($A91="","",IF($AC91="BLOQUEADA",0,ROUND(($Z91*Scoring_Weights!$C$27+$Y91*Scoring_Weights!$C$28+$X91*Scoring_Weights!$C$29)*20,1)))</x:f>
      </x:c>
      <x:c r="AG91" s="38" t="str">
        <x:f>IF($A91="","",IF($AC91="BLOQUEADA",0,ROUND(($AA91*Scoring_Weights!$C$31+$AB91*Scoring_Weights!$C$32+$K91*Scoring_Weights!$C$33)*20,1)))</x:f>
      </x:c>
      <x:c r="AH91" s="38" t="str">
        <x:f>IF($A91="","",IF($AC91="BLOQUEADA",0,MIN(10,IF(OR($O91&gt;=4,$P91&gt;=4),2,0)+IF($Q91&gt;=4,2,0)+IF($R91&gt;=4,2,0)+IF($U91&gt;=4,2,0)+IF($T91&gt;=4,1,0)+IF($V91&gt;=4,1,0))))</x:f>
      </x:c>
      <x:c r="AI91" s="38" t="str">
        <x:f>IF($A91="","",IF($AC91="BLOQUEADA",0,ROUND((MAX(0,5-$K91)+MAX(0,5-$AA91)+IF($I91="Ambigua",2,0)+IF($J91="Posible",2,0))*2,1)))</x:f>
      </x:c>
      <x:c r="AJ91" s="38" t="str">
        <x:f>IF($A91="","",IF($AC91="BLOQUEADA",0,ROUND($AD91*Scoring_Weights!$C$2+$AE91*Scoring_Weights!$C$3+$AF91*Scoring_Weights!$C$4+$AG91*Scoring_Weights!$C$5+$AH91*Scoring_Weights!$C$6-$AI91*Scoring_Weights!$C$7,1)))</x:f>
      </x:c>
      <x:c r="AK91" s="36" t="str">
        <x:f>IF($AC91&lt;&gt;"ELEGIBLE","",COUNTIFS($AC$2:$AC$101,"ELEGIBLE",$AJ$2:$AJ$101,"&gt;"&amp;$AJ91)+COUNTIFS($AC$2:$AC91,"ELEGIBLE",$AJ$2:$AJ91,$AJ91))</x:f>
      </x:c>
      <x:c r="AL91" s="23" t="str">
        <x:f>IF($A91="","",IF($AC91="BLOQUEADA","No seleccionable",IF($AC91="REVISIÓN","Revisión previa",IF($AK91&lt;=8,"Primaria propuesta","Contexto / backlog"))))</x:f>
      </x:c>
      <x:c r="AM91" s="23" t="str">
        <x:f>IF($A91="","",IF(MAX($O91,$P91)&gt;=MAX($Q91,$R91,$T91,$U91,$W91),"Transformación/OLC",IF(MAX($Q91,$R91)&gt;=MAX($T91,$U91,$W91),"Handoff/Flujo",IF(MAX($T91,$U91,$V91,$W91)&gt;=3,"Capacidad/Compensación","Contexto/PM"))))</x:f>
      </x:c>
      <x:c r="AN91" s="23"/>
      <x:c r="AO91" s="23" t="str">
        <x:f>IF($A91="","",IF($AN91="Forzar primaria","Primaria forzada",IF($AN91="Excluir","Excluida",IF($AN91="Revisión","Revisión previa",$AL91))))</x:f>
      </x:c>
      <x:c r="AP91" s="23" t="str">
        <x:f>IF($A91="","",IF($AC91="BLOQUEADA","Gate duro",IF($AD91&gt;=MAX($AE91,$AF91,$AG91),"Potencial MMABP",IF($AE91&gt;=MAX($AD91,$AF91,$AG91),"Fricción/variedad",IF($AF91&gt;=MAX($AD91,$AE91,$AG91),"Cobertura","Evidencia/feasibilidad")))))</x:f>
      </x:c>
      <x:c r="AQ91" s="23" t="str">
        <x:f>IF($A91="","",IF(LEFT($AO91,8)="Primaria",IF($AE91&gt;=75,"40+20 probable",IF($AD91&gt;=75,"40 base + causales selectivas","40 base + probes mínimos")),"No abre Runtime profundo"))</x:f>
      </x:c>
      <x:c r="AR91" s="23" t="str">
        <x:f>IF($A91="","",IF($AC91="BLOQUEADA","Corregir WorkMap/B0 antes de selección",IF($AC91="REVISIÓN","Microconfirmación B0 o resolución semántica",IF($AO91="Contexto / backlog","Conservar como contexto total","Enviar a Runtime"))))</x:f>
      </x:c>
      <x:c r="AS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  <x:c r="AA92" s="36"/>
      <x:c r="AB92" s="36"/>
      <x:c r="AC92" s="23" t="str">
        <x:f>IF($A92="","",IF(OR($G92&lt;&gt;"Sí",$H92&lt;&gt;"Sí",$I92&lt;&gt;"Correcta",$J92="Sí",$K92&lt;2),"BLOQUEADA",IF(OR($J92="Posible",$K92&lt;3,$L92&lt;2),"REVISIÓN","ELEGIBLE")))</x:f>
      </x:c>
      <x:c r="AD92" s="38" t="str">
        <x:f>IF($A92="","",IF($AC92="BLOQUEADA",0,ROUND(($L92*Scoring_Weights!$C$9+$M92*Scoring_Weights!$C$10+$N92*Scoring_Weights!$C$11+$O92*Scoring_Weights!$C$12+$P92*Scoring_Weights!$C$13+$Q92*Scoring_Weights!$C$14+$R92*Scoring_Weights!$C$15+$X92*Scoring_Weights!$C$16+$AB92*Scoring_Weights!$C$17)*20,1)))</x:f>
      </x:c>
      <x:c r="AE92" s="38" t="str">
        <x:f>IF($A92="","",IF($AC92="BLOQUEADA",0,ROUND(($Q92*Scoring_Weights!$C$19+$R92*Scoring_Weights!$C$20+$S92*Scoring_Weights!$C$21+$T92*Scoring_Weights!$C$22+$U92*Scoring_Weights!$C$23+$V92*Scoring_Weights!$C$24+$W92*Scoring_Weights!$C$25)*20,1)))</x:f>
      </x:c>
      <x:c r="AF92" s="38" t="str">
        <x:f>IF($A92="","",IF($AC92="BLOQUEADA",0,ROUND(($Z92*Scoring_Weights!$C$27+$Y92*Scoring_Weights!$C$28+$X92*Scoring_Weights!$C$29)*20,1)))</x:f>
      </x:c>
      <x:c r="AG92" s="38" t="str">
        <x:f>IF($A92="","",IF($AC92="BLOQUEADA",0,ROUND(($AA92*Scoring_Weights!$C$31+$AB92*Scoring_Weights!$C$32+$K92*Scoring_Weights!$C$33)*20,1)))</x:f>
      </x:c>
      <x:c r="AH92" s="38" t="str">
        <x:f>IF($A92="","",IF($AC92="BLOQUEADA",0,MIN(10,IF(OR($O92&gt;=4,$P92&gt;=4),2,0)+IF($Q92&gt;=4,2,0)+IF($R92&gt;=4,2,0)+IF($U92&gt;=4,2,0)+IF($T92&gt;=4,1,0)+IF($V92&gt;=4,1,0))))</x:f>
      </x:c>
      <x:c r="AI92" s="38" t="str">
        <x:f>IF($A92="","",IF($AC92="BLOQUEADA",0,ROUND((MAX(0,5-$K92)+MAX(0,5-$AA92)+IF($I92="Ambigua",2,0)+IF($J92="Posible",2,0))*2,1)))</x:f>
      </x:c>
      <x:c r="AJ92" s="38" t="str">
        <x:f>IF($A92="","",IF($AC92="BLOQUEADA",0,ROUND($AD92*Scoring_Weights!$C$2+$AE92*Scoring_Weights!$C$3+$AF92*Scoring_Weights!$C$4+$AG92*Scoring_Weights!$C$5+$AH92*Scoring_Weights!$C$6-$AI92*Scoring_Weights!$C$7,1)))</x:f>
      </x:c>
      <x:c r="AK92" s="36" t="str">
        <x:f>IF($AC92&lt;&gt;"ELEGIBLE","",COUNTIFS($AC$2:$AC$101,"ELEGIBLE",$AJ$2:$AJ$101,"&gt;"&amp;$AJ92)+COUNTIFS($AC$2:$AC92,"ELEGIBLE",$AJ$2:$AJ92,$AJ92))</x:f>
      </x:c>
      <x:c r="AL92" s="23" t="str">
        <x:f>IF($A92="","",IF($AC92="BLOQUEADA","No seleccionable",IF($AC92="REVISIÓN","Revisión previa",IF($AK92&lt;=8,"Primaria propuesta","Contexto / backlog"))))</x:f>
      </x:c>
      <x:c r="AM92" s="23" t="str">
        <x:f>IF($A92="","",IF(MAX($O92,$P92)&gt;=MAX($Q92,$R92,$T92,$U92,$W92),"Transformación/OLC",IF(MAX($Q92,$R92)&gt;=MAX($T92,$U92,$W92),"Handoff/Flujo",IF(MAX($T92,$U92,$V92,$W92)&gt;=3,"Capacidad/Compensación","Contexto/PM"))))</x:f>
      </x:c>
      <x:c r="AN92" s="23"/>
      <x:c r="AO92" s="23" t="str">
        <x:f>IF($A92="","",IF($AN92="Forzar primaria","Primaria forzada",IF($AN92="Excluir","Excluida",IF($AN92="Revisión","Revisión previa",$AL92))))</x:f>
      </x:c>
      <x:c r="AP92" s="23" t="str">
        <x:f>IF($A92="","",IF($AC92="BLOQUEADA","Gate duro",IF($AD92&gt;=MAX($AE92,$AF92,$AG92),"Potencial MMABP",IF($AE92&gt;=MAX($AD92,$AF92,$AG92),"Fricción/variedad",IF($AF92&gt;=MAX($AD92,$AE92,$AG92),"Cobertura","Evidencia/feasibilidad")))))</x:f>
      </x:c>
      <x:c r="AQ92" s="23" t="str">
        <x:f>IF($A92="","",IF(LEFT($AO92,8)="Primaria",IF($AE92&gt;=75,"40+20 probable",IF($AD92&gt;=75,"40 base + causales selectivas","40 base + probes mínimos")),"No abre Runtime profundo"))</x:f>
      </x:c>
      <x:c r="AR92" s="23" t="str">
        <x:f>IF($A92="","",IF($AC92="BLOQUEADA","Corregir WorkMap/B0 antes de selección",IF($AC92="REVISIÓN","Microconfirmación B0 o resolución semántica",IF($AO92="Contexto / backlog","Conservar como contexto total","Enviar a Runtime"))))</x:f>
      </x:c>
      <x:c r="AS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  <x:c r="AA93" s="36"/>
      <x:c r="AB93" s="36"/>
      <x:c r="AC93" s="23" t="str">
        <x:f>IF($A93="","",IF(OR($G93&lt;&gt;"Sí",$H93&lt;&gt;"Sí",$I93&lt;&gt;"Correcta",$J93="Sí",$K93&lt;2),"BLOQUEADA",IF(OR($J93="Posible",$K93&lt;3,$L93&lt;2),"REVISIÓN","ELEGIBLE")))</x:f>
      </x:c>
      <x:c r="AD93" s="38" t="str">
        <x:f>IF($A93="","",IF($AC93="BLOQUEADA",0,ROUND(($L93*Scoring_Weights!$C$9+$M93*Scoring_Weights!$C$10+$N93*Scoring_Weights!$C$11+$O93*Scoring_Weights!$C$12+$P93*Scoring_Weights!$C$13+$Q93*Scoring_Weights!$C$14+$R93*Scoring_Weights!$C$15+$X93*Scoring_Weights!$C$16+$AB93*Scoring_Weights!$C$17)*20,1)))</x:f>
      </x:c>
      <x:c r="AE93" s="38" t="str">
        <x:f>IF($A93="","",IF($AC93="BLOQUEADA",0,ROUND(($Q93*Scoring_Weights!$C$19+$R93*Scoring_Weights!$C$20+$S93*Scoring_Weights!$C$21+$T93*Scoring_Weights!$C$22+$U93*Scoring_Weights!$C$23+$V93*Scoring_Weights!$C$24+$W93*Scoring_Weights!$C$25)*20,1)))</x:f>
      </x:c>
      <x:c r="AF93" s="38" t="str">
        <x:f>IF($A93="","",IF($AC93="BLOQUEADA",0,ROUND(($Z93*Scoring_Weights!$C$27+$Y93*Scoring_Weights!$C$28+$X93*Scoring_Weights!$C$29)*20,1)))</x:f>
      </x:c>
      <x:c r="AG93" s="38" t="str">
        <x:f>IF($A93="","",IF($AC93="BLOQUEADA",0,ROUND(($AA93*Scoring_Weights!$C$31+$AB93*Scoring_Weights!$C$32+$K93*Scoring_Weights!$C$33)*20,1)))</x:f>
      </x:c>
      <x:c r="AH93" s="38" t="str">
        <x:f>IF($A93="","",IF($AC93="BLOQUEADA",0,MIN(10,IF(OR($O93&gt;=4,$P93&gt;=4),2,0)+IF($Q93&gt;=4,2,0)+IF($R93&gt;=4,2,0)+IF($U93&gt;=4,2,0)+IF($T93&gt;=4,1,0)+IF($V93&gt;=4,1,0))))</x:f>
      </x:c>
      <x:c r="AI93" s="38" t="str">
        <x:f>IF($A93="","",IF($AC93="BLOQUEADA",0,ROUND((MAX(0,5-$K93)+MAX(0,5-$AA93)+IF($I93="Ambigua",2,0)+IF($J93="Posible",2,0))*2,1)))</x:f>
      </x:c>
      <x:c r="AJ93" s="38" t="str">
        <x:f>IF($A93="","",IF($AC93="BLOQUEADA",0,ROUND($AD93*Scoring_Weights!$C$2+$AE93*Scoring_Weights!$C$3+$AF93*Scoring_Weights!$C$4+$AG93*Scoring_Weights!$C$5+$AH93*Scoring_Weights!$C$6-$AI93*Scoring_Weights!$C$7,1)))</x:f>
      </x:c>
      <x:c r="AK93" s="36" t="str">
        <x:f>IF($AC93&lt;&gt;"ELEGIBLE","",COUNTIFS($AC$2:$AC$101,"ELEGIBLE",$AJ$2:$AJ$101,"&gt;"&amp;$AJ93)+COUNTIFS($AC$2:$AC93,"ELEGIBLE",$AJ$2:$AJ93,$AJ93))</x:f>
      </x:c>
      <x:c r="AL93" s="23" t="str">
        <x:f>IF($A93="","",IF($AC93="BLOQUEADA","No seleccionable",IF($AC93="REVISIÓN","Revisión previa",IF($AK93&lt;=8,"Primaria propuesta","Contexto / backlog"))))</x:f>
      </x:c>
      <x:c r="AM93" s="23" t="str">
        <x:f>IF($A93="","",IF(MAX($O93,$P93)&gt;=MAX($Q93,$R93,$T93,$U93,$W93),"Transformación/OLC",IF(MAX($Q93,$R93)&gt;=MAX($T93,$U93,$W93),"Handoff/Flujo",IF(MAX($T93,$U93,$V93,$W93)&gt;=3,"Capacidad/Compensación","Contexto/PM"))))</x:f>
      </x:c>
      <x:c r="AN93" s="23"/>
      <x:c r="AO93" s="23" t="str">
        <x:f>IF($A93="","",IF($AN93="Forzar primaria","Primaria forzada",IF($AN93="Excluir","Excluida",IF($AN93="Revisión","Revisión previa",$AL93))))</x:f>
      </x:c>
      <x:c r="AP93" s="23" t="str">
        <x:f>IF($A93="","",IF($AC93="BLOQUEADA","Gate duro",IF($AD93&gt;=MAX($AE93,$AF93,$AG93),"Potencial MMABP",IF($AE93&gt;=MAX($AD93,$AF93,$AG93),"Fricción/variedad",IF($AF93&gt;=MAX($AD93,$AE93,$AG93),"Cobertura","Evidencia/feasibilidad")))))</x:f>
      </x:c>
      <x:c r="AQ93" s="23" t="str">
        <x:f>IF($A93="","",IF(LEFT($AO93,8)="Primaria",IF($AE93&gt;=75,"40+20 probable",IF($AD93&gt;=75,"40 base + causales selectivas","40 base + probes mínimos")),"No abre Runtime profundo"))</x:f>
      </x:c>
      <x:c r="AR93" s="23" t="str">
        <x:f>IF($A93="","",IF($AC93="BLOQUEADA","Corregir WorkMap/B0 antes de selección",IF($AC93="REVISIÓN","Microconfirmación B0 o resolución semántica",IF($AO93="Contexto / backlog","Conservar como contexto total","Enviar a Runtime"))))</x:f>
      </x:c>
      <x:c r="AS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  <x:c r="AA94" s="36"/>
      <x:c r="AB94" s="36"/>
      <x:c r="AC94" s="23" t="str">
        <x:f>IF($A94="","",IF(OR($G94&lt;&gt;"Sí",$H94&lt;&gt;"Sí",$I94&lt;&gt;"Correcta",$J94="Sí",$K94&lt;2),"BLOQUEADA",IF(OR($J94="Posible",$K94&lt;3,$L94&lt;2),"REVISIÓN","ELEGIBLE")))</x:f>
      </x:c>
      <x:c r="AD94" s="38" t="str">
        <x:f>IF($A94="","",IF($AC94="BLOQUEADA",0,ROUND(($L94*Scoring_Weights!$C$9+$M94*Scoring_Weights!$C$10+$N94*Scoring_Weights!$C$11+$O94*Scoring_Weights!$C$12+$P94*Scoring_Weights!$C$13+$Q94*Scoring_Weights!$C$14+$R94*Scoring_Weights!$C$15+$X94*Scoring_Weights!$C$16+$AB94*Scoring_Weights!$C$17)*20,1)))</x:f>
      </x:c>
      <x:c r="AE94" s="38" t="str">
        <x:f>IF($A94="","",IF($AC94="BLOQUEADA",0,ROUND(($Q94*Scoring_Weights!$C$19+$R94*Scoring_Weights!$C$20+$S94*Scoring_Weights!$C$21+$T94*Scoring_Weights!$C$22+$U94*Scoring_Weights!$C$23+$V94*Scoring_Weights!$C$24+$W94*Scoring_Weights!$C$25)*20,1)))</x:f>
      </x:c>
      <x:c r="AF94" s="38" t="str">
        <x:f>IF($A94="","",IF($AC94="BLOQUEADA",0,ROUND(($Z94*Scoring_Weights!$C$27+$Y94*Scoring_Weights!$C$28+$X94*Scoring_Weights!$C$29)*20,1)))</x:f>
      </x:c>
      <x:c r="AG94" s="38" t="str">
        <x:f>IF($A94="","",IF($AC94="BLOQUEADA",0,ROUND(($AA94*Scoring_Weights!$C$31+$AB94*Scoring_Weights!$C$32+$K94*Scoring_Weights!$C$33)*20,1)))</x:f>
      </x:c>
      <x:c r="AH94" s="38" t="str">
        <x:f>IF($A94="","",IF($AC94="BLOQUEADA",0,MIN(10,IF(OR($O94&gt;=4,$P94&gt;=4),2,0)+IF($Q94&gt;=4,2,0)+IF($R94&gt;=4,2,0)+IF($U94&gt;=4,2,0)+IF($T94&gt;=4,1,0)+IF($V94&gt;=4,1,0))))</x:f>
      </x:c>
      <x:c r="AI94" s="38" t="str">
        <x:f>IF($A94="","",IF($AC94="BLOQUEADA",0,ROUND((MAX(0,5-$K94)+MAX(0,5-$AA94)+IF($I94="Ambigua",2,0)+IF($J94="Posible",2,0))*2,1)))</x:f>
      </x:c>
      <x:c r="AJ94" s="38" t="str">
        <x:f>IF($A94="","",IF($AC94="BLOQUEADA",0,ROUND($AD94*Scoring_Weights!$C$2+$AE94*Scoring_Weights!$C$3+$AF94*Scoring_Weights!$C$4+$AG94*Scoring_Weights!$C$5+$AH94*Scoring_Weights!$C$6-$AI94*Scoring_Weights!$C$7,1)))</x:f>
      </x:c>
      <x:c r="AK94" s="36" t="str">
        <x:f>IF($AC94&lt;&gt;"ELEGIBLE","",COUNTIFS($AC$2:$AC$101,"ELEGIBLE",$AJ$2:$AJ$101,"&gt;"&amp;$AJ94)+COUNTIFS($AC$2:$AC94,"ELEGIBLE",$AJ$2:$AJ94,$AJ94))</x:f>
      </x:c>
      <x:c r="AL94" s="23" t="str">
        <x:f>IF($A94="","",IF($AC94="BLOQUEADA","No seleccionable",IF($AC94="REVISIÓN","Revisión previa",IF($AK94&lt;=8,"Primaria propuesta","Contexto / backlog"))))</x:f>
      </x:c>
      <x:c r="AM94" s="23" t="str">
        <x:f>IF($A94="","",IF(MAX($O94,$P94)&gt;=MAX($Q94,$R94,$T94,$U94,$W94),"Transformación/OLC",IF(MAX($Q94,$R94)&gt;=MAX($T94,$U94,$W94),"Handoff/Flujo",IF(MAX($T94,$U94,$V94,$W94)&gt;=3,"Capacidad/Compensación","Contexto/PM"))))</x:f>
      </x:c>
      <x:c r="AN94" s="23"/>
      <x:c r="AO94" s="23" t="str">
        <x:f>IF($A94="","",IF($AN94="Forzar primaria","Primaria forzada",IF($AN94="Excluir","Excluida",IF($AN94="Revisión","Revisión previa",$AL94))))</x:f>
      </x:c>
      <x:c r="AP94" s="23" t="str">
        <x:f>IF($A94="","",IF($AC94="BLOQUEADA","Gate duro",IF($AD94&gt;=MAX($AE94,$AF94,$AG94),"Potencial MMABP",IF($AE94&gt;=MAX($AD94,$AF94,$AG94),"Fricción/variedad",IF($AF94&gt;=MAX($AD94,$AE94,$AG94),"Cobertura","Evidencia/feasibilidad")))))</x:f>
      </x:c>
      <x:c r="AQ94" s="23" t="str">
        <x:f>IF($A94="","",IF(LEFT($AO94,8)="Primaria",IF($AE94&gt;=75,"40+20 probable",IF($AD94&gt;=75,"40 base + causales selectivas","40 base + probes mínimos")),"No abre Runtime profundo"))</x:f>
      </x:c>
      <x:c r="AR94" s="23" t="str">
        <x:f>IF($A94="","",IF($AC94="BLOQUEADA","Corregir WorkMap/B0 antes de selección",IF($AC94="REVISIÓN","Microconfirmación B0 o resolución semántica",IF($AO94="Contexto / backlog","Conservar como contexto total","Enviar a Runtime"))))</x:f>
      </x:c>
      <x:c r="AS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  <x:c r="AA95" s="36"/>
      <x:c r="AB95" s="36"/>
      <x:c r="AC95" s="23" t="str">
        <x:f>IF($A95="","",IF(OR($G95&lt;&gt;"Sí",$H95&lt;&gt;"Sí",$I95&lt;&gt;"Correcta",$J95="Sí",$K95&lt;2),"BLOQUEADA",IF(OR($J95="Posible",$K95&lt;3,$L95&lt;2),"REVISIÓN","ELEGIBLE")))</x:f>
      </x:c>
      <x:c r="AD95" s="38" t="str">
        <x:f>IF($A95="","",IF($AC95="BLOQUEADA",0,ROUND(($L95*Scoring_Weights!$C$9+$M95*Scoring_Weights!$C$10+$N95*Scoring_Weights!$C$11+$O95*Scoring_Weights!$C$12+$P95*Scoring_Weights!$C$13+$Q95*Scoring_Weights!$C$14+$R95*Scoring_Weights!$C$15+$X95*Scoring_Weights!$C$16+$AB95*Scoring_Weights!$C$17)*20,1)))</x:f>
      </x:c>
      <x:c r="AE95" s="38" t="str">
        <x:f>IF($A95="","",IF($AC95="BLOQUEADA",0,ROUND(($Q95*Scoring_Weights!$C$19+$R95*Scoring_Weights!$C$20+$S95*Scoring_Weights!$C$21+$T95*Scoring_Weights!$C$22+$U95*Scoring_Weights!$C$23+$V95*Scoring_Weights!$C$24+$W95*Scoring_Weights!$C$25)*20,1)))</x:f>
      </x:c>
      <x:c r="AF95" s="38" t="str">
        <x:f>IF($A95="","",IF($AC95="BLOQUEADA",0,ROUND(($Z95*Scoring_Weights!$C$27+$Y95*Scoring_Weights!$C$28+$X95*Scoring_Weights!$C$29)*20,1)))</x:f>
      </x:c>
      <x:c r="AG95" s="38" t="str">
        <x:f>IF($A95="","",IF($AC95="BLOQUEADA",0,ROUND(($AA95*Scoring_Weights!$C$31+$AB95*Scoring_Weights!$C$32+$K95*Scoring_Weights!$C$33)*20,1)))</x:f>
      </x:c>
      <x:c r="AH95" s="38" t="str">
        <x:f>IF($A95="","",IF($AC95="BLOQUEADA",0,MIN(10,IF(OR($O95&gt;=4,$P95&gt;=4),2,0)+IF($Q95&gt;=4,2,0)+IF($R95&gt;=4,2,0)+IF($U95&gt;=4,2,0)+IF($T95&gt;=4,1,0)+IF($V95&gt;=4,1,0))))</x:f>
      </x:c>
      <x:c r="AI95" s="38" t="str">
        <x:f>IF($A95="","",IF($AC95="BLOQUEADA",0,ROUND((MAX(0,5-$K95)+MAX(0,5-$AA95)+IF($I95="Ambigua",2,0)+IF($J95="Posible",2,0))*2,1)))</x:f>
      </x:c>
      <x:c r="AJ95" s="38" t="str">
        <x:f>IF($A95="","",IF($AC95="BLOQUEADA",0,ROUND($AD95*Scoring_Weights!$C$2+$AE95*Scoring_Weights!$C$3+$AF95*Scoring_Weights!$C$4+$AG95*Scoring_Weights!$C$5+$AH95*Scoring_Weights!$C$6-$AI95*Scoring_Weights!$C$7,1)))</x:f>
      </x:c>
      <x:c r="AK95" s="36" t="str">
        <x:f>IF($AC95&lt;&gt;"ELEGIBLE","",COUNTIFS($AC$2:$AC$101,"ELEGIBLE",$AJ$2:$AJ$101,"&gt;"&amp;$AJ95)+COUNTIFS($AC$2:$AC95,"ELEGIBLE",$AJ$2:$AJ95,$AJ95))</x:f>
      </x:c>
      <x:c r="AL95" s="23" t="str">
        <x:f>IF($A95="","",IF($AC95="BLOQUEADA","No seleccionable",IF($AC95="REVISIÓN","Revisión previa",IF($AK95&lt;=8,"Primaria propuesta","Contexto / backlog"))))</x:f>
      </x:c>
      <x:c r="AM95" s="23" t="str">
        <x:f>IF($A95="","",IF(MAX($O95,$P95)&gt;=MAX($Q95,$R95,$T95,$U95,$W95),"Transformación/OLC",IF(MAX($Q95,$R95)&gt;=MAX($T95,$U95,$W95),"Handoff/Flujo",IF(MAX($T95,$U95,$V95,$W95)&gt;=3,"Capacidad/Compensación","Contexto/PM"))))</x:f>
      </x:c>
      <x:c r="AN95" s="23"/>
      <x:c r="AO95" s="23" t="str">
        <x:f>IF($A95="","",IF($AN95="Forzar primaria","Primaria forzada",IF($AN95="Excluir","Excluida",IF($AN95="Revisión","Revisión previa",$AL95))))</x:f>
      </x:c>
      <x:c r="AP95" s="23" t="str">
        <x:f>IF($A95="","",IF($AC95="BLOQUEADA","Gate duro",IF($AD95&gt;=MAX($AE95,$AF95,$AG95),"Potencial MMABP",IF($AE95&gt;=MAX($AD95,$AF95,$AG95),"Fricción/variedad",IF($AF95&gt;=MAX($AD95,$AE95,$AG95),"Cobertura","Evidencia/feasibilidad")))))</x:f>
      </x:c>
      <x:c r="AQ95" s="23" t="str">
        <x:f>IF($A95="","",IF(LEFT($AO95,8)="Primaria",IF($AE95&gt;=75,"40+20 probable",IF($AD95&gt;=75,"40 base + causales selectivas","40 base + probes mínimos")),"No abre Runtime profundo"))</x:f>
      </x:c>
      <x:c r="AR95" s="23" t="str">
        <x:f>IF($A95="","",IF($AC95="BLOQUEADA","Corregir WorkMap/B0 antes de selección",IF($AC95="REVISIÓN","Microconfirmación B0 o resolución semántica",IF($AO95="Contexto / backlog","Conservar como contexto total","Enviar a Runtime"))))</x:f>
      </x:c>
      <x:c r="AS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  <x:c r="AA96" s="36"/>
      <x:c r="AB96" s="36"/>
      <x:c r="AC96" s="23" t="str">
        <x:f>IF($A96="","",IF(OR($G96&lt;&gt;"Sí",$H96&lt;&gt;"Sí",$I96&lt;&gt;"Correcta",$J96="Sí",$K96&lt;2),"BLOQUEADA",IF(OR($J96="Posible",$K96&lt;3,$L96&lt;2),"REVISIÓN","ELEGIBLE")))</x:f>
      </x:c>
      <x:c r="AD96" s="38" t="str">
        <x:f>IF($A96="","",IF($AC96="BLOQUEADA",0,ROUND(($L96*Scoring_Weights!$C$9+$M96*Scoring_Weights!$C$10+$N96*Scoring_Weights!$C$11+$O96*Scoring_Weights!$C$12+$P96*Scoring_Weights!$C$13+$Q96*Scoring_Weights!$C$14+$R96*Scoring_Weights!$C$15+$X96*Scoring_Weights!$C$16+$AB96*Scoring_Weights!$C$17)*20,1)))</x:f>
      </x:c>
      <x:c r="AE96" s="38" t="str">
        <x:f>IF($A96="","",IF($AC96="BLOQUEADA",0,ROUND(($Q96*Scoring_Weights!$C$19+$R96*Scoring_Weights!$C$20+$S96*Scoring_Weights!$C$21+$T96*Scoring_Weights!$C$22+$U96*Scoring_Weights!$C$23+$V96*Scoring_Weights!$C$24+$W96*Scoring_Weights!$C$25)*20,1)))</x:f>
      </x:c>
      <x:c r="AF96" s="38" t="str">
        <x:f>IF($A96="","",IF($AC96="BLOQUEADA",0,ROUND(($Z96*Scoring_Weights!$C$27+$Y96*Scoring_Weights!$C$28+$X96*Scoring_Weights!$C$29)*20,1)))</x:f>
      </x:c>
      <x:c r="AG96" s="38" t="str">
        <x:f>IF($A96="","",IF($AC96="BLOQUEADA",0,ROUND(($AA96*Scoring_Weights!$C$31+$AB96*Scoring_Weights!$C$32+$K96*Scoring_Weights!$C$33)*20,1)))</x:f>
      </x:c>
      <x:c r="AH96" s="38" t="str">
        <x:f>IF($A96="","",IF($AC96="BLOQUEADA",0,MIN(10,IF(OR($O96&gt;=4,$P96&gt;=4),2,0)+IF($Q96&gt;=4,2,0)+IF($R96&gt;=4,2,0)+IF($U96&gt;=4,2,0)+IF($T96&gt;=4,1,0)+IF($V96&gt;=4,1,0))))</x:f>
      </x:c>
      <x:c r="AI96" s="38" t="str">
        <x:f>IF($A96="","",IF($AC96="BLOQUEADA",0,ROUND((MAX(0,5-$K96)+MAX(0,5-$AA96)+IF($I96="Ambigua",2,0)+IF($J96="Posible",2,0))*2,1)))</x:f>
      </x:c>
      <x:c r="AJ96" s="38" t="str">
        <x:f>IF($A96="","",IF($AC96="BLOQUEADA",0,ROUND($AD96*Scoring_Weights!$C$2+$AE96*Scoring_Weights!$C$3+$AF96*Scoring_Weights!$C$4+$AG96*Scoring_Weights!$C$5+$AH96*Scoring_Weights!$C$6-$AI96*Scoring_Weights!$C$7,1)))</x:f>
      </x:c>
      <x:c r="AK96" s="36" t="str">
        <x:f>IF($AC96&lt;&gt;"ELEGIBLE","",COUNTIFS($AC$2:$AC$101,"ELEGIBLE",$AJ$2:$AJ$101,"&gt;"&amp;$AJ96)+COUNTIFS($AC$2:$AC96,"ELEGIBLE",$AJ$2:$AJ96,$AJ96))</x:f>
      </x:c>
      <x:c r="AL96" s="23" t="str">
        <x:f>IF($A96="","",IF($AC96="BLOQUEADA","No seleccionable",IF($AC96="REVISIÓN","Revisión previa",IF($AK96&lt;=8,"Primaria propuesta","Contexto / backlog"))))</x:f>
      </x:c>
      <x:c r="AM96" s="23" t="str">
        <x:f>IF($A96="","",IF(MAX($O96,$P96)&gt;=MAX($Q96,$R96,$T96,$U96,$W96),"Transformación/OLC",IF(MAX($Q96,$R96)&gt;=MAX($T96,$U96,$W96),"Handoff/Flujo",IF(MAX($T96,$U96,$V96,$W96)&gt;=3,"Capacidad/Compensación","Contexto/PM"))))</x:f>
      </x:c>
      <x:c r="AN96" s="23"/>
      <x:c r="AO96" s="23" t="str">
        <x:f>IF($A96="","",IF($AN96="Forzar primaria","Primaria forzada",IF($AN96="Excluir","Excluida",IF($AN96="Revisión","Revisión previa",$AL96))))</x:f>
      </x:c>
      <x:c r="AP96" s="23" t="str">
        <x:f>IF($A96="","",IF($AC96="BLOQUEADA","Gate duro",IF($AD96&gt;=MAX($AE96,$AF96,$AG96),"Potencial MMABP",IF($AE96&gt;=MAX($AD96,$AF96,$AG96),"Fricción/variedad",IF($AF96&gt;=MAX($AD96,$AE96,$AG96),"Cobertura","Evidencia/feasibilidad")))))</x:f>
      </x:c>
      <x:c r="AQ96" s="23" t="str">
        <x:f>IF($A96="","",IF(LEFT($AO96,8)="Primaria",IF($AE96&gt;=75,"40+20 probable",IF($AD96&gt;=75,"40 base + causales selectivas","40 base + probes mínimos")),"No abre Runtime profundo"))</x:f>
      </x:c>
      <x:c r="AR96" s="23" t="str">
        <x:f>IF($A96="","",IF($AC96="BLOQUEADA","Corregir WorkMap/B0 antes de selección",IF($AC96="REVISIÓN","Microconfirmación B0 o resolución semántica",IF($AO96="Contexto / backlog","Conservar como contexto total","Enviar a Runtime"))))</x:f>
      </x:c>
      <x:c r="AS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  <x:c r="AA97" s="36"/>
      <x:c r="AB97" s="36"/>
      <x:c r="AC97" s="23" t="str">
        <x:f>IF($A97="","",IF(OR($G97&lt;&gt;"Sí",$H97&lt;&gt;"Sí",$I97&lt;&gt;"Correcta",$J97="Sí",$K97&lt;2),"BLOQUEADA",IF(OR($J97="Posible",$K97&lt;3,$L97&lt;2),"REVISIÓN","ELEGIBLE")))</x:f>
      </x:c>
      <x:c r="AD97" s="38" t="str">
        <x:f>IF($A97="","",IF($AC97="BLOQUEADA",0,ROUND(($L97*Scoring_Weights!$C$9+$M97*Scoring_Weights!$C$10+$N97*Scoring_Weights!$C$11+$O97*Scoring_Weights!$C$12+$P97*Scoring_Weights!$C$13+$Q97*Scoring_Weights!$C$14+$R97*Scoring_Weights!$C$15+$X97*Scoring_Weights!$C$16+$AB97*Scoring_Weights!$C$17)*20,1)))</x:f>
      </x:c>
      <x:c r="AE97" s="38" t="str">
        <x:f>IF($A97="","",IF($AC97="BLOQUEADA",0,ROUND(($Q97*Scoring_Weights!$C$19+$R97*Scoring_Weights!$C$20+$S97*Scoring_Weights!$C$21+$T97*Scoring_Weights!$C$22+$U97*Scoring_Weights!$C$23+$V97*Scoring_Weights!$C$24+$W97*Scoring_Weights!$C$25)*20,1)))</x:f>
      </x:c>
      <x:c r="AF97" s="38" t="str">
        <x:f>IF($A97="","",IF($AC97="BLOQUEADA",0,ROUND(($Z97*Scoring_Weights!$C$27+$Y97*Scoring_Weights!$C$28+$X97*Scoring_Weights!$C$29)*20,1)))</x:f>
      </x:c>
      <x:c r="AG97" s="38" t="str">
        <x:f>IF($A97="","",IF($AC97="BLOQUEADA",0,ROUND(($AA97*Scoring_Weights!$C$31+$AB97*Scoring_Weights!$C$32+$K97*Scoring_Weights!$C$33)*20,1)))</x:f>
      </x:c>
      <x:c r="AH97" s="38" t="str">
        <x:f>IF($A97="","",IF($AC97="BLOQUEADA",0,MIN(10,IF(OR($O97&gt;=4,$P97&gt;=4),2,0)+IF($Q97&gt;=4,2,0)+IF($R97&gt;=4,2,0)+IF($U97&gt;=4,2,0)+IF($T97&gt;=4,1,0)+IF($V97&gt;=4,1,0))))</x:f>
      </x:c>
      <x:c r="AI97" s="38" t="str">
        <x:f>IF($A97="","",IF($AC97="BLOQUEADA",0,ROUND((MAX(0,5-$K97)+MAX(0,5-$AA97)+IF($I97="Ambigua",2,0)+IF($J97="Posible",2,0))*2,1)))</x:f>
      </x:c>
      <x:c r="AJ97" s="38" t="str">
        <x:f>IF($A97="","",IF($AC97="BLOQUEADA",0,ROUND($AD97*Scoring_Weights!$C$2+$AE97*Scoring_Weights!$C$3+$AF97*Scoring_Weights!$C$4+$AG97*Scoring_Weights!$C$5+$AH97*Scoring_Weights!$C$6-$AI97*Scoring_Weights!$C$7,1)))</x:f>
      </x:c>
      <x:c r="AK97" s="36" t="str">
        <x:f>IF($AC97&lt;&gt;"ELEGIBLE","",COUNTIFS($AC$2:$AC$101,"ELEGIBLE",$AJ$2:$AJ$101,"&gt;"&amp;$AJ97)+COUNTIFS($AC$2:$AC97,"ELEGIBLE",$AJ$2:$AJ97,$AJ97))</x:f>
      </x:c>
      <x:c r="AL97" s="23" t="str">
        <x:f>IF($A97="","",IF($AC97="BLOQUEADA","No seleccionable",IF($AC97="REVISIÓN","Revisión previa",IF($AK97&lt;=8,"Primaria propuesta","Contexto / backlog"))))</x:f>
      </x:c>
      <x:c r="AM97" s="23" t="str">
        <x:f>IF($A97="","",IF(MAX($O97,$P97)&gt;=MAX($Q97,$R97,$T97,$U97,$W97),"Transformación/OLC",IF(MAX($Q97,$R97)&gt;=MAX($T97,$U97,$W97),"Handoff/Flujo",IF(MAX($T97,$U97,$V97,$W97)&gt;=3,"Capacidad/Compensación","Contexto/PM"))))</x:f>
      </x:c>
      <x:c r="AN97" s="23"/>
      <x:c r="AO97" s="23" t="str">
        <x:f>IF($A97="","",IF($AN97="Forzar primaria","Primaria forzada",IF($AN97="Excluir","Excluida",IF($AN97="Revisión","Revisión previa",$AL97))))</x:f>
      </x:c>
      <x:c r="AP97" s="23" t="str">
        <x:f>IF($A97="","",IF($AC97="BLOQUEADA","Gate duro",IF($AD97&gt;=MAX($AE97,$AF97,$AG97),"Potencial MMABP",IF($AE97&gt;=MAX($AD97,$AF97,$AG97),"Fricción/variedad",IF($AF97&gt;=MAX($AD97,$AE97,$AG97),"Cobertura","Evidencia/feasibilidad")))))</x:f>
      </x:c>
      <x:c r="AQ97" s="23" t="str">
        <x:f>IF($A97="","",IF(LEFT($AO97,8)="Primaria",IF($AE97&gt;=75,"40+20 probable",IF($AD97&gt;=75,"40 base + causales selectivas","40 base + probes mínimos")),"No abre Runtime profundo"))</x:f>
      </x:c>
      <x:c r="AR97" s="23" t="str">
        <x:f>IF($A97="","",IF($AC97="BLOQUEADA","Corregir WorkMap/B0 antes de selección",IF($AC97="REVISIÓN","Microconfirmación B0 o resolución semántica",IF($AO97="Contexto / backlog","Conservar como contexto total","Enviar a Runtime"))))</x:f>
      </x:c>
      <x:c r="AS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  <x:c r="AA98" s="36"/>
      <x:c r="AB98" s="36"/>
      <x:c r="AC98" s="23" t="str">
        <x:f>IF($A98="","",IF(OR($G98&lt;&gt;"Sí",$H98&lt;&gt;"Sí",$I98&lt;&gt;"Correcta",$J98="Sí",$K98&lt;2),"BLOQUEADA",IF(OR($J98="Posible",$K98&lt;3,$L98&lt;2),"REVISIÓN","ELEGIBLE")))</x:f>
      </x:c>
      <x:c r="AD98" s="38" t="str">
        <x:f>IF($A98="","",IF($AC98="BLOQUEADA",0,ROUND(($L98*Scoring_Weights!$C$9+$M98*Scoring_Weights!$C$10+$N98*Scoring_Weights!$C$11+$O98*Scoring_Weights!$C$12+$P98*Scoring_Weights!$C$13+$Q98*Scoring_Weights!$C$14+$R98*Scoring_Weights!$C$15+$X98*Scoring_Weights!$C$16+$AB98*Scoring_Weights!$C$17)*20,1)))</x:f>
      </x:c>
      <x:c r="AE98" s="38" t="str">
        <x:f>IF($A98="","",IF($AC98="BLOQUEADA",0,ROUND(($Q98*Scoring_Weights!$C$19+$R98*Scoring_Weights!$C$20+$S98*Scoring_Weights!$C$21+$T98*Scoring_Weights!$C$22+$U98*Scoring_Weights!$C$23+$V98*Scoring_Weights!$C$24+$W98*Scoring_Weights!$C$25)*20,1)))</x:f>
      </x:c>
      <x:c r="AF98" s="38" t="str">
        <x:f>IF($A98="","",IF($AC98="BLOQUEADA",0,ROUND(($Z98*Scoring_Weights!$C$27+$Y98*Scoring_Weights!$C$28+$X98*Scoring_Weights!$C$29)*20,1)))</x:f>
      </x:c>
      <x:c r="AG98" s="38" t="str">
        <x:f>IF($A98="","",IF($AC98="BLOQUEADA",0,ROUND(($AA98*Scoring_Weights!$C$31+$AB98*Scoring_Weights!$C$32+$K98*Scoring_Weights!$C$33)*20,1)))</x:f>
      </x:c>
      <x:c r="AH98" s="38" t="str">
        <x:f>IF($A98="","",IF($AC98="BLOQUEADA",0,MIN(10,IF(OR($O98&gt;=4,$P98&gt;=4),2,0)+IF($Q98&gt;=4,2,0)+IF($R98&gt;=4,2,0)+IF($U98&gt;=4,2,0)+IF($T98&gt;=4,1,0)+IF($V98&gt;=4,1,0))))</x:f>
      </x:c>
      <x:c r="AI98" s="38" t="str">
        <x:f>IF($A98="","",IF($AC98="BLOQUEADA",0,ROUND((MAX(0,5-$K98)+MAX(0,5-$AA98)+IF($I98="Ambigua",2,0)+IF($J98="Posible",2,0))*2,1)))</x:f>
      </x:c>
      <x:c r="AJ98" s="38" t="str">
        <x:f>IF($A98="","",IF($AC98="BLOQUEADA",0,ROUND($AD98*Scoring_Weights!$C$2+$AE98*Scoring_Weights!$C$3+$AF98*Scoring_Weights!$C$4+$AG98*Scoring_Weights!$C$5+$AH98*Scoring_Weights!$C$6-$AI98*Scoring_Weights!$C$7,1)))</x:f>
      </x:c>
      <x:c r="AK98" s="36" t="str">
        <x:f>IF($AC98&lt;&gt;"ELEGIBLE","",COUNTIFS($AC$2:$AC$101,"ELEGIBLE",$AJ$2:$AJ$101,"&gt;"&amp;$AJ98)+COUNTIFS($AC$2:$AC98,"ELEGIBLE",$AJ$2:$AJ98,$AJ98))</x:f>
      </x:c>
      <x:c r="AL98" s="23" t="str">
        <x:f>IF($A98="","",IF($AC98="BLOQUEADA","No seleccionable",IF($AC98="REVISIÓN","Revisión previa",IF($AK98&lt;=8,"Primaria propuesta","Contexto / backlog"))))</x:f>
      </x:c>
      <x:c r="AM98" s="23" t="str">
        <x:f>IF($A98="","",IF(MAX($O98,$P98)&gt;=MAX($Q98,$R98,$T98,$U98,$W98),"Transformación/OLC",IF(MAX($Q98,$R98)&gt;=MAX($T98,$U98,$W98),"Handoff/Flujo",IF(MAX($T98,$U98,$V98,$W98)&gt;=3,"Capacidad/Compensación","Contexto/PM"))))</x:f>
      </x:c>
      <x:c r="AN98" s="23"/>
      <x:c r="AO98" s="23" t="str">
        <x:f>IF($A98="","",IF($AN98="Forzar primaria","Primaria forzada",IF($AN98="Excluir","Excluida",IF($AN98="Revisión","Revisión previa",$AL98))))</x:f>
      </x:c>
      <x:c r="AP98" s="23" t="str">
        <x:f>IF($A98="","",IF($AC98="BLOQUEADA","Gate duro",IF($AD98&gt;=MAX($AE98,$AF98,$AG98),"Potencial MMABP",IF($AE98&gt;=MAX($AD98,$AF98,$AG98),"Fricción/variedad",IF($AF98&gt;=MAX($AD98,$AE98,$AG98),"Cobertura","Evidencia/feasibilidad")))))</x:f>
      </x:c>
      <x:c r="AQ98" s="23" t="str">
        <x:f>IF($A98="","",IF(LEFT($AO98,8)="Primaria",IF($AE98&gt;=75,"40+20 probable",IF($AD98&gt;=75,"40 base + causales selectivas","40 base + probes mínimos")),"No abre Runtime profundo"))</x:f>
      </x:c>
      <x:c r="AR98" s="23" t="str">
        <x:f>IF($A98="","",IF($AC98="BLOQUEADA","Corregir WorkMap/B0 antes de selección",IF($AC98="REVISIÓN","Microconfirmación B0 o resolución semántica",IF($AO98="Contexto / backlog","Conservar como contexto total","Enviar a Runtime"))))</x:f>
      </x:c>
      <x:c r="AS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  <x:c r="AA99" s="36"/>
      <x:c r="AB99" s="36"/>
      <x:c r="AC99" s="23" t="str">
        <x:f>IF($A99="","",IF(OR($G99&lt;&gt;"Sí",$H99&lt;&gt;"Sí",$I99&lt;&gt;"Correcta",$J99="Sí",$K99&lt;2),"BLOQUEADA",IF(OR($J99="Posible",$K99&lt;3,$L99&lt;2),"REVISIÓN","ELEGIBLE")))</x:f>
      </x:c>
      <x:c r="AD99" s="38" t="str">
        <x:f>IF($A99="","",IF($AC99="BLOQUEADA",0,ROUND(($L99*Scoring_Weights!$C$9+$M99*Scoring_Weights!$C$10+$N99*Scoring_Weights!$C$11+$O99*Scoring_Weights!$C$12+$P99*Scoring_Weights!$C$13+$Q99*Scoring_Weights!$C$14+$R99*Scoring_Weights!$C$15+$X99*Scoring_Weights!$C$16+$AB99*Scoring_Weights!$C$17)*20,1)))</x:f>
      </x:c>
      <x:c r="AE99" s="38" t="str">
        <x:f>IF($A99="","",IF($AC99="BLOQUEADA",0,ROUND(($Q99*Scoring_Weights!$C$19+$R99*Scoring_Weights!$C$20+$S99*Scoring_Weights!$C$21+$T99*Scoring_Weights!$C$22+$U99*Scoring_Weights!$C$23+$V99*Scoring_Weights!$C$24+$W99*Scoring_Weights!$C$25)*20,1)))</x:f>
      </x:c>
      <x:c r="AF99" s="38" t="str">
        <x:f>IF($A99="","",IF($AC99="BLOQUEADA",0,ROUND(($Z99*Scoring_Weights!$C$27+$Y99*Scoring_Weights!$C$28+$X99*Scoring_Weights!$C$29)*20,1)))</x:f>
      </x:c>
      <x:c r="AG99" s="38" t="str">
        <x:f>IF($A99="","",IF($AC99="BLOQUEADA",0,ROUND(($AA99*Scoring_Weights!$C$31+$AB99*Scoring_Weights!$C$32+$K99*Scoring_Weights!$C$33)*20,1)))</x:f>
      </x:c>
      <x:c r="AH99" s="38" t="str">
        <x:f>IF($A99="","",IF($AC99="BLOQUEADA",0,MIN(10,IF(OR($O99&gt;=4,$P99&gt;=4),2,0)+IF($Q99&gt;=4,2,0)+IF($R99&gt;=4,2,0)+IF($U99&gt;=4,2,0)+IF($T99&gt;=4,1,0)+IF($V99&gt;=4,1,0))))</x:f>
      </x:c>
      <x:c r="AI99" s="38" t="str">
        <x:f>IF($A99="","",IF($AC99="BLOQUEADA",0,ROUND((MAX(0,5-$K99)+MAX(0,5-$AA99)+IF($I99="Ambigua",2,0)+IF($J99="Posible",2,0))*2,1)))</x:f>
      </x:c>
      <x:c r="AJ99" s="38" t="str">
        <x:f>IF($A99="","",IF($AC99="BLOQUEADA",0,ROUND($AD99*Scoring_Weights!$C$2+$AE99*Scoring_Weights!$C$3+$AF99*Scoring_Weights!$C$4+$AG99*Scoring_Weights!$C$5+$AH99*Scoring_Weights!$C$6-$AI99*Scoring_Weights!$C$7,1)))</x:f>
      </x:c>
      <x:c r="AK99" s="36" t="str">
        <x:f>IF($AC99&lt;&gt;"ELEGIBLE","",COUNTIFS($AC$2:$AC$101,"ELEGIBLE",$AJ$2:$AJ$101,"&gt;"&amp;$AJ99)+COUNTIFS($AC$2:$AC99,"ELEGIBLE",$AJ$2:$AJ99,$AJ99))</x:f>
      </x:c>
      <x:c r="AL99" s="23" t="str">
        <x:f>IF($A99="","",IF($AC99="BLOQUEADA","No seleccionable",IF($AC99="REVISIÓN","Revisión previa",IF($AK99&lt;=8,"Primaria propuesta","Contexto / backlog"))))</x:f>
      </x:c>
      <x:c r="AM99" s="23" t="str">
        <x:f>IF($A99="","",IF(MAX($O99,$P99)&gt;=MAX($Q99,$R99,$T99,$U99,$W99),"Transformación/OLC",IF(MAX($Q99,$R99)&gt;=MAX($T99,$U99,$W99),"Handoff/Flujo",IF(MAX($T99,$U99,$V99,$W99)&gt;=3,"Capacidad/Compensación","Contexto/PM"))))</x:f>
      </x:c>
      <x:c r="AN99" s="23"/>
      <x:c r="AO99" s="23" t="str">
        <x:f>IF($A99="","",IF($AN99="Forzar primaria","Primaria forzada",IF($AN99="Excluir","Excluida",IF($AN99="Revisión","Revisión previa",$AL99))))</x:f>
      </x:c>
      <x:c r="AP99" s="23" t="str">
        <x:f>IF($A99="","",IF($AC99="BLOQUEADA","Gate duro",IF($AD99&gt;=MAX($AE99,$AF99,$AG99),"Potencial MMABP",IF($AE99&gt;=MAX($AD99,$AF99,$AG99),"Fricción/variedad",IF($AF99&gt;=MAX($AD99,$AE99,$AG99),"Cobertura","Evidencia/feasibilidad")))))</x:f>
      </x:c>
      <x:c r="AQ99" s="23" t="str">
        <x:f>IF($A99="","",IF(LEFT($AO99,8)="Primaria",IF($AE99&gt;=75,"40+20 probable",IF($AD99&gt;=75,"40 base + causales selectivas","40 base + probes mínimos")),"No abre Runtime profundo"))</x:f>
      </x:c>
      <x:c r="AR99" s="23" t="str">
        <x:f>IF($A99="","",IF($AC99="BLOQUEADA","Corregir WorkMap/B0 antes de selección",IF($AC99="REVISIÓN","Microconfirmación B0 o resolución semántica",IF($AO99="Contexto / backlog","Conservar como contexto total","Enviar a Runtime"))))</x:f>
      </x:c>
      <x:c r="AS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  <x:c r="AA100" s="36"/>
      <x:c r="AB100" s="36"/>
      <x:c r="AC100" s="23" t="str">
        <x:f>IF($A100="","",IF(OR($G100&lt;&gt;"Sí",$H100&lt;&gt;"Sí",$I100&lt;&gt;"Correcta",$J100="Sí",$K100&lt;2),"BLOQUEADA",IF(OR($J100="Posible",$K100&lt;3,$L100&lt;2),"REVISIÓN","ELEGIBLE")))</x:f>
      </x:c>
      <x:c r="AD100" s="38" t="str">
        <x:f>IF($A100="","",IF($AC100="BLOQUEADA",0,ROUND(($L100*Scoring_Weights!$C$9+$M100*Scoring_Weights!$C$10+$N100*Scoring_Weights!$C$11+$O100*Scoring_Weights!$C$12+$P100*Scoring_Weights!$C$13+$Q100*Scoring_Weights!$C$14+$R100*Scoring_Weights!$C$15+$X100*Scoring_Weights!$C$16+$AB100*Scoring_Weights!$C$17)*20,1)))</x:f>
      </x:c>
      <x:c r="AE100" s="38" t="str">
        <x:f>IF($A100="","",IF($AC100="BLOQUEADA",0,ROUND(($Q100*Scoring_Weights!$C$19+$R100*Scoring_Weights!$C$20+$S100*Scoring_Weights!$C$21+$T100*Scoring_Weights!$C$22+$U100*Scoring_Weights!$C$23+$V100*Scoring_Weights!$C$24+$W100*Scoring_Weights!$C$25)*20,1)))</x:f>
      </x:c>
      <x:c r="AF100" s="38" t="str">
        <x:f>IF($A100="","",IF($AC100="BLOQUEADA",0,ROUND(($Z100*Scoring_Weights!$C$27+$Y100*Scoring_Weights!$C$28+$X100*Scoring_Weights!$C$29)*20,1)))</x:f>
      </x:c>
      <x:c r="AG100" s="38" t="str">
        <x:f>IF($A100="","",IF($AC100="BLOQUEADA",0,ROUND(($AA100*Scoring_Weights!$C$31+$AB100*Scoring_Weights!$C$32+$K100*Scoring_Weights!$C$33)*20,1)))</x:f>
      </x:c>
      <x:c r="AH100" s="38" t="str">
        <x:f>IF($A100="","",IF($AC100="BLOQUEADA",0,MIN(10,IF(OR($O100&gt;=4,$P100&gt;=4),2,0)+IF($Q100&gt;=4,2,0)+IF($R100&gt;=4,2,0)+IF($U100&gt;=4,2,0)+IF($T100&gt;=4,1,0)+IF($V100&gt;=4,1,0))))</x:f>
      </x:c>
      <x:c r="AI100" s="38" t="str">
        <x:f>IF($A100="","",IF($AC100="BLOQUEADA",0,ROUND((MAX(0,5-$K100)+MAX(0,5-$AA100)+IF($I100="Ambigua",2,0)+IF($J100="Posible",2,0))*2,1)))</x:f>
      </x:c>
      <x:c r="AJ100" s="38" t="str">
        <x:f>IF($A100="","",IF($AC100="BLOQUEADA",0,ROUND($AD100*Scoring_Weights!$C$2+$AE100*Scoring_Weights!$C$3+$AF100*Scoring_Weights!$C$4+$AG100*Scoring_Weights!$C$5+$AH100*Scoring_Weights!$C$6-$AI100*Scoring_Weights!$C$7,1)))</x:f>
      </x:c>
      <x:c r="AK100" s="36" t="str">
        <x:f>IF($AC100&lt;&gt;"ELEGIBLE","",COUNTIFS($AC$2:$AC$101,"ELEGIBLE",$AJ$2:$AJ$101,"&gt;"&amp;$AJ100)+COUNTIFS($AC$2:$AC100,"ELEGIBLE",$AJ$2:$AJ100,$AJ100))</x:f>
      </x:c>
      <x:c r="AL100" s="23" t="str">
        <x:f>IF($A100="","",IF($AC100="BLOQUEADA","No seleccionable",IF($AC100="REVISIÓN","Revisión previa",IF($AK100&lt;=8,"Primaria propuesta","Contexto / backlog"))))</x:f>
      </x:c>
      <x:c r="AM100" s="23" t="str">
        <x:f>IF($A100="","",IF(MAX($O100,$P100)&gt;=MAX($Q100,$R100,$T100,$U100,$W100),"Transformación/OLC",IF(MAX($Q100,$R100)&gt;=MAX($T100,$U100,$W100),"Handoff/Flujo",IF(MAX($T100,$U100,$V100,$W100)&gt;=3,"Capacidad/Compensación","Contexto/PM"))))</x:f>
      </x:c>
      <x:c r="AN100" s="23"/>
      <x:c r="AO100" s="23" t="str">
        <x:f>IF($A100="","",IF($AN100="Forzar primaria","Primaria forzada",IF($AN100="Excluir","Excluida",IF($AN100="Revisión","Revisión previa",$AL100))))</x:f>
      </x:c>
      <x:c r="AP100" s="23" t="str">
        <x:f>IF($A100="","",IF($AC100="BLOQUEADA","Gate duro",IF($AD100&gt;=MAX($AE100,$AF100,$AG100),"Potencial MMABP",IF($AE100&gt;=MAX($AD100,$AF100,$AG100),"Fricción/variedad",IF($AF100&gt;=MAX($AD100,$AE100,$AG100),"Cobertura","Evidencia/feasibilidad")))))</x:f>
      </x:c>
      <x:c r="AQ100" s="23" t="str">
        <x:f>IF($A100="","",IF(LEFT($AO100,8)="Primaria",IF($AE100&gt;=75,"40+20 probable",IF($AD100&gt;=75,"40 base + causales selectivas","40 base + probes mínimos")),"No abre Runtime profundo"))</x:f>
      </x:c>
      <x:c r="AR100" s="23" t="str">
        <x:f>IF($A100="","",IF($AC100="BLOQUEADA","Corregir WorkMap/B0 antes de selección",IF($AC100="REVISIÓN","Microconfirmación B0 o resolución semántica",IF($AO100="Contexto / backlog","Conservar como contexto total","Enviar a Runtime"))))</x:f>
      </x:c>
      <x:c r="AS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  <x:c r="AA101" s="36"/>
      <x:c r="AB101" s="36"/>
      <x:c r="AC101" s="23" t="str">
        <x:f>IF($A101="","",IF(OR($G101&lt;&gt;"Sí",$H101&lt;&gt;"Sí",$I101&lt;&gt;"Correcta",$J101="Sí",$K101&lt;2),"BLOQUEADA",IF(OR($J101="Posible",$K101&lt;3,$L101&lt;2),"REVISIÓN","ELEGIBLE")))</x:f>
      </x:c>
      <x:c r="AD101" s="38" t="str">
        <x:f>IF($A101="","",IF($AC101="BLOQUEADA",0,ROUND(($L101*Scoring_Weights!$C$9+$M101*Scoring_Weights!$C$10+$N101*Scoring_Weights!$C$11+$O101*Scoring_Weights!$C$12+$P101*Scoring_Weights!$C$13+$Q101*Scoring_Weights!$C$14+$R101*Scoring_Weights!$C$15+$X101*Scoring_Weights!$C$16+$AB101*Scoring_Weights!$C$17)*20,1)))</x:f>
      </x:c>
      <x:c r="AE101" s="38" t="str">
        <x:f>IF($A101="","",IF($AC101="BLOQUEADA",0,ROUND(($Q101*Scoring_Weights!$C$19+$R101*Scoring_Weights!$C$20+$S101*Scoring_Weights!$C$21+$T101*Scoring_Weights!$C$22+$U101*Scoring_Weights!$C$23+$V101*Scoring_Weights!$C$24+$W101*Scoring_Weights!$C$25)*20,1)))</x:f>
      </x:c>
      <x:c r="AF101" s="38" t="str">
        <x:f>IF($A101="","",IF($AC101="BLOQUEADA",0,ROUND(($Z101*Scoring_Weights!$C$27+$Y101*Scoring_Weights!$C$28+$X101*Scoring_Weights!$C$29)*20,1)))</x:f>
      </x:c>
      <x:c r="AG101" s="38" t="str">
        <x:f>IF($A101="","",IF($AC101="BLOQUEADA",0,ROUND(($AA101*Scoring_Weights!$C$31+$AB101*Scoring_Weights!$C$32+$K101*Scoring_Weights!$C$33)*20,1)))</x:f>
      </x:c>
      <x:c r="AH101" s="38" t="str">
        <x:f>IF($A101="","",IF($AC101="BLOQUEADA",0,MIN(10,IF(OR($O101&gt;=4,$P101&gt;=4),2,0)+IF($Q101&gt;=4,2,0)+IF($R101&gt;=4,2,0)+IF($U101&gt;=4,2,0)+IF($T101&gt;=4,1,0)+IF($V101&gt;=4,1,0))))</x:f>
      </x:c>
      <x:c r="AI101" s="38" t="str">
        <x:f>IF($A101="","",IF($AC101="BLOQUEADA",0,ROUND((MAX(0,5-$K101)+MAX(0,5-$AA101)+IF($I101="Ambigua",2,0)+IF($J101="Posible",2,0))*2,1)))</x:f>
      </x:c>
      <x:c r="AJ101" s="38" t="str">
        <x:f>IF($A101="","",IF($AC101="BLOQUEADA",0,ROUND($AD101*Scoring_Weights!$C$2+$AE101*Scoring_Weights!$C$3+$AF101*Scoring_Weights!$C$4+$AG101*Scoring_Weights!$C$5+$AH101*Scoring_Weights!$C$6-$AI101*Scoring_Weights!$C$7,1)))</x:f>
      </x:c>
      <x:c r="AK101" s="36" t="str">
        <x:f>IF($AC101&lt;&gt;"ELEGIBLE","",COUNTIFS($AC$2:$AC$101,"ELEGIBLE",$AJ$2:$AJ$101,"&gt;"&amp;$AJ101)+COUNTIFS($AC$2:$AC101,"ELEGIBLE",$AJ$2:$AJ101,$AJ101))</x:f>
      </x:c>
      <x:c r="AL101" s="23" t="str">
        <x:f>IF($A101="","",IF($AC101="BLOQUEADA","No seleccionable",IF($AC101="REVISIÓN","Revisión previa",IF($AK101&lt;=8,"Primaria propuesta","Contexto / backlog"))))</x:f>
      </x:c>
      <x:c r="AM101" s="23" t="str">
        <x:f>IF($A101="","",IF(MAX($O101,$P101)&gt;=MAX($Q101,$R101,$T101,$U101,$W101),"Transformación/OLC",IF(MAX($Q101,$R101)&gt;=MAX($T101,$U101,$W101),"Handoff/Flujo",IF(MAX($T101,$U101,$V101,$W101)&gt;=3,"Capacidad/Compensación","Contexto/PM"))))</x:f>
      </x:c>
      <x:c r="AN101" s="23"/>
      <x:c r="AO101" s="23" t="str">
        <x:f>IF($A101="","",IF($AN101="Forzar primaria","Primaria forzada",IF($AN101="Excluir","Excluida",IF($AN101="Revisión","Revisión previa",$AL101))))</x:f>
      </x:c>
      <x:c r="AP101" s="23" t="str">
        <x:f>IF($A101="","",IF($AC101="BLOQUEADA","Gate duro",IF($AD101&gt;=MAX($AE101,$AF101,$AG101),"Potencial MMABP",IF($AE101&gt;=MAX($AD101,$AF101,$AG101),"Fricción/variedad",IF($AF101&gt;=MAX($AD101,$AE101,$AG101),"Cobertura","Evidencia/feasibilidad")))))</x:f>
      </x:c>
      <x:c r="AQ101" s="23" t="str">
        <x:f>IF($A101="","",IF(LEFT($AO101,8)="Primaria",IF($AE101&gt;=75,"40+20 probable",IF($AD101&gt;=75,"40 base + causales selectivas","40 base + probes mínimos")),"No abre Runtime profundo"))</x:f>
      </x:c>
      <x:c r="AR101" s="23" t="str">
        <x:f>IF($A101="","",IF($AC101="BLOQUEADA","Corregir WorkMap/B0 antes de selección",IF($AC101="REVISIÓN","Microconfirmación B0 o resolución semántica",IF($AO101="Contexto / backlog","Conservar como contexto total","Enviar a Runtime"))))</x:f>
      </x:c>
      <x:c r="AS101" s="23"/>
    </x:row>
  </x:sheetData>
  <x:conditionalFormatting sqref="AC2:AC101">
    <x:cfRule type="expression" dxfId="0" priority="1">
      <x:formula>AC2="BLOQUEADA"</x:formula>
    </x:cfRule>
    <x:cfRule type="expression" dxfId="1" priority="2">
      <x:formula>AC2="REVISIÓN"</x:formula>
    </x:cfRule>
    <x:cfRule type="expression" dxfId="2" priority="3">
      <x:formula>AC2="ELEGIBLE"</x:formula>
    </x:cfRule>
  </x:conditionalFormatting>
  <x:conditionalFormatting sqref="AO2:AO101">
    <x:cfRule type="expression" dxfId="3" priority="4">
      <x:formula>LEFT(AO2,8)="Primaria"</x:formula>
    </x:cfRule>
  </x:conditionalFormatting>
  <x:conditionalFormatting sqref="AJ2:AJ101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6">
    <x:dataValidation type="list" sqref="G2:G101">
      <x:formula1>"Sí,No"</x:formula1>
    </x:dataValidation>
    <x:dataValidation type="list" sqref="H2:H101">
      <x:formula1>"Sí,No"</x:formula1>
    </x:dataValidation>
    <x:dataValidation type="list" sqref="I2:I101">
      <x:formula1>"Correcta,Demasiado amplia,Microtarea,Ambigua"</x:formula1>
    </x:dataValidation>
    <x:dataValidation type="list" sqref="J2:J101">
      <x:formula1>"No,Posible,Sí"</x:formula1>
    </x:dataValidation>
    <x:dataValidation type="list" sqref="K2:AB101">
      <x:formula1>"0,1,2,3,4,5"</x:formula1>
    </x:dataValidation>
    <x:dataValidation type="list" sqref="AN2:AN101">
      <x:formula1>",Auto,Forzar primaria,Excluir,Revisión"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55" hidden="0" customWidth="1"/>
    <x:col min="4" max="4" width="45" hidden="0" customWidth="1"/>
  </x:cols>
  <x:sheetData>
    <x:row r="1">
      <x:c r="A1" s="22" t="str">
        <x:v>Regla</x:v>
      </x:c>
      <x:c r="B1" s="22" t="str">
        <x:v>Descripción</x:v>
      </x:c>
      <x:c r="C1" s="22" t="str">
        <x:v>Aplicación</x:v>
      </x:c>
      <x:c r="D1" s="22" t="str">
        <x:v>Motivo</x:v>
      </x:c>
    </x:row>
    <x:row r="2">
      <x:c r="A2" s="23" t="str">
        <x:v>B1</x:v>
      </x:c>
      <x:c r="B2" s="23" t="str">
        <x:v>Máximo 8 actividades primarias</x:v>
      </x:c>
      <x:c r="C2" s="23" t="str">
        <x:v>Si final_selection_count &gt; 8, bloquear avance a Runtime.</x:v>
      </x:c>
      <x:c r="D2" s="23" t="str">
        <x:v>Protege carga operativa.</x:v>
      </x:c>
    </x:row>
    <x:row r="3">
      <x:c r="A3" s="23" t="str">
        <x:v>B2</x:v>
      </x:c>
      <x:c r="B3" s="23" t="str">
        <x:v>No concentración excesiva</x:v>
      </x:c>
      <x:c r="C3" s="23" t="str">
        <x:v>No más de 3 actividades de la misma responsabilidad, salvo si el WorkMap solo contiene esa responsabilidad.</x:v>
      </x:c>
      <x:c r="D3" s="23" t="str">
        <x:v>Evita ceguera local.</x:v>
      </x:c>
    </x:row>
    <x:row r="4">
      <x:c r="A4" s="23" t="str">
        <x:v>B3</x:v>
      </x:c>
      <x:c r="B4" s="23" t="str">
        <x:v>Cobertura MMABP mínima</x:v>
      </x:c>
      <x:c r="C4" s="23" t="str">
        <x:v>Si existen candidatas, seleccionar al menos una con alta transformación/estado, una con handoff/dependencia y una con fricción/capacidad/workaround.</x:v>
      </x:c>
      <x:c r="D4" s="23" t="str">
        <x:v>Protege PM/MoC/PF/OLC.</x:v>
      </x:c>
    </x:row>
    <x:row r="5">
      <x:c r="A5" s="23" t="str">
        <x:v>B4</x:v>
      </x:c>
      <x:c r="B5" s="23" t="str">
        <x:v>Actividades soporte visibles</x:v>
      </x:c>
      <x:c r="C5" s="23" t="str">
        <x:v>Si un soporte aparece como cuello de botella, dependencia o workaround recurrente, puede promoverse a primaria.</x:v>
      </x:c>
      <x:c r="D5" s="23" t="str">
        <x:v>Evita soporte oculto en PM.</x:v>
      </x:c>
    </x:row>
    <x:row r="6">
      <x:c r="A6" s="23" t="str">
        <x:v>B5</x:v>
      </x:c>
      <x:c r="B6" s="23" t="str">
        <x:v>No seleccionar solo por dolor subjetivo</x:v>
      </x:c>
      <x:c r="C6" s="23" t="str">
        <x:v>La prioridad emocional de Significado no supera gates ni score estructural.</x:v>
      </x:c>
      <x:c r="D6" s="23" t="str">
        <x:v>Evita sesgo de disponibilidad.</x:v>
      </x:c>
    </x:row>
    <x:row r="7">
      <x:c r="A7" s="23" t="str">
        <x:v>B6</x:v>
      </x:c>
      <x:c r="B7" s="23" t="str">
        <x:v>Preferir variedad estructural</x:v>
      </x:c>
      <x:c r="C7" s="23" t="str">
        <x:v>En empate, elegir actividad que cubra clase de señal no representada en las seleccionadas.</x:v>
      </x:c>
      <x:c r="D7" s="23" t="str">
        <x:v>Aumenta observabilidad sistémica.</x:v>
      </x:c>
    </x:row>
    <x:row r="8">
      <x:c r="A8" s="23" t="str">
        <x:v>B7</x:v>
      </x:c>
      <x:c r="B8" s="23" t="str">
        <x:v>Mantener contexto no primario</x:v>
      </x:c>
      <x:c r="C8" s="23" t="str">
        <x:v>Las no seleccionadas permanecen en NonPrimary_Context con razón.</x:v>
      </x:c>
      <x:c r="D8" s="23" t="str">
        <x:v>No borrar realidad del WorkMap.</x:v>
      </x:c>
    </x:row>
    <x:row r="9">
      <x:c r="A9" s="23" t="str">
        <x:v>B8</x:v>
      </x:c>
      <x:c r="B9" s="23" t="str">
        <x:v>Corrección factual del usuario</x:v>
      </x:c>
      <x:c r="C9" s="23" t="str">
        <x:v>Si el usuario indica que una actividad no existe, no pertenece o está duplicada, recalcular.</x:v>
      </x:c>
      <x:c r="D9" s="23" t="str">
        <x:v>Conformance antes de consistencia.</x:v>
      </x:c>
    </x:row>
    <x:row r="10">
      <x:c r="A10" s="23" t="str">
        <x:v>B9</x:v>
      </x:c>
      <x:c r="B10" s="23" t="str">
        <x:v>No forzar Runtime sobre ambigüedad</x:v>
      </x:c>
      <x:c r="C10" s="23" t="str">
        <x:v>Actividades en revisión no entran hasta resolver B0/semántica.</x:v>
      </x:c>
      <x:c r="D10" s="23" t="str">
        <x:v>Evita fabricar certeza.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22" t="str">
        <x:v>Paso</x:v>
      </x:c>
      <x:c r="B1" s="22" t="str">
        <x:v>Pseudocódigo / regla de motor</x:v>
      </x:c>
    </x:row>
    <x:row r="2">
      <x:c r="A2" s="23" t="str">
        <x:v>1</x:v>
      </x:c>
      <x:c r="B2" s="23" t="str">
        <x:v>candidate_list = ingest(WorkMap.areas.responsibilities.activities)</x:v>
      </x:c>
    </x:row>
    <x:row r="3">
      <x:c r="A3" s="23" t="str">
        <x:v>2</x:v>
      </x:c>
      <x:c r="B3" s="23" t="str">
        <x:v>candidate_list = attach_traceability(workmap_id, area_id, responsibility_id, activity_id, role_functional)</x:v>
      </x:c>
    </x:row>
    <x:row r="4">
      <x:c r="A4" s="23" t="str">
        <x:v>3</x:v>
      </x:c>
      <x:c r="B4" s="23" t="str">
        <x:v>candidate_list = normalize_aliases_and_granularity(candidate_list)</x:v>
      </x:c>
    </x:row>
    <x:row r="5">
      <x:c r="A5" s="23" t="str">
        <x:v>4</x:v>
      </x:c>
      <x:c r="B5" s="23" t="str">
        <x:v>for each activity: apply Eligibility_Gates G1..G10</x:v>
      </x:c>
    </x:row>
    <x:row r="6">
      <x:c r="A6" s="23" t="str">
        <x:v>5</x:v>
      </x:c>
      <x:c r="B6" s="23" t="str">
        <x:v>if gate == BLOQUEADA: store as non_primary_context with reason; do not score as selectable</x:v>
      </x:c>
    </x:row>
    <x:row r="7">
      <x:c r="A7" s="23" t="str">
        <x:v>6</x:v>
      </x:c>
      <x:c r="B7" s="23" t="str">
        <x:v>if gate == REVISIÓN: route to B0 microconfirmation or semantic_resolution; do not send to Runtime yet</x:v>
      </x:c>
    </x:row>
    <x:row r="8">
      <x:c r="A8" s="23" t="str">
        <x:v>7</x:v>
      </x:c>
      <x:c r="B8" s="23" t="str">
        <x:v>for each eligible activity: compute MMABP_Potential, Friction_Variety, Coverage, Evidence_Feasibility, Critical_Boost, Burden_Risk</x:v>
      </x:c>
    </x:row>
    <x:row r="9">
      <x:c r="A9" s="23" t="str">
        <x:v>8</x:v>
      </x:c>
      <x:c r="B9" s="23" t="str">
        <x:v>selector_score = 0.45*MMABP + 0.25*Friction + 0.15*Coverage + 0.10*Evidence + boost - 0.15*burden</x:v>
      </x:c>
    </x:row>
    <x:row r="10">
      <x:c r="A10" s="23" t="str">
        <x:v>9</x:v>
      </x:c>
      <x:c r="B10" s="23" t="str">
        <x:v>sort eligible candidates by selector_score descending</x:v>
      </x:c>
    </x:row>
    <x:row r="11">
      <x:c r="A11" s="23" t="str">
        <x:v>10</x:v>
      </x:c>
      <x:c r="B11" s="23" t="str">
        <x:v>apply Coverage_Balance rules to avoid concentration and protect MMABP coverage</x:v>
      </x:c>
    </x:row>
    <x:row r="12">
      <x:c r="A12" s="23" t="str">
        <x:v>11</x:v>
      </x:c>
      <x:c r="B12" s="23" t="str">
        <x:v>select up to 8 primary activities</x:v>
      </x:c>
    </x:row>
    <x:row r="13">
      <x:c r="A13" s="23" t="str">
        <x:v>12</x:v>
      </x:c>
      <x:c r="B13" s="23" t="str">
        <x:v>display proposed selection to user with reason chips; user may correct facts, not choose diagnosis</x:v>
      </x:c>
    </x:row>
    <x:row r="14">
      <x:c r="A14" s="23" t="str">
        <x:v>13</x:v>
      </x:c>
      <x:c r="B14" s="23" t="str">
        <x:v>if user correction changes facts: recompute selection</x:v>
      </x:c>
    </x:row>
    <x:row r="15">
      <x:c r="A15" s="23" t="str">
        <x:v>14</x:v>
      </x:c>
      <x:c r="B15" s="23" t="str">
        <x:v>emit RuntimeActivityPayload for each selected activity</x:v>
      </x:c>
    </x:row>
    <x:row r="16">
      <x:c r="A16" s="23" t="str">
        <x:v>15</x:v>
      </x:c>
      <x:c r="B16" s="23" t="str">
        <x:v>emit NonPrimaryContextPayload for all others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45" hidden="0" customWidth="1"/>
    <x:col min="4" max="4" width="50" hidden="0" customWidth="1"/>
  </x:cols>
  <x:sheetData>
    <x:row r="1">
      <x:c r="A1" s="22" t="str">
        <x:v>Pantalla / componente</x:v>
      </x:c>
      <x:c r="B1" s="22" t="str">
        <x:v>Debe mostrar</x:v>
      </x:c>
      <x:c r="C1" s="22" t="str">
        <x:v>No debe mostrar</x:v>
      </x:c>
      <x:c r="D1" s="22" t="str">
        <x:v>Regla de interacción</x:v>
      </x:c>
    </x:row>
    <x:row r="2">
      <x:c r="A2" s="23" t="str">
        <x:v>WorkMap completo</x:v>
      </x:c>
      <x:c r="B2" s="23" t="str">
        <x:v>Todas las actividades como contexto.</x:v>
      </x:c>
      <x:c r="C2" s="23" t="str">
        <x:v>No marcar las no primarias como inútiles.</x:v>
      </x:c>
      <x:c r="D2" s="23" t="str">
        <x:v>Las no seleccionadas siguen vivas para contexto/reentry.</x:v>
      </x:c>
    </x:row>
    <x:row r="3">
      <x:c r="A3" s="23" t="str">
        <x:v>Selección propuesta</x:v>
      </x:c>
      <x:c r="B3" s="23" t="str">
        <x:v>Hasta 8 actividades primarias con chips de razón: transformación, handoff, bloqueo, capacidad, workaround, cobertura.</x:v>
      </x:c>
      <x:c r="C3" s="23" t="str">
        <x:v>No decir 'EVE diagnosticó'.</x:v>
      </x:c>
      <x:c r="D3" s="23" t="str">
        <x:v>Se presenta como priorización metodológica para evaluación.</x:v>
      </x:c>
    </x:row>
    <x:row r="4">
      <x:c r="A4" s="23" t="str">
        <x:v>Corrección del usuario</x:v>
      </x:c>
      <x:c r="B4" s="23" t="str">
        <x:v>Opciones: no pertenece a mi rol, está duplicada, ya no ocurre, está mal redactada, dividir/fusionar.</x:v>
      </x:c>
      <x:c r="C4" s="23" t="str">
        <x:v>No ofrecer 'elige tus 8 favoritas'.</x:v>
      </x:c>
      <x:c r="D4" s="23" t="str">
        <x:v>Corrección factual dispara recálculo.</x:v>
      </x:c>
    </x:row>
    <x:row r="5">
      <x:c r="A5" s="23" t="str">
        <x:v>Actividad ambigua</x:v>
      </x:c>
      <x:c r="B5" s="23" t="str">
        <x:v>Solicitar microconfirmación B0: '¿A qué trabajo concreto te refieres?'.</x:v>
      </x:c>
      <x:c r="C5" s="23" t="str">
        <x:v>No inventar objeto/proceso.</x:v>
      </x:c>
      <x:c r="D5" s="23" t="str">
        <x:v>Si no se resuelve, queda en revisión.</x:v>
      </x:c>
    </x:row>
    <x:row r="6">
      <x:c r="A6" s="23" t="str">
        <x:v>Actividad primaria seleccionada</x:v>
      </x:c>
      <x:c r="B6" s="23" t="str">
        <x:v>Estado: lista para Runtime 40+20.</x:v>
      </x:c>
      <x:c r="C6" s="23" t="str">
        <x:v>No mostrar scoring completo técnico si genera ruido.</x:v>
      </x:c>
      <x:c r="D6" s="23" t="str">
        <x:v>Mostrar razón resumida y transparente.</x:v>
      </x:c>
    </x:row>
    <x:row r="7">
      <x:c r="A7" s="23" t="str">
        <x:v>Actividad no primaria</x:v>
      </x:c>
      <x:c r="B7" s="23" t="str">
        <x:v>Estado: contexto/backlog/soporte/alias/bloqueada/revisión.</x:v>
      </x:c>
      <x:c r="C7" s="23" t="str">
        <x:v>No eliminarla.</x:v>
      </x:c>
      <x:c r="D7" s="23" t="str">
        <x:v>Puede promoverse en otro run o por reentry.</x:v>
      </x:c>
    </x:row>
    <x:row r="8">
      <x:c r="A8" s="23" t="str">
        <x:v>Significado</x:v>
      </x:c>
      <x:c r="B8" s="23" t="str">
        <x:v>Puede aparecer como transición o confirmación de sentido.</x:v>
      </x:c>
      <x:c r="C8" s="23" t="str">
        <x:v>No pedir al usuario que seleccione diagnóstico.</x:v>
      </x:c>
      <x:c r="D8" s="23" t="str">
        <x:v>Señal auxiliar, no autoridad de selección.</x:v>
      </x:c>
    </x:row>
    <x:row r="9">
      <x:c r="A9" s="23" t="str">
        <x:v>Payload</x:v>
      </x:c>
      <x:c r="B9" s="23" t="str">
        <x:v>No visible salvo auditoría.</x:v>
      </x:c>
      <x:c r="C9" s="23" t="str">
        <x:v>No exponer PM/MoC/PF/OLC como jerga en UI.</x:v>
      </x:c>
      <x:c r="D9" s="23" t="str">
        <x:v>La interfaz habla en lenguaje de trabajo.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4" hidden="0" customWidth="1"/>
    <x:col min="4" max="4" width="60" hidden="0" customWidth="1"/>
    <x:col min="5" max="5" width="24" hidden="0" customWidth="1"/>
  </x:cols>
  <x:sheetData>
    <x:row r="1">
      <x:c r="A1" s="22" t="str">
        <x:v>Campo payload</x:v>
      </x:c>
      <x:c r="B1" s="22" t="str">
        <x:v>Tipo</x:v>
      </x:c>
      <x:c r="C1" s="22" t="str">
        <x:v>Obligatorio</x:v>
      </x:c>
      <x:c r="D1" s="22" t="str">
        <x:v>Descripción</x:v>
      </x:c>
      <x:c r="E1" s="22" t="str">
        <x:v>Consumidor</x:v>
      </x:c>
    </x:row>
    <x:row r="2">
      <x:c r="A2" s="23" t="str">
        <x:v>runtime_activity_id</x:v>
      </x:c>
      <x:c r="B2" s="23" t="str">
        <x:v>string</x:v>
      </x:c>
      <x:c r="C2" s="23" t="str">
        <x:v>Sí</x:v>
      </x:c>
      <x:c r="D2" s="23" t="str">
        <x:v>ID derivado para abrir Runtime 40+20.</x:v>
      </x:c>
      <x:c r="E2" s="23" t="str">
        <x:v>Runtime</x:v>
      </x:c>
    </x:row>
    <x:row r="3">
      <x:c r="A3" s="23" t="str">
        <x:v>activity_id</x:v>
      </x:c>
      <x:c r="B3" s="23" t="str">
        <x:v>string</x:v>
      </x:c>
      <x:c r="C3" s="23" t="str">
        <x:v>Sí</x:v>
      </x:c>
      <x:c r="D3" s="23" t="str">
        <x:v>ID original WorkMap.</x:v>
      </x:c>
      <x:c r="E3" s="23" t="str">
        <x:v>Runtime / Auditoría</x:v>
      </x:c>
    </x:row>
    <x:row r="4">
      <x:c r="A4" s="23" t="str">
        <x:v>responsibility_id</x:v>
      </x:c>
      <x:c r="B4" s="23" t="str">
        <x:v>string</x:v>
      </x:c>
      <x:c r="C4" s="23" t="str">
        <x:v>Sí</x:v>
      </x:c>
      <x:c r="D4" s="23" t="str">
        <x:v>Trazabilidad a responsabilidad.</x:v>
      </x:c>
      <x:c r="E4" s="23" t="str">
        <x:v>Runtime / MBA</x:v>
      </x:c>
    </x:row>
    <x:row r="5">
      <x:c r="A5" s="23" t="str">
        <x:v>area_id</x:v>
      </x:c>
      <x:c r="B5" s="23" t="str">
        <x:v>string</x:v>
      </x:c>
      <x:c r="C5" s="23" t="str">
        <x:v>Sí</x:v>
      </x:c>
      <x:c r="D5" s="23" t="str">
        <x:v>Trazabilidad a área.</x:v>
      </x:c>
      <x:c r="E5" s="23" t="str">
        <x:v>Runtime / Contexto</x:v>
      </x:c>
    </x:row>
    <x:row r="6">
      <x:c r="A6" s="23" t="str">
        <x:v>role_functional</x:v>
      </x:c>
      <x:c r="B6" s="23" t="str">
        <x:v>string</x:v>
      </x:c>
      <x:c r="C6" s="23" t="str">
        <x:v>Sí</x:v>
      </x:c>
      <x:c r="D6" s="23" t="str">
        <x:v>Rol funcional evaluado.</x:v>
      </x:c>
      <x:c r="E6" s="23" t="str">
        <x:v>Runtime</x:v>
      </x:c>
    </x:row>
    <x:row r="7">
      <x:c r="A7" s="23" t="str">
        <x:v>activity_label</x:v>
      </x:c>
      <x:c r="B7" s="23" t="str">
        <x:v>string</x:v>
      </x:c>
      <x:c r="C7" s="23" t="str">
        <x:v>Sí</x:v>
      </x:c>
      <x:c r="D7" s="23" t="str">
        <x:v>Texto visible confirmado.</x:v>
      </x:c>
      <x:c r="E7" s="23" t="str">
        <x:v>Runtime UI</x:v>
      </x:c>
    </x:row>
    <x:row r="8">
      <x:c r="A8" s="23" t="str">
        <x:v>activity_description</x:v>
      </x:c>
      <x:c r="B8" s="23" t="str">
        <x:v>string</x:v>
      </x:c>
      <x:c r="C8" s="23" t="str">
        <x:v>Deseable</x:v>
      </x:c>
      <x:c r="D8" s="23" t="str">
        <x:v>Texto de apoyo.</x:v>
      </x:c>
      <x:c r="E8" s="23" t="str">
        <x:v>Runtime UI/B0</x:v>
      </x:c>
    </x:row>
    <x:row r="9">
      <x:c r="A9" s="23" t="str">
        <x:v>selection_score</x:v>
      </x:c>
      <x:c r="B9" s="23" t="str">
        <x:v>number</x:v>
      </x:c>
      <x:c r="C9" s="23" t="str">
        <x:v>Sí</x:v>
      </x:c>
      <x:c r="D9" s="23" t="str">
        <x:v>Score final del selector.</x:v>
      </x:c>
      <x:c r="E9" s="23" t="str">
        <x:v>Auditoría</x:v>
      </x:c>
    </x:row>
    <x:row r="10">
      <x:c r="A10" s="23" t="str">
        <x:v>selection_rank</x:v>
      </x:c>
      <x:c r="B10" s="23" t="str">
        <x:v>number</x:v>
      </x:c>
      <x:c r="C10" s="23" t="str">
        <x:v>Sí</x:v>
      </x:c>
      <x:c r="D10" s="23" t="str">
        <x:v>Ranking entre elegibles.</x:v>
      </x:c>
      <x:c r="E10" s="23" t="str">
        <x:v>Auditoría</x:v>
      </x:c>
    </x:row>
    <x:row r="11">
      <x:c r="A11" s="23" t="str">
        <x:v>selection_reason_chips</x:v>
      </x:c>
      <x:c r="B11" s="23" t="str">
        <x:v>array</x:v>
      </x:c>
      <x:c r="C11" s="23" t="str">
        <x:v>Sí</x:v>
      </x:c>
      <x:c r="D11" s="23" t="str">
        <x:v>Razones visibles de selección.</x:v>
      </x:c>
      <x:c r="E11" s="23" t="str">
        <x:v>UI</x:v>
      </x:c>
    </x:row>
    <x:row r="12">
      <x:c r="A12" s="23" t="str">
        <x:v>coverage_class</x:v>
      </x:c>
      <x:c r="B12" s="23" t="str">
        <x:v>enum</x:v>
      </x:c>
      <x:c r="C12" s="23" t="str">
        <x:v>Sí</x:v>
      </x:c>
      <x:c r="D12" s="23" t="str">
        <x:v>Transformación/OLC, Handoff/Flujo, Capacidad/Compensación, Contexto/PM.</x:v>
      </x:c>
      <x:c r="E12" s="23" t="str">
        <x:v>Runtime</x:v>
      </x:c>
    </x:row>
    <x:row r="13">
      <x:c r="A13" s="23" t="str">
        <x:v>runtime_opening_profile</x:v>
      </x:c>
      <x:c r="B13" s="23" t="str">
        <x:v>enum</x:v>
      </x:c>
      <x:c r="C13" s="23" t="str">
        <x:v>Sí</x:v>
      </x:c>
      <x:c r="D13" s="23" t="str">
        <x:v>40+20 probable, causales selectivas, probes mínimos.</x:v>
      </x:c>
      <x:c r="E13" s="23" t="str">
        <x:v>Runtime</x:v>
      </x:c>
    </x:row>
    <x:row r="14">
      <x:c r="A14" s="23" t="str">
        <x:v>critical_route_flags</x:v>
      </x:c>
      <x:c r="B14" s="23" t="str">
        <x:v>array</x:v>
      </x:c>
      <x:c r="C14" s="23" t="str">
        <x:v>Opcional</x:v>
      </x:c>
      <x:c r="D14" s="23" t="str">
        <x:v>B0, B2, B3, B7 si aplica.</x:v>
      </x:c>
      <x:c r="E14" s="23" t="str">
        <x:v>Runtime</x:v>
      </x:c>
    </x:row>
    <x:row r="15">
      <x:c r="A15" s="23" t="str">
        <x:v>non_primary_context_refs</x:v>
      </x:c>
      <x:c r="B15" s="23" t="str">
        <x:v>array</x:v>
      </x:c>
      <x:c r="C15" s="23" t="str">
        <x:v>Sí</x:v>
      </x:c>
      <x:c r="D15" s="23" t="str">
        <x:v>Actividades no primarias relacionadas.</x:v>
      </x:c>
      <x:c r="E15" s="23" t="str">
        <x:v>Runtime/MBA</x:v>
      </x:c>
    </x:row>
    <x:row r="16">
      <x:c r="A16" s="23" t="str">
        <x:v>epistemic_status</x:v>
      </x:c>
      <x:c r="B16" s="23" t="str">
        <x:v>enum</x:v>
      </x:c>
      <x:c r="C16" s="23" t="str">
        <x:v>Sí</x:v>
      </x:c>
      <x:c r="D16" s="23" t="str">
        <x:v>capturado/confirmado/inferido no confirmado/revisión.</x:v>
      </x:c>
      <x:c r="E16" s="23" t="str">
        <x:v>Gobierno</x:v>
      </x:c>
    </x:row>
    <x:row r="17">
      <x:c r="A17" s="23" t="str">
        <x:v>reentry_policy</x:v>
      </x:c>
      <x:c r="B17" s="23" t="str">
        <x:v>enum</x:v>
      </x:c>
      <x:c r="C17" s="23" t="str">
        <x:v>Sí</x:v>
      </x:c>
      <x:c r="D17" s="23" t="str">
        <x:v>Ninguna, B0, semantic_resolution, manual_review.</x:v>
      </x:c>
      <x:c r="E17" s="23" t="str">
        <x:v>Runtime/Gobierno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5" hidden="0" customWidth="1"/>
    <x:col min="4" max="4" width="50" hidden="0" customWidth="1"/>
    <x:col min="5" max="5" width="38" hidden="0" customWidth="1"/>
  </x:cols>
  <x:sheetData>
    <x:row r="1">
      <x:c r="A1" s="22" t="str">
        <x:v>Estado no primario</x:v>
      </x:c>
      <x:c r="B1" s="22" t="str">
        <x:v>Cuándo aplica</x:v>
      </x:c>
      <x:c r="C1" s="22" t="str">
        <x:v>Qué se conserva</x:v>
      </x:c>
      <x:c r="D1" s="22" t="str">
        <x:v>Puede promoverse si...</x:v>
      </x:c>
      <x:c r="E1" s="22" t="str">
        <x:v>Riesgo evitado</x:v>
      </x:c>
    </x:row>
    <x:row r="2">
      <x:c r="A2" s="23" t="str">
        <x:v>Contexto / backlog</x:v>
      </x:c>
      <x:c r="B2" s="23" t="str">
        <x:v>Actividad elegible pero fuera del top 8 o no necesaria por balance.</x:v>
      </x:c>
      <x:c r="C2" s="23" t="str">
        <x:v>activityId, responsibilityId, texto, score, razón.</x:v>
      </x:c>
      <x:c r="D2" s="23" t="str">
        <x:v>Otro run, nuevo rol, reentry, cambio de prioridad estructural.</x:v>
      </x:c>
      <x:c r="E2" s="23" t="str">
        <x:v>Borrado de realidad.</x:v>
      </x:c>
    </x:row>
    <x:row r="3">
      <x:c r="A3" s="23" t="str">
        <x:v>Soporte candidato</x:v>
      </x:c>
      <x:c r="B3" s="23" t="str">
        <x:v>Actividad soporte habilita/repara/sincroniza otra actividad.</x:v>
      </x:c>
      <x:c r="C3" s="23" t="str">
        <x:v>Relación con primaria, dependencia, evento.</x:v>
      </x:c>
      <x:c r="D3" s="23" t="str">
        <x:v>Aparece como cuello de botella, workaround o proceso soporte oculto.</x:v>
      </x:c>
      <x:c r="E3" s="23" t="str">
        <x:v>Ocultar soporte en proceso principal.</x:v>
      </x:c>
    </x:row>
    <x:row r="4">
      <x:c r="A4" s="23" t="str">
        <x:v>Alias / merge</x:v>
      </x:c>
      <x:c r="B4" s="23" t="str">
        <x:v>Actividad duplica otra con distinto lenguaje.</x:v>
      </x:c>
      <x:c r="C4" s="23" t="str">
        <x:v>Mapa de equivalencia semántica.</x:v>
      </x:c>
      <x:c r="D4" s="23" t="str">
        <x:v>Se demuestra que no es alias sino objeto/handoff distinto.</x:v>
      </x:c>
      <x:c r="E4" s="23" t="str">
        <x:v>Duplicidad artificial.</x:v>
      </x:c>
    </x:row>
    <x:row r="5">
      <x:c r="A5" s="23" t="str">
        <x:v>Revisión semántica</x:v>
      </x:c>
      <x:c r="B5" s="23" t="str">
        <x:v>Texto pobre, ambiguo o no accionable.</x:v>
      </x:c>
      <x:c r="C5" s="23" t="str">
        <x:v>Texto literal y reason code.</x:v>
      </x:c>
      <x:c r="D5" s="23" t="str">
        <x:v>Usuario aclara actividad concreta.</x:v>
      </x:c>
      <x:c r="E5" s="23" t="str">
        <x:v>Inferencia falsa.</x:v>
      </x:c>
    </x:row>
    <x:row r="6">
      <x:c r="A6" s="23" t="str">
        <x:v>Bloqueada</x:v>
      </x:c>
      <x:c r="B6" s="23" t="str">
        <x:v>Falla gate duro.</x:v>
      </x:c>
      <x:c r="C6" s="23" t="str">
        <x:v>Motivo de bloqueo.</x:v>
      </x:c>
      <x:c r="D6" s="23" t="str">
        <x:v>Se corrige WorkMap o trazabilidad.</x:v>
      </x:c>
      <x:c r="E6" s="23" t="str">
        <x:v>Runtime sin conformance.</x:v>
      </x:c>
    </x:row>
    <x:row r="7">
      <x:c r="A7" s="23" t="str">
        <x:v>Externa</x:v>
      </x:c>
      <x:c r="B7" s="23" t="str">
        <x:v>Actividad fuera del rol pero afecta la escena.</x:v>
      </x:c>
      <x:c r="C7" s="23" t="str">
        <x:v>Actor externo, dependencia, impacto.</x:v>
      </x:c>
      <x:c r="D7" s="23" t="str">
        <x:v>Se convierte en proceso soporte/externo relevante.</x:v>
      </x:c>
      <x:c r="E7" s="23" t="str">
        <x:v>Contaminación de rol.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80" hidden="0" customWidth="1"/>
  </x:cols>
  <x:sheetData>
    <x:row r="1">
      <x:c r="A1" s="22" t="str">
        <x:v>Elemento selector</x:v>
      </x:c>
      <x:c r="B1" s="22" t="str">
        <x:v>Relación MMABP</x:v>
      </x:c>
      <x:c r="C1" s="22" t="str">
        <x:v>Por qué importa para seleccionar actividades</x:v>
      </x:c>
    </x:row>
    <x:row r="2">
      <x:c r="A2" s="23" t="str">
        <x:v>process_context_0_5</x:v>
      </x:c>
      <x:c r="B2" s="23" t="str">
        <x:v>PM</x:v>
      </x:c>
      <x:c r="C2" s="23" t="str">
        <x:v>Permite ubicar la actividad en proceso contenedor, intención, cliente/necesidad y soporte.</x:v>
      </x:c>
    </x:row>
    <x:row r="3">
      <x:c r="A3" s="23" t="str">
        <x:v>customer_receiver_hint_0_5</x:v>
      </x:c>
      <x:c r="B3" s="23" t="str">
        <x:v>PM/PF</x:v>
      </x:c>
      <x:c r="C3" s="23" t="str">
        <x:v>Evita actividad flotante; prepara handoff, satisfacción y feedback.</x:v>
      </x:c>
    </x:row>
    <x:row r="4">
      <x:c r="A4" s="23" t="str">
        <x:v>trigger_hint_0_5</x:v>
      </x:c>
      <x:c r="B4" s="23" t="str">
        <x:v>PM/PF</x:v>
      </x:c>
      <x:c r="C4" s="23" t="str">
        <x:v>Sin disparador, Runtime arranca desde reacción subjetiva y no desde evento.</x:v>
      </x:c>
    </x:row>
    <x:row r="5">
      <x:c r="A5" s="23" t="str">
        <x:v>transformation_object_0_5</x:v>
      </x:c>
      <x:c r="B5" s="23" t="str">
        <x:v>MoC/PF/OLC</x:v>
      </x:c>
      <x:c r="C5" s="23" t="str">
        <x:v>Identifica objeto de negocio y evita PF sin objeto.</x:v>
      </x:c>
    </x:row>
    <x:row r="6">
      <x:c r="A6" s="23" t="str">
        <x:v>state_change_0_5</x:v>
      </x:c>
      <x:c r="B6" s="23" t="str">
        <x:v>OLC/PF</x:v>
      </x:c>
      <x:c r="C6" s="23" t="str">
        <x:v>Permite observar transiciones válidas o inválidas del objeto.</x:v>
      </x:c>
    </x:row>
    <x:row r="7">
      <x:c r="A7" s="23" t="str">
        <x:v>handoff_dependency_0_5</x:v>
      </x:c>
      <x:c r="B7" s="23" t="str">
        <x:v>PM/PF</x:v>
      </x:c>
      <x:c r="C7" s="23" t="str">
        <x:v>Hace visible sincronización, receptor y procesos soporte.</x:v>
      </x:c>
    </x:row>
    <x:row r="8">
      <x:c r="A8" s="23" t="str">
        <x:v>wait_timer_blocking_0_5</x:v>
      </x:c>
      <x:c r="B8" s="23" t="str">
        <x:v>PF/OLC</x:v>
      </x:c>
      <x:c r="C8" s="23" t="str">
        <x:v>Detecta Process State, timer, deadlock o condición de liberación.</x:v>
      </x:c>
    </x:row>
    <x:row r="9">
      <x:c r="A9" s="23" t="str">
        <x:v>workaround_rework_0_5</x:v>
      </x:c>
      <x:c r="B9" s="23" t="str">
        <x:v>PF/OLC/EVE prep</x:v>
      </x:c>
      <x:c r="C9" s="23" t="str">
        <x:v>Señal de loop, excepción, soporte oculto o compensación humana.</x:v>
      </x:c>
    </x:row>
    <x:row r="10">
      <x:c r="A10" s="23" t="str">
        <x:v>info_gap_rule_informal_0_5</x:v>
      </x:c>
      <x:c r="B10" s="23" t="str">
        <x:v>PF/PM/EVE prep</x:v>
      </x:c>
      <x:c r="C10" s="23" t="str">
        <x:v>Señal de regulación informal, gap de información o soporte no diseñado.</x:v>
      </x:c>
    </x:row>
    <x:row r="11">
      <x:c r="A11" s="23" t="str">
        <x:v>coverage_uniqueness_0_5</x:v>
      </x:c>
      <x:c r="B11" s="23" t="str">
        <x:v>Conformance/consistencia</x:v>
      </x:c>
      <x:c r="C11" s="23" t="str">
        <x:v>Evita seleccionar ocho variantes de la misma realidad.</x:v>
      </x:c>
    </x:row>
    <x:row r="12">
      <x:c r="A12" s="23" t="str">
        <x:v>evidence_quality_0_5</x:v>
      </x:c>
      <x:c r="B12" s="23" t="str">
        <x:v>Conformance</x:v>
      </x:c>
      <x:c r="C12" s="23" t="str">
        <x:v>Prioriza actividades donde se puede modelar sin inventar.</x:v>
      </x:c>
    </x:row>
    <x:row r="13">
      <x:c r="A13" s="23" t="str">
        <x:v>runtime_feasibility_0_5</x:v>
      </x:c>
      <x:c r="B13" s="23" t="str">
        <x:v>UX/readiness</x:v>
      </x:c>
      <x:c r="C13" s="23" t="str">
        <x:v>Evita abrir 40+20 sobre una actividad que debe dividirse antes.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70" hidden="0" customWidth="1"/>
    <x:col min="4" max="4" width="18" hidden="0" customWidth="1"/>
  </x:cols>
  <x:sheetData>
    <x:row r="1">
      <x:c r="A1" s="22" t="str">
        <x:v>QA_ID</x:v>
      </x:c>
      <x:c r="B1" s="22" t="str">
        <x:v>Prueba</x:v>
      </x:c>
      <x:c r="C1" s="22" t="str">
        <x:v>Criterio de aprobación</x:v>
      </x:c>
      <x:c r="D1" s="22" t="str">
        <x:v>Estado</x:v>
      </x:c>
    </x:row>
    <x:row r="2">
      <x:c r="A2" s="23" t="str">
        <x:v>QA-01</x:v>
      </x:c>
      <x:c r="B2" s="23" t="str">
        <x:v>Máximo 8 primarias</x:v>
      </x:c>
      <x:c r="C2" s="23" t="str">
        <x:v>Dashboard final_primary_count &lt;= 8.</x:v>
      </x:c>
      <x:c r="D2" s="23" t="str"/>
    </x:row>
    <x:row r="3">
      <x:c r="A3" s="23" t="str">
        <x:v>QA-02</x:v>
      </x:c>
      <x:c r="B3" s="23" t="str">
        <x:v>Trazabilidad completa</x:v>
      </x:c>
      <x:c r="C3" s="23" t="str">
        <x:v>Toda primaria tiene activity_id, responsibility_id y role_functional.</x:v>
      </x:c>
      <x:c r="D3" s="23" t="str"/>
    </x:row>
    <x:row r="4">
      <x:c r="A4" s="23" t="str">
        <x:v>QA-03</x:v>
      </x:c>
      <x:c r="B4" s="23" t="str">
        <x:v>No selección de bloqueadas</x:v>
      </x:c>
      <x:c r="C4" s="23" t="str">
        <x:v>Ninguna actividad con Hard_Gate=BLOQUEADA tiene Final_Selection_Status primaria.</x:v>
      </x:c>
      <x:c r="D4" s="23" t="str"/>
    </x:row>
    <x:row r="5">
      <x:c r="A5" s="23" t="str">
        <x:v>QA-04</x:v>
      </x:c>
      <x:c r="B5" s="23" t="str">
        <x:v>Revisión no entra a Runtime</x:v>
      </x:c>
      <x:c r="C5" s="23" t="str">
        <x:v>Actividades en REVISIÓN no entran sin override justificado.</x:v>
      </x:c>
      <x:c r="D5" s="23" t="str"/>
    </x:row>
    <x:row r="6">
      <x:c r="A6" s="23" t="str">
        <x:v>QA-05</x:v>
      </x:c>
      <x:c r="B6" s="23" t="str">
        <x:v>Usuario no elige diagnóstico</x:v>
      </x:c>
      <x:c r="C6" s="23" t="str">
        <x:v>UI permite corrección factual, no selección libre de 8 favoritas.</x:v>
      </x:c>
      <x:c r="D6" s="23" t="str"/>
    </x:row>
    <x:row r="7">
      <x:c r="A7" s="23" t="str">
        <x:v>QA-06</x:v>
      </x:c>
      <x:c r="B7" s="23" t="str">
        <x:v>No primarias conservadas</x:v>
      </x:c>
      <x:c r="C7" s="23" t="str">
        <x:v>Todas las no seleccionadas tienen estado/contexto.</x:v>
      </x:c>
      <x:c r="D7" s="23" t="str"/>
    </x:row>
    <x:row r="8">
      <x:c r="A8" s="23" t="str">
        <x:v>QA-07</x:v>
      </x:c>
      <x:c r="B8" s="23" t="str">
        <x:v>Cobertura MMABP</x:v>
      </x:c>
      <x:c r="C8" s="23" t="str">
        <x:v>Si existen candidatas, primarias cubren transformación/estado, handoff/flujo y fricción/capacidad.</x:v>
      </x:c>
      <x:c r="D8" s="23" t="str"/>
    </x:row>
    <x:row r="9">
      <x:c r="A9" s="23" t="str">
        <x:v>QA-08</x:v>
      </x:c>
      <x:c r="B9" s="23" t="str">
        <x:v>Significado no gobierna selección</x:v>
      </x:c>
      <x:c r="C9" s="23" t="str">
        <x:v>Significado solo aporta señales auxiliares.</x:v>
      </x:c>
      <x:c r="D9" s="23" t="str"/>
    </x:row>
    <x:row r="10">
      <x:c r="A10" s="23" t="str">
        <x:v>QA-09</x:v>
      </x:c>
      <x:c r="B10" s="23" t="str">
        <x:v>No diagnóstico temprano</x:v>
      </x:c>
      <x:c r="C10" s="23" t="str">
        <x:v>No se usan etiquetas VSM/AHE como razón final de selección.</x:v>
      </x:c>
      <x:c r="D10" s="23" t="str"/>
    </x:row>
    <x:row r="11">
      <x:c r="A11" s="23" t="str">
        <x:v>QA-10</x:v>
      </x:c>
      <x:c r="B11" s="23" t="str">
        <x:v>Payload Runtime completo</x:v>
      </x:c>
      <x:c r="C11" s="23" t="str">
        <x:v>Cada primaria emite RuntimeActivityPayload.</x:v>
      </x:c>
      <x:c r="D11" s="23" t="str"/>
    </x:row>
    <x:row r="12">
      <x:c r="A12" s="23" t="str">
        <x:v>QA-11</x:v>
      </x:c>
      <x:c r="B12" s="23" t="str">
        <x:v>Recalcular ante corrección</x:v>
      </x:c>
      <x:c r="C12" s="23" t="str">
        <x:v>Corrección factual del usuario modifica ranking/selección.</x:v>
      </x:c>
      <x:c r="D12" s="23" t="str"/>
    </x:row>
    <x:row r="13">
      <x:c r="A13" s="23" t="str">
        <x:v>QA-12</x:v>
      </x:c>
      <x:c r="B13" s="23" t="str">
        <x:v>Auditable</x:v>
      </x:c>
      <x:c r="C13" s="23" t="str">
        <x:v>Score, gate, razón y override quedan registrados.</x:v>
      </x:c>
      <x:c r="D13" s="23" t="str"/>
    </x:row>
    <x:row r="15">
      <x:c r="A15" t="str">
        <x:v>QA-13 v1.1</x:v>
      </x:c>
      <x:c r="B15" t="str">
        <x:v>No rigidez prematura</x:v>
      </x:c>
      <x:c r="C15" t="str">
        <x:v>No bloquear actividades por no declarar objetos/estados/clientes antes del Runtime.</x:v>
      </x:c>
      <x:c r="D15" t="str"/>
    </x:row>
    <x:row r="16">
      <x:c r="A16" t="str">
        <x:v>QA-14 v1.1</x:v>
      </x:c>
      <x:c r="B16" t="str">
        <x:v>Unknown no es cero</x:v>
      </x:c>
      <x:c r="C16" t="str">
        <x:v>Señales en blanco no se convierten automáticamente en score 0.</x:v>
      </x:c>
      <x:c r="D16" t="str"/>
    </x:row>
    <x:row r="17">
      <x:c r="A17" t="str">
        <x:v>QA-15 v1.1</x:v>
      </x:c>
      <x:c r="B17" t="str">
        <x:v>Slot exploratorio</x:v>
      </x:c>
      <x:c r="C17" t="str">
        <x:v>Debe tener razón auditable y no superar el máximo de 8 actividades.</x:v>
      </x:c>
      <x:c r="D17" t="str"/>
    </x:row>
    <x:row r="18">
      <x:c r="A18" t="str">
        <x:v>QA-16 v1.1</x:v>
      </x:c>
      <x:c r="B18" t="str">
        <x:v>PM/MoC/PF/OLC como lentes</x:v>
      </x:c>
      <x:c r="C18" t="str">
        <x:v>El selector registra hipótesis de potencial, no hechos estructurales.</x:v>
      </x:c>
      <x:c r="D18" t="str"/>
    </x:row>
    <x:row r="19">
      <x:c r="A19" t="str">
        <x:v>QA-17 v1.1</x:v>
      </x:c>
      <x:c r="B19" t="str">
        <x:v>Reentry B0/B0.5</x:v>
      </x:c>
      <x:c r="C19" t="str">
        <x:v>Actividad ambigua prometedora puede ir a reconstrucción, no descarte automático.</x:v>
      </x:c>
      <x:c r="D19" t="str"/>
    </x:row>
    <x:row r="20">
      <x:c r="A20" t="str">
        <x:v>QA-18 v1.1</x:v>
      </x:c>
      <x:c r="B20" t="str">
        <x:v>No diagnóstico temprano</x:v>
      </x:c>
      <x:c r="C20" t="str">
        <x:v>Ninguna señal VSM/AHE decide selección final.</x:v>
      </x:c>
      <x:c r="D20" t="str"/>
    </x:row>
    <x:row r="21">
      <x:c r="A21" t="str">
        <x:v>QA-19 v1.1</x:v>
      </x:c>
      <x:c r="B21" t="str">
        <x:v>Selector v1.1 activo</x:v>
      </x:c>
      <x:c r="C21" t="str">
        <x:v>La implementación debe usar Selector_Template_v1_1 como hoja recomendada.</x:v>
      </x:c>
      <x:c r="D21" t="str"/>
    </x:row>
    <x:row r="22">
      <x:c r="A22" t="str">
        <x:v>QA-20 v1.1</x:v>
      </x:c>
      <x:c r="B22" t="str">
        <x:v>Dashboard v1.1 activo</x:v>
      </x:c>
      <x:c r="C22" t="str">
        <x:v>La revisión debe mirar Dashboard_v1_1 y QA_v1_1.</x:v>
      </x:c>
      <x:c r="D22" t="str"/>
    </x:row>
    <x:row r="23">
      <x:c r="A23"/>
      <x:c r="B23"/>
      <x:c r="C23"/>
      <x:c r="D23"/>
    </x:row>
    <x:row r="24">
      <x:c r="A24" t="str">
        <x:v>QA-v1.2-01</x:v>
      </x:c>
      <x:c r="B24" t="str">
        <x:v>&lt;=8 elegibles</x:v>
      </x:c>
      <x:c r="C24" t="str">
        <x:v>Todas las elegibles seleccionadas; selection_mode = non_competitive_inclusion.</x:v>
      </x:c>
      <x:c r="D24" t="str">
        <x:v>No excluir actividad elegible por ranking relativo.</x:v>
      </x:c>
    </x:row>
    <x:row r="25">
      <x:c r="A25" t="str">
        <x:v>QA-v1.2-02</x:v>
      </x:c>
      <x:c r="B25" t="str">
        <x:v>0 elegibles</x:v>
      </x:c>
      <x:c r="C25" t="str">
        <x:v>No Runtime; reentry a WorkMap.</x:v>
      </x:c>
      <x:c r="D25" t="str">
        <x:v>No inventar actividades ni promover responsabilidades genéricas.</x:v>
      </x:c>
    </x:row>
    <x:row r="26">
      <x:c r="A26" t="str">
        <x:v>QA-v1.2-03</x:v>
      </x:c>
      <x:c r="B26" t="str">
        <x:v>&gt;8 elegibles</x:v>
      </x:c>
      <x:c r="C26" t="str">
        <x:v>Aplicar scoring/balance; máximo 8.</x:v>
      </x:c>
      <x:c r="D26" t="str">
        <x:v>No delegar al usuario elección diagnóstica.</x:v>
      </x:c>
    </x:row>
    <x:row r="27">
      <x:c r="A27" t="str">
        <x:v>QA-v1.2-04</x:v>
      </x:c>
      <x:c r="B27" t="str">
        <x:v>Context bundle</x:v>
      </x:c>
      <x:c r="C27" t="str">
        <x:v>Estado A/WorkMap/Significado viajan con estado epistemológico.</x:v>
      </x:c>
      <x:c r="D27" t="str">
        <x:v>No confundir contexto con evidencia estructural confirmada.</x:v>
      </x:c>
    </x:row>
    <x:row r="28">
      <x:c r="A28" t="str">
        <x:v>QA-v1.2-05</x:v>
      </x:c>
      <x:c r="B28" t="str">
        <x:v>Significado ejecuta Runtime</x:v>
      </x:c>
      <x:c r="C28" t="str">
        <x:v>Pantalla muestra actividad primaria y corre 40 base + hasta 20 causales.</x:v>
      </x:c>
      <x:c r="D28" t="str">
        <x:v>Significado se comporta como selector visible o diagnóstico.</x:v>
      </x:c>
    </x:row>
    <x:row r="29">
      <x:c r="A29" t="str">
        <x:v>QA-v1.2-06</x:v>
      </x:c>
      <x:c r="B29" t="str">
        <x:v>Pocas actividades vs rol amplio</x:v>
      </x:c>
      <x:c r="C29" t="str">
        <x:v>Activar role_coverage_flag/workmap_coverage_gap.</x:v>
      </x:c>
      <x:c r="D29" t="str">
        <x:v>Avanzar sin flag pese a cobertura dudosa.</x:v>
      </x:c>
    </x:row>
    <x:row r="30">
      <x:c r="A30" t="str">
        <x:v>QA-v1.2-07</x:v>
      </x:c>
      <x:c r="B30" t="str">
        <x:v>Duplicados/macro/micro</x:v>
      </x:c>
      <x:c r="C30" t="str">
        <x:v>Consolidar, pedir desglose o agrupar antes del Runtime.</x:v>
      </x:c>
      <x:c r="D30" t="str">
        <x:v>Correr 40/20 sobre duplicados o unidades no delimitables.</x:v>
      </x:c>
    </x:row>
    <x:row r="32" ht="15" hidden="0" customHeight="1">
      <x:c r="A32" s="92" t="str">
        <x:v>QA-v1.3-01</x:v>
      </x:c>
      <x:c r="B32" s="92" t="str">
        <x:v>Balance no dominante</x:v>
      </x:c>
      <x:c r="C32" s="92" t="str">
        <x:v>Ninguna selección final debe justificarse exclusivamente por responsibility balance.</x:v>
      </x:c>
      <x:c r="D32" s="92" t="str"/>
    </x:row>
    <x:row r="33" ht="15" hidden="0" customHeight="1">
      <x:c r="A33" s="81" t="str">
        <x:v>QA-v1.3-02</x:v>
      </x:c>
      <x:c r="B33" s="81" t="str">
        <x:v>Razón específica</x:v>
      </x:c>
      <x:c r="C33" s="81" t="str">
        <x:v>Cada primaria tiene selection_reason_code específico de Reason_Codes_v1_3.</x:v>
      </x:c>
      <x:c r="D33" s="81" t="str"/>
    </x:row>
    <x:row r="34" ht="26.399999618530273" hidden="0" customHeight="1">
      <x:c r="A34" s="81" t="str">
        <x:v>QA-v1.3-03</x:v>
      </x:c>
      <x:c r="B34" s="81" t="str">
        <x:v>Política de slots</x:v>
      </x:c>
      <x:c r="C34" s="81" t="str">
        <x:v>La selección final contiene slots de transformación/objeto, handoff/timer, sincronización/gobernanza y PF/OLC si existen candidatos con señal suficiente.</x:v>
      </x:c>
      <x:c r="D34" s="81" t="str"/>
    </x:row>
    <x:row r="35" ht="15" hidden="0" customHeight="1">
      <x:c r="A35" s="81" t="str">
        <x:v>QA-v1.3-04</x:v>
      </x:c>
      <x:c r="B35" s="81" t="str">
        <x:v>Trace audit</x:v>
      </x:c>
      <x:c r="C35" s="81" t="str">
        <x:v>La traza muestra component scores, slot, penalties y razón por actividad.</x:v>
      </x:c>
      <x:c r="D35" s="81" t="str"/>
    </x:row>
    <x:row r="36" ht="26.399999618530273" hidden="0" customHeight="1">
      <x:c r="A36" s="81" t="str">
        <x:v>QA-v1.3-05</x:v>
      </x:c>
      <x:c r="B36" s="81" t="str">
        <x:v>Caso Director de Costos</x:v>
      </x:c>
      <x:c r="C36" s="81" t="str">
        <x:v>APU, estimaciones de obra, protocolización, cotizaciones y cuantificación no quedan fuera salvo razón específica documentada.</x:v>
      </x:c>
      <x:c r="D36" s="81" t="str"/>
    </x:row>
    <x:row r="37" ht="26.399999618530273" hidden="0" customHeight="1">
      <x:c r="A37" s="81" t="str">
        <x:v>QA-v1.3-06</x:v>
      </x:c>
      <x:c r="B37" s="81" t="str">
        <x:v>No razón genérica</x:v>
      </x:c>
      <x:c r="C37" s="81" t="str">
        <x:v>La frase 'Selected by structural score with responsibility balance' no puede ser la única razón visible en traza.</x:v>
      </x:c>
      <x:c r="D37" s="81" t="str"/>
    </x:row>
  </x:sheetData>
  <x:dataValidations count="1">
    <x:dataValidation type="list" sqref="D2:D13">
      <x:formula1>"Pendiente,OK,Falla,No aplica"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22" t="str">
        <x:v>Diccionario</x:v>
      </x:c>
      <x:c r="B1" s="22" t="str">
        <x:v>Valores</x:v>
      </x:c>
    </x:row>
    <x:row r="2">
      <x:c r="A2" s="23" t="str">
        <x:v>Sí/No</x:v>
      </x:c>
      <x:c r="B2" s="23" t="str">
        <x:v>Sí | No</x:v>
      </x:c>
    </x:row>
    <x:row r="3">
      <x:c r="A3" s="23" t="str">
        <x:v>granularity_status</x:v>
      </x:c>
      <x:c r="B3" s="23" t="str">
        <x:v>Correcta | Demasiado amplia | Microtarea | Ambigua</x:v>
      </x:c>
    </x:row>
    <x:row r="4">
      <x:c r="A4" s="23" t="str">
        <x:v>duplicate_or_alias</x:v>
      </x:c>
      <x:c r="B4" s="23" t="str">
        <x:v>No | Posible | Sí</x:v>
      </x:c>
    </x:row>
    <x:row r="5">
      <x:c r="A5" s="23" t="str">
        <x:v>score_0_5</x:v>
      </x:c>
      <x:c r="B5" s="23" t="str">
        <x:v>0 | 1 | 2 | 3 | 4 | 5</x:v>
      </x:c>
    </x:row>
    <x:row r="6">
      <x:c r="A6" s="23" t="str">
        <x:v>Hard_Gate</x:v>
      </x:c>
      <x:c r="B6" s="23" t="str">
        <x:v>ELEGIBLE | REVISIÓN | BLOQUEADA</x:v>
      </x:c>
    </x:row>
    <x:row r="7">
      <x:c r="A7" s="23" t="str">
        <x:v>Selection_Status</x:v>
      </x:c>
      <x:c r="B7" s="23" t="str">
        <x:v>Primaria propuesta | Contexto / backlog | Revisión previa | No seleccionable | Primaria forzada | Excluida</x:v>
      </x:c>
    </x:row>
    <x:row r="8">
      <x:c r="A8" s="23" t="str">
        <x:v>Coverage_Class</x:v>
      </x:c>
      <x:c r="B8" s="23" t="str">
        <x:v>Transformación/OLC | Handoff/Flujo | Capacidad/Compensación | Contexto/PM</x:v>
      </x:c>
    </x:row>
    <x:row r="9">
      <x:c r="A9" s="23" t="str">
        <x:v>Override_Policy</x:v>
      </x:c>
      <x:c r="B9" s="23" t="str">
        <x:v>Auto | Forzar primaria | Excluir | Revisión</x:v>
      </x:c>
    </x:row>
    <x:row r="10">
      <x:c r="A10" s="23" t="str">
        <x:v>Runtime_Opening_Profile</x:v>
      </x:c>
      <x:c r="B10" s="23" t="str">
        <x:v>40+20 probable | 40 base + causales selectivas | 40 base + probes mínimos | No abre Runtime profundo</x:v>
      </x:c>
    </x:row>
    <x:row r="11">
      <x:c r="A11" s="23" t="str">
        <x:v>Reentry_Review_Policy</x:v>
      </x:c>
      <x:c r="B11" s="23" t="str">
        <x:v>Enviar a Runtime | Microconfirmación B0 | Resolución semántica | Manual review | Corregir WorkMap/B0</x:v>
      </x:c>
    </x:row>
    <x:row r="12">
      <x:c r="A12" s="23" t="str">
        <x:v>Reason_Chips</x:v>
      </x:c>
      <x:c r="B12" s="23" t="str">
        <x:v>Transformación | Estado | Handoff | Espera | Bloqueo | Capacidad | Rework | Workaround | Información faltante | Soporte | Cobertura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50" hidden="0" customWidth="1"/>
  </x:cols>
  <x:sheetData>
    <x:row r="1">
      <x:c r="A1" s="58" t="str">
        <x:v>Métrica</x:v>
      </x:c>
      <x:c r="B1" s="58" t="str">
        <x:v>Valor</x:v>
      </x:c>
      <x:c r="C1" s="58" t="str">
        <x:v>Regla/alerta</x:v>
      </x:c>
    </x:row>
    <x:row r="2">
      <x:c r="A2" s="23" t="str">
        <x:v>Actividades cargadas</x:v>
      </x:c>
      <x:c r="B2" s="38" t="n">
        <x:f>COUNTA(Selector_Template!$A$2:$A$101)</x:f>
        <x:v>0</x:v>
      </x:c>
      <x:c r="C2" s="23" t="str"/>
    </x:row>
    <x:row r="3">
      <x:c r="A3" s="23" t="str">
        <x:v>Elegibles</x:v>
      </x:c>
      <x:c r="B3" s="38" t="n">
        <x:f>COUNTIF(Selector_Template!$AC$2:$AC$101,"ELEGIBLE")</x:f>
        <x:v>0</x:v>
      </x:c>
      <x:c r="C3" s="23" t="str"/>
    </x:row>
    <x:row r="4">
      <x:c r="A4" s="23" t="str">
        <x:v>En revisión</x:v>
      </x:c>
      <x:c r="B4" s="38" t="n">
        <x:f>COUNTIF(Selector_Template!$AC$2:$AC$101,"REVISIÓN")</x:f>
        <x:v>0</x:v>
      </x:c>
      <x:c r="C4" s="23" t="str"/>
    </x:row>
    <x:row r="5">
      <x:c r="A5" s="23" t="str">
        <x:v>Bloqueadas</x:v>
      </x:c>
      <x:c r="B5" s="38" t="n">
        <x:f>COUNTIF(Selector_Template!$AC$2:$AC$101,"BLOQUEADA")</x:f>
        <x:v>0</x:v>
      </x:c>
      <x:c r="C5" s="23" t="str"/>
    </x:row>
    <x:row r="6">
      <x:c r="A6" s="23" t="str">
        <x:v>Primarias finales</x:v>
      </x:c>
      <x:c r="B6" s="38" t="n">
        <x:f>COUNTIF(Selector_Template!$AO$2:$AO$101,"Primaria*")</x:f>
        <x:v>0</x:v>
      </x:c>
      <x:c r="C6" s="23" t="str">
        <x:f>IF(B6&lt;=8,"OK","EXCEDE 8: bloquear Runtime")</x:f>
        <x:v>OK</x:v>
      </x:c>
    </x:row>
    <x:row r="7">
      <x:c r="A7" s="23" t="str">
        <x:v>Promedio score elegible</x:v>
      </x:c>
      <x:c r="B7" s="38" t="str">
        <x:f>IFERROR(AVERAGEIF(Selector_Template!$AJ$2:$AJ$101,"&gt;0",Selector_Template!$AJ$2:$AJ$101),"")</x:f>
      </x:c>
      <x:c r="C7" s="23" t="str"/>
    </x:row>
    <x:row r="8">
      <x:c r="A8" s="23" t="str">
        <x:v>Transformación/OLC seleccionadas</x:v>
      </x:c>
      <x:c r="B8" s="38" t="n">
        <x:f>COUNTIFS(Selector_Template!$AO$2:$AO$101,"Primaria*",Selector_Template!$AM$2:$AM$101,"Transformación/OLC")</x:f>
        <x:v>0</x:v>
      </x:c>
      <x:c r="C8" s="23" t="str"/>
    </x:row>
    <x:row r="9">
      <x:c r="A9" s="23" t="str">
        <x:v>Handoff/Flujo seleccionadas</x:v>
      </x:c>
      <x:c r="B9" s="38" t="n">
        <x:f>COUNTIFS(Selector_Template!$AO$2:$AO$101,"Primaria*",Selector_Template!$AM$2:$AM$101,"Handoff/Flujo")</x:f>
        <x:v>0</x:v>
      </x:c>
      <x:c r="C9" s="23" t="str"/>
    </x:row>
    <x:row r="10">
      <x:c r="A10" s="23" t="str">
        <x:v>Capacidad/Compensación seleccionadas</x:v>
      </x:c>
      <x:c r="B10" s="38" t="n">
        <x:f>COUNTIFS(Selector_Template!$AO$2:$AO$101,"Primaria*",Selector_Template!$AM$2:$AM$101,"Capacidad/Compensación")</x:f>
        <x:v>0</x:v>
      </x:c>
      <x:c r="C10" s="23" t="str"/>
    </x:row>
    <x:row r="11">
      <x:c r="A11" s="23" t="str">
        <x:v>Contexto/PM seleccionadas</x:v>
      </x:c>
      <x:c r="B11" s="38" t="n">
        <x:f>COUNTIFS(Selector_Template!$AO$2:$AO$101,"Primaria*",Selector_Template!$AM$2:$AM$101,"Contexto/PM")</x:f>
        <x:v>0</x:v>
      </x:c>
      <x:c r="C11" s="23" t="str"/>
    </x:row>
    <x:row r="12">
      <x:c r="A12" s="23" t="str">
        <x:v>QA mínimo</x:v>
      </x:c>
      <x:c r="B12" s="38" t="str">
        <x:f>IF(AND(B6&lt;=8,B2&gt;=B6,B6&gt;=0),"OK","REVISAR")</x:f>
        <x:v>OK</x:v>
      </x:c>
      <x:c r="C12" s="23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30" hidden="0" customWidth="1"/>
    <x:col min="6" max="6" width="42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6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2" hidden="0" customWidth="1"/>
    <x:col min="38" max="38" width="20" hidden="0" customWidth="1"/>
    <x:col min="39" max="39" width="20" hidden="0" customWidth="1"/>
    <x:col min="40" max="40" width="18" hidden="0" customWidth="1"/>
    <x:col min="41" max="41" width="20" hidden="0" customWidth="1"/>
    <x:col min="42" max="42" width="20" hidden="0" customWidth="1"/>
    <x:col min="43" max="43" width="24" hidden="0" customWidth="1"/>
    <x:col min="44" max="44" width="32" hidden="0" customWidth="1"/>
    <x:col min="45" max="45" width="32" hidden="0" customWidth="1"/>
  </x:cols>
  <x:sheetData>
    <x:row r="1">
      <x:c r="A1" s="22" t="str">
        <x:v>activity_id</x:v>
      </x:c>
      <x:c r="B1" s="22" t="str">
        <x:v>responsibility_id</x:v>
      </x:c>
      <x:c r="C1" s="22" t="str">
        <x:v>area</x:v>
      </x:c>
      <x:c r="D1" s="22" t="str">
        <x:v>functional_role</x:v>
      </x:c>
      <x:c r="E1" s="22" t="str">
        <x:v>activity_label</x:v>
      </x:c>
      <x:c r="F1" s="22" t="str">
        <x:v>activity_description</x:v>
      </x:c>
      <x:c r="G1" s="22" t="str">
        <x:v>workmap_trace_ok</x:v>
      </x:c>
      <x:c r="H1" s="22" t="str">
        <x:v>is_work_activity</x:v>
      </x:c>
      <x:c r="I1" s="22" t="str">
        <x:v>granularity_status</x:v>
      </x:c>
      <x:c r="J1" s="22" t="str">
        <x:v>duplicate_or_alias</x:v>
      </x:c>
      <x:c r="K1" s="22" t="str">
        <x:v>semantic_clarity_0_5</x:v>
      </x:c>
      <x:c r="L1" s="22" t="str">
        <x:v>process_context_0_5</x:v>
      </x:c>
      <x:c r="M1" s="22" t="str">
        <x:v>customer_receiver_hint_0_5</x:v>
      </x:c>
      <x:c r="N1" s="22" t="str">
        <x:v>trigger_hint_0_5</x:v>
      </x:c>
      <x:c r="O1" s="22" t="str">
        <x:v>transformation_object_0_5</x:v>
      </x:c>
      <x:c r="P1" s="22" t="str">
        <x:v>state_change_0_5</x:v>
      </x:c>
      <x:c r="Q1" s="22" t="str">
        <x:v>handoff_dependency_0_5</x:v>
      </x:c>
      <x:c r="R1" s="22" t="str">
        <x:v>wait_timer_blocking_0_5</x:v>
      </x:c>
      <x:c r="S1" s="22" t="str">
        <x:v>variability_frequency_0_5</x:v>
      </x:c>
      <x:c r="T1" s="22" t="str">
        <x:v>capacity_pressure_0_5</x:v>
      </x:c>
      <x:c r="U1" s="22" t="str">
        <x:v>workaround_rework_0_5</x:v>
      </x:c>
      <x:c r="V1" s="22" t="str">
        <x:v>info_gap_rule_informal_0_5</x:v>
      </x:c>
      <x:c r="W1" s="22" t="str">
        <x:v>human_compensation_0_5</x:v>
      </x:c>
      <x:c r="X1" s="22" t="str">
        <x:v>support_external_process_0_5</x:v>
      </x:c>
      <x:c r="Y1" s="22" t="str">
        <x:v>strategic_value_or_loss_0_5</x:v>
      </x:c>
      <x:c r="Z1" s="22" t="str">
        <x:v>coverage_uniqueness_0_5</x:v>
      </x:c>
      <x:c r="AA1" s="22" t="str">
        <x:v>runtime_feasibility_0_5</x:v>
      </x:c>
      <x:c r="AB1" s="22" t="str">
        <x:v>evidence_quality_0_5</x:v>
      </x:c>
      <x:c r="AC1" s="22" t="str">
        <x:v>Hard_Gate</x:v>
      </x:c>
      <x:c r="AD1" s="22" t="str">
        <x:v>MMABP_Potential</x:v>
      </x:c>
      <x:c r="AE1" s="22" t="str">
        <x:v>Friction_Variety</x:v>
      </x:c>
      <x:c r="AF1" s="22" t="str">
        <x:v>Coverage_Score</x:v>
      </x:c>
      <x:c r="AG1" s="22" t="str">
        <x:v>Evidence_Feasibility</x:v>
      </x:c>
      <x:c r="AH1" s="22" t="str">
        <x:v>Critical_Boost</x:v>
      </x:c>
      <x:c r="AI1" s="22" t="str">
        <x:v>Burden_Risk</x:v>
      </x:c>
      <x:c r="AJ1" s="22" t="str">
        <x:v>Total_Selector_Score</x:v>
      </x:c>
      <x:c r="AK1" s="22" t="str">
        <x:v>Selector_Rank</x:v>
      </x:c>
      <x:c r="AL1" s="22" t="str">
        <x:v>Initial_Selection_Status</x:v>
      </x:c>
      <x:c r="AM1" s="22" t="str">
        <x:v>Coverage_Class</x:v>
      </x:c>
      <x:c r="AN1" s="22" t="str">
        <x:v>Override_Policy</x:v>
      </x:c>
      <x:c r="AO1" s="22" t="str">
        <x:v>Final_Selection_Status</x:v>
      </x:c>
      <x:c r="AP1" s="22" t="str">
        <x:v>Dominant_Reason</x:v>
      </x:c>
      <x:c r="AQ1" s="22" t="str">
        <x:v>Runtime_Opening_Profile</x:v>
      </x:c>
      <x:c r="AR1" s="22" t="str">
        <x:v>Reentry_Review_Policy</x:v>
      </x:c>
      <x:c r="AS1" s="22" t="str">
        <x:v>Notes</x:v>
      </x:c>
    </x:row>
    <x:row r="2">
      <x:c r="A2" s="23" t="str">
        <x:v>A001</x:v>
      </x:c>
      <x:c r="B2" s="23" t="str">
        <x:v>R001</x:v>
      </x:c>
      <x:c r="C2" s="23" t="str">
        <x:v>Operaciones</x:v>
      </x:c>
      <x:c r="D2" s="23" t="str">
        <x:v>Rol A</x:v>
      </x:c>
      <x:c r="E2" s="23" t="str">
        <x:v>Procesar pedido delivery</x:v>
      </x:c>
      <x:c r="F2" s="23" t="str">
        <x:v>Tomar, validar y pasar pedido delivery a cocina/reparto</x:v>
      </x:c>
      <x:c r="G2" s="23" t="str">
        <x:v>Sí</x:v>
      </x:c>
      <x:c r="H2" s="23" t="str">
        <x:v>Sí</x:v>
      </x:c>
      <x:c r="I2" s="23" t="str">
        <x:v>Correcta</x:v>
      </x:c>
      <x:c r="J2" s="23" t="str">
        <x:v>No</x:v>
      </x:c>
      <x:c r="K2" s="36" t="n">
        <x:v>5</x:v>
      </x:c>
      <x:c r="L2" s="36" t="n">
        <x:v>5</x:v>
      </x:c>
      <x:c r="M2" s="36" t="n">
        <x:v>5</x:v>
      </x:c>
      <x:c r="N2" s="36" t="n">
        <x:v>5</x:v>
      </x:c>
      <x:c r="O2" s="36" t="n">
        <x:v>5</x:v>
      </x:c>
      <x:c r="P2" s="36" t="n">
        <x:v>5</x:v>
      </x:c>
      <x:c r="Q2" s="36" t="n">
        <x:v>5</x:v>
      </x:c>
      <x:c r="R2" s="36" t="n">
        <x:v>3</x:v>
      </x:c>
      <x:c r="S2" s="36" t="n">
        <x:v>4</x:v>
      </x:c>
      <x:c r="T2" s="36" t="n">
        <x:v>4</x:v>
      </x:c>
      <x:c r="U2" s="36" t="n">
        <x:v>4</x:v>
      </x:c>
      <x:c r="V2" s="36" t="n">
        <x:v>3</x:v>
      </x:c>
      <x:c r="W2" s="36" t="n">
        <x:v>3</x:v>
      </x:c>
      <x:c r="X2" s="36" t="n">
        <x:v>4</x:v>
      </x:c>
      <x:c r="Y2" s="36" t="n">
        <x:v>5</x:v>
      </x:c>
      <x:c r="Z2" s="36" t="n">
        <x:v>5</x:v>
      </x:c>
      <x:c r="AA2" s="36" t="n">
        <x:v>4</x:v>
      </x:c>
      <x:c r="AB2" s="36" t="n">
        <x:v>5</x:v>
      </x:c>
      <x:c r="AC2" s="23" t="str">
        <x:f>IF($A2="","",IF(OR($G2&lt;&gt;"Sí",$H2&lt;&gt;"Sí",$I2&lt;&gt;"Correcta",$J2="Sí",$K2&lt;2),"BLOQUEADA",IF(OR($J2="Posible",$K2&lt;3,$L2&lt;2),"REVISIÓN","ELEGIBLE")))</x:f>
        <x:v>ELEGIBLE</x:v>
      </x:c>
      <x:c r="AD2" s="38" t="n">
        <x:f>IF($A2="","",IF($AC2="BLOQUEADA",0,ROUND(($L2*Scoring_Weights!$C$9+$M2*Scoring_Weights!$C$10+$N2*Scoring_Weights!$C$11+$O2*Scoring_Weights!$C$12+$P2*Scoring_Weights!$C$13+$Q2*Scoring_Weights!$C$14+$R2*Scoring_Weights!$C$15+$X2*Scoring_Weights!$C$16+$AB2*Scoring_Weights!$C$17)*20,1)))</x:f>
        <x:v>95.2</x:v>
      </x:c>
      <x:c r="AE2" s="38" t="n">
        <x:f>IF($A2="","",IF($AC2="BLOQUEADA",0,ROUND(($Q2*Scoring_Weights!$C$19+$R2*Scoring_Weights!$C$20+$S2*Scoring_Weights!$C$21+$T2*Scoring_Weights!$C$22+$U2*Scoring_Weights!$C$23+$V2*Scoring_Weights!$C$24+$W2*Scoring_Weights!$C$25)*20,1)))</x:f>
        <x:v>75</x:v>
      </x:c>
      <x:c r="AF2" s="38" t="n">
        <x:f>IF($A2="","",IF($AC2="BLOQUEADA",0,ROUND(($Z2*Scoring_Weights!$C$27+$Y2*Scoring_Weights!$C$28+$X2*Scoring_Weights!$C$29)*20,1)))</x:f>
        <x:v>97</x:v>
      </x:c>
      <x:c r="AG2" s="38" t="n">
        <x:f>IF($A2="","",IF($AC2="BLOQUEADA",0,ROUND(($AA2*Scoring_Weights!$C$31+$AB2*Scoring_Weights!$C$32+$K2*Scoring_Weights!$C$33)*20,1)))</x:f>
        <x:v>91</x:v>
      </x:c>
      <x:c r="AH2" s="38" t="n">
        <x:f>IF($A2="","",IF($AC2="BLOQUEADA",0,MIN(10,IF(OR($O2&gt;=4,$P2&gt;=4),2,0)+IF($Q2&gt;=4,2,0)+IF($R2&gt;=4,2,0)+IF($U2&gt;=4,2,0)+IF($T2&gt;=4,1,0)+IF($V2&gt;=4,1,0))))</x:f>
        <x:v>7</x:v>
      </x:c>
      <x:c r="AI2" s="38" t="n">
        <x:f>IF($A2="","",IF($AC2="BLOQUEADA",0,ROUND((MAX(0,5-$K2)+MAX(0,5-$AA2)+IF($I2="Ambigua",2,0)+IF($J2="Posible",2,0))*2,1)))</x:f>
        <x:v>2</x:v>
      </x:c>
      <x:c r="AJ2" s="38" t="n">
        <x:f>IF($A2="","",IF($AC2="BLOQUEADA",0,ROUND($AD2*Scoring_Weights!$C$2+$AE2*Scoring_Weights!$C$3+$AF2*Scoring_Weights!$C$4+$AG2*Scoring_Weights!$C$5+$AH2*Scoring_Weights!$C$6-$AI2*Scoring_Weights!$C$7,1)))</x:f>
        <x:v>91.9</x:v>
      </x:c>
      <x:c r="AK2" s="36" t="n">
        <x:f>IF($AC2&lt;&gt;"ELEGIBLE","",COUNTIFS($AC$2:$AC$11,"ELEGIBLE",$AJ$2:$AJ$11,"&gt;"&amp;$AJ2)+COUNTIFS($AC$2:$AC2,"ELEGIBLE",$AJ$2:$AJ2,$AJ2))</x:f>
        <x:v>2</x:v>
      </x:c>
      <x:c r="AL2" s="23" t="str">
        <x:f>IF($A2="","",IF($AC2="BLOQUEADA","No seleccionable",IF($AC2="REVISIÓN","Revisión previa",IF($AK2&lt;=8,"Primaria propuesta","Contexto / backlog"))))</x:f>
        <x:v>Primaria propuesta</x:v>
      </x:c>
      <x:c r="AM2" s="23" t="str">
        <x:f>IF($A2="","",IF(MAX($O2,$P2)&gt;=MAX($Q2,$R2,$T2,$U2,$W2),"Transformación/OLC",IF(MAX($Q2,$R2)&gt;=MAX($T2,$U2,$W2),"Handoff/Flujo",IF(MAX($T2,$U2,$V2,$W2)&gt;=3,"Capacidad/Compensación","Contexto/PM"))))</x:f>
        <x:v>Transformación/OLC</x:v>
      </x:c>
      <x:c r="AN2" s="23"/>
      <x:c r="AO2" s="23" t="str">
        <x:f>IF($A2="","",IF($AN2="Forzar primaria","Primaria forzada",IF($AN2="Excluir","Excluida",IF($AN2="Revisión","Revisión previa",$AL2))))</x:f>
        <x:v>Primaria propuesta</x:v>
      </x:c>
      <x:c r="AP2" s="23" t="str">
        <x:f>IF($A2="","",IF($AC2="BLOQUEADA","Gate duro",IF($AD2&gt;=MAX($AE2,$AF2,$AG2),"Potencial MMABP",IF($AE2&gt;=MAX($AD2,$AF2,$AG2),"Fricción/variedad",IF($AF2&gt;=MAX($AD2,$AE2,$AG2),"Cobertura","Evidencia/feasibilidad")))))</x:f>
        <x:v>Cobertura</x:v>
      </x:c>
      <x:c r="AQ2" s="23" t="str">
        <x:f>IF($A2="","",IF(LEFT($AO2,8)="Primaria",IF($AE2&gt;=75,"40+20 probable",IF($AD2&gt;=75,"40 base + causales selectivas","40 base + probes mínimos")),"No abre Runtime profundo"))</x:f>
        <x:v>40+20 probable</x:v>
      </x:c>
      <x:c r="AR2" s="23" t="str">
        <x:f>IF($A2="","",IF($AC2="BLOQUEADA","Corregir WorkMap/B0 antes de selección",IF($AC2="REVISIÓN","Microconfirmación B0 o resolución semántica",IF($AO2="Contexto / backlog","Conservar como contexto total","Enviar a Runtime"))))</x:f>
        <x:v>Enviar a Runtime</x:v>
      </x:c>
      <x:c r="AS2" s="23"/>
    </x:row>
    <x:row r="3">
      <x:c r="A3" s="23" t="str">
        <x:v>A002</x:v>
      </x:c>
      <x:c r="B3" s="23" t="str">
        <x:v>R001</x:v>
      </x:c>
      <x:c r="C3" s="23" t="str">
        <x:v>Operaciones</x:v>
      </x:c>
      <x:c r="D3" s="23" t="str">
        <x:v>Rol A</x:v>
      </x:c>
      <x:c r="E3" s="23" t="str">
        <x:v>Actualizar inventario</x:v>
      </x:c>
      <x:c r="F3" s="23" t="str">
        <x:v>Registrar entrada/salida de productos al cierre</x:v>
      </x:c>
      <x:c r="G3" s="23" t="str">
        <x:v>Sí</x:v>
      </x:c>
      <x:c r="H3" s="23" t="str">
        <x:v>Sí</x:v>
      </x:c>
      <x:c r="I3" s="23" t="str">
        <x:v>Correcta</x:v>
      </x:c>
      <x:c r="J3" s="23" t="str">
        <x:v>No</x:v>
      </x:c>
      <x:c r="K3" s="36" t="n">
        <x:v>4</x:v>
      </x:c>
      <x:c r="L3" s="36" t="n">
        <x:v>4</x:v>
      </x:c>
      <x:c r="M3" s="36" t="n">
        <x:v>3</x:v>
      </x:c>
      <x:c r="N3" s="36" t="n">
        <x:v>3</x:v>
      </x:c>
      <x:c r="O3" s="36" t="n">
        <x:v>5</x:v>
      </x:c>
      <x:c r="P3" s="36" t="n">
        <x:v>5</x:v>
      </x:c>
      <x:c r="Q3" s="36" t="n">
        <x:v>3</x:v>
      </x:c>
      <x:c r="R3" s="36" t="n">
        <x:v>2</x:v>
      </x:c>
      <x:c r="S3" s="36" t="n">
        <x:v>4</x:v>
      </x:c>
      <x:c r="T3" s="36" t="n">
        <x:v>3</x:v>
      </x:c>
      <x:c r="U3" s="36" t="n">
        <x:v>2</x:v>
      </x:c>
      <x:c r="V3" s="36" t="n">
        <x:v>2</x:v>
      </x:c>
      <x:c r="W3" s="36" t="n">
        <x:v>1</x:v>
      </x:c>
      <x:c r="X3" s="36" t="n">
        <x:v>3</x:v>
      </x:c>
      <x:c r="Y3" s="36" t="n">
        <x:v>4</x:v>
      </x:c>
      <x:c r="Z3" s="36" t="n">
        <x:v>4</x:v>
      </x:c>
      <x:c r="AA3" s="36" t="n">
        <x:v>5</x:v>
      </x:c>
      <x:c r="AB3" s="36" t="n">
        <x:v>4</x:v>
      </x:c>
      <x:c r="AC3" s="23" t="str">
        <x:f>IF($A3="","",IF(OR($G3&lt;&gt;"Sí",$H3&lt;&gt;"Sí",$I3&lt;&gt;"Correcta",$J3="Sí",$K3&lt;2),"BLOQUEADA",IF(OR($J3="Posible",$K3&lt;3,$L3&lt;2),"REVISIÓN","ELEGIBLE")))</x:f>
        <x:v>ELEGIBLE</x:v>
      </x:c>
      <x:c r="AD3" s="38" t="n">
        <x:f>IF($A3="","",IF($AC3="BLOQUEADA",0,ROUND(($L3*Scoring_Weights!$C$9+$M3*Scoring_Weights!$C$10+$N3*Scoring_Weights!$C$11+$O3*Scoring_Weights!$C$12+$P3*Scoring_Weights!$C$13+$Q3*Scoring_Weights!$C$14+$R3*Scoring_Weights!$C$15+$X3*Scoring_Weights!$C$16+$AB3*Scoring_Weights!$C$17)*20,1)))</x:f>
        <x:v>75.4</x:v>
      </x:c>
      <x:c r="AE3" s="38" t="n">
        <x:f>IF($A3="","",IF($AC3="BLOQUEADA",0,ROUND(($Q3*Scoring_Weights!$C$19+$R3*Scoring_Weights!$C$20+$S3*Scoring_Weights!$C$21+$T3*Scoring_Weights!$C$22+$U3*Scoring_Weights!$C$23+$V3*Scoring_Weights!$C$24+$W3*Scoring_Weights!$C$25)*20,1)))</x:f>
        <x:v>48.4</x:v>
      </x:c>
      <x:c r="AF3" s="38" t="n">
        <x:f>IF($A3="","",IF($AC3="BLOQUEADA",0,ROUND(($Z3*Scoring_Weights!$C$27+$Y3*Scoring_Weights!$C$28+$X3*Scoring_Weights!$C$29)*20,1)))</x:f>
        <x:v>77</x:v>
      </x:c>
      <x:c r="AG3" s="38" t="n">
        <x:f>IF($A3="","",IF($AC3="BLOQUEADA",0,ROUND(($AA3*Scoring_Weights!$C$31+$AB3*Scoring_Weights!$C$32+$K3*Scoring_Weights!$C$33)*20,1)))</x:f>
        <x:v>89</x:v>
      </x:c>
      <x:c r="AH3" s="38" t="n">
        <x:f>IF($A3="","",IF($AC3="BLOQUEADA",0,MIN(10,IF(OR($O3&gt;=4,$P3&gt;=4),2,0)+IF($Q3&gt;=4,2,0)+IF($R3&gt;=4,2,0)+IF($U3&gt;=4,2,0)+IF($T3&gt;=4,1,0)+IF($V3&gt;=4,1,0))))</x:f>
        <x:v>2</x:v>
      </x:c>
      <x:c r="AI3" s="38" t="n">
        <x:f>IF($A3="","",IF($AC3="BLOQUEADA",0,ROUND((MAX(0,5-$K3)+MAX(0,5-$AA3)+IF($I3="Ambigua",2,0)+IF($J3="Posible",2,0))*2,1)))</x:f>
        <x:v>2</x:v>
      </x:c>
      <x:c r="AJ3" s="38" t="n">
        <x:f>IF($A3="","",IF($AC3="BLOQUEADA",0,ROUND($AD3*Scoring_Weights!$C$2+$AE3*Scoring_Weights!$C$3+$AF3*Scoring_Weights!$C$4+$AG3*Scoring_Weights!$C$5+$AH3*Scoring_Weights!$C$6-$AI3*Scoring_Weights!$C$7,1)))</x:f>
        <x:v>68.2</x:v>
      </x:c>
      <x:c r="AK3" s="36" t="n">
        <x:f>IF($AC3&lt;&gt;"ELEGIBLE","",COUNTIFS($AC$2:$AC$11,"ELEGIBLE",$AJ$2:$AJ$11,"&gt;"&amp;$AJ3)+COUNTIFS($AC$2:$AC3,"ELEGIBLE",$AJ$2:$AJ3,$AJ3))</x:f>
        <x:v>6</x:v>
      </x:c>
      <x:c r="AL3" s="23" t="str">
        <x:f>IF($A3="","",IF($AC3="BLOQUEADA","No seleccionable",IF($AC3="REVISIÓN","Revisión previa",IF($AK3&lt;=8,"Primaria propuesta","Contexto / backlog"))))</x:f>
        <x:v>Primaria propuesta</x:v>
      </x:c>
      <x:c r="AM3" s="23" t="str">
        <x:f>IF($A3="","",IF(MAX($O3,$P3)&gt;=MAX($Q3,$R3,$T3,$U3,$W3),"Transformación/OLC",IF(MAX($Q3,$R3)&gt;=MAX($T3,$U3,$W3),"Handoff/Flujo",IF(MAX($T3,$U3,$V3,$W3)&gt;=3,"Capacidad/Compensación","Contexto/PM"))))</x:f>
        <x:v>Transformación/OLC</x:v>
      </x:c>
      <x:c r="AN3" s="23"/>
      <x:c r="AO3" s="23" t="str">
        <x:f>IF($A3="","",IF($AN3="Forzar primaria","Primaria forzada",IF($AN3="Excluir","Excluida",IF($AN3="Revisión","Revisión previa",$AL3))))</x:f>
        <x:v>Primaria propuesta</x:v>
      </x:c>
      <x:c r="AP3" s="23" t="str">
        <x:f>IF($A3="","",IF($AC3="BLOQUEADA","Gate duro",IF($AD3&gt;=MAX($AE3,$AF3,$AG3),"Potencial MMABP",IF($AE3&gt;=MAX($AD3,$AF3,$AG3),"Fricción/variedad",IF($AF3&gt;=MAX($AD3,$AE3,$AG3),"Cobertura","Evidencia/feasibilidad")))))</x:f>
        <x:v>Evidencia/feasibilidad</x:v>
      </x:c>
      <x:c r="AQ3" s="23" t="str">
        <x:f>IF($A3="","",IF(LEFT($AO3,8)="Primaria",IF($AE3&gt;=75,"40+20 probable",IF($AD3&gt;=75,"40 base + causales selectivas","40 base + probes mínimos")),"No abre Runtime profundo"))</x:f>
        <x:v>40 base + causales selectivas</x:v>
      </x:c>
      <x:c r="AR3" s="23" t="str">
        <x:f>IF($A3="","",IF($AC3="BLOQUEADA","Corregir WorkMap/B0 antes de selección",IF($AC3="REVISIÓN","Microconfirmación B0 o resolución semántica",IF($AO3="Contexto / backlog","Conservar como contexto total","Enviar a Runtime"))))</x:f>
        <x:v>Enviar a Runtime</x:v>
      </x:c>
      <x:c r="AS3" s="23"/>
    </x:row>
    <x:row r="4">
      <x:c r="A4" s="23" t="str">
        <x:v>A003</x:v>
      </x:c>
      <x:c r="B4" s="23" t="str">
        <x:v>R002</x:v>
      </x:c>
      <x:c r="C4" s="23" t="str">
        <x:v>Servicio</x:v>
      </x:c>
      <x:c r="D4" s="23" t="str">
        <x:v>Rol A</x:v>
      </x:c>
      <x:c r="E4" s="23" t="str">
        <x:v>Atender reclamo de cliente</x:v>
      </x:c>
      <x:c r="F4" s="23" t="str">
        <x:v>Recibir reclamo, revisar causa y coordinar corrección</x:v>
      </x:c>
      <x:c r="G4" s="23" t="str">
        <x:v>Sí</x:v>
      </x:c>
      <x:c r="H4" s="23" t="str">
        <x:v>Sí</x:v>
      </x:c>
      <x:c r="I4" s="23" t="str">
        <x:v>Correcta</x:v>
      </x:c>
      <x:c r="J4" s="23" t="str">
        <x:v>No</x:v>
      </x:c>
      <x:c r="K4" s="36" t="n">
        <x:v>5</x:v>
      </x:c>
      <x:c r="L4" s="36" t="n">
        <x:v>5</x:v>
      </x:c>
      <x:c r="M4" s="36" t="n">
        <x:v>5</x:v>
      </x:c>
      <x:c r="N4" s="36" t="n">
        <x:v>4</x:v>
      </x:c>
      <x:c r="O4" s="36" t="n">
        <x:v>4</x:v>
      </x:c>
      <x:c r="P4" s="36" t="n">
        <x:v>4</x:v>
      </x:c>
      <x:c r="Q4" s="36" t="n">
        <x:v>5</x:v>
      </x:c>
      <x:c r="R4" s="36" t="n">
        <x:v>4</x:v>
      </x:c>
      <x:c r="S4" s="36" t="n">
        <x:v>5</x:v>
      </x:c>
      <x:c r="T4" s="36" t="n">
        <x:v>4</x:v>
      </x:c>
      <x:c r="U4" s="36" t="n">
        <x:v>5</x:v>
      </x:c>
      <x:c r="V4" s="36" t="n">
        <x:v>4</x:v>
      </x:c>
      <x:c r="W4" s="36" t="n">
        <x:v>4</x:v>
      </x:c>
      <x:c r="X4" s="36" t="n">
        <x:v>4</x:v>
      </x:c>
      <x:c r="Y4" s="36" t="n">
        <x:v>5</x:v>
      </x:c>
      <x:c r="Z4" s="36" t="n">
        <x:v>5</x:v>
      </x:c>
      <x:c r="AA4" s="36" t="n">
        <x:v>4</x:v>
      </x:c>
      <x:c r="AB4" s="36" t="n">
        <x:v>5</x:v>
      </x:c>
      <x:c r="AC4" s="23" t="str">
        <x:f>IF($A4="","",IF(OR($G4&lt;&gt;"Sí",$H4&lt;&gt;"Sí",$I4&lt;&gt;"Correcta",$J4="Sí",$K4&lt;2),"BLOQUEADA",IF(OR($J4="Posible",$K4&lt;3,$L4&lt;2),"REVISIÓN","ELEGIBLE")))</x:f>
        <x:v>ELEGIBLE</x:v>
      </x:c>
      <x:c r="AD4" s="38" t="n">
        <x:f>IF($A4="","",IF($AC4="BLOQUEADA",0,ROUND(($L4*Scoring_Weights!$C$9+$M4*Scoring_Weights!$C$10+$N4*Scoring_Weights!$C$11+$O4*Scoring_Weights!$C$12+$P4*Scoring_Weights!$C$13+$Q4*Scoring_Weights!$C$14+$R4*Scoring_Weights!$C$15+$X4*Scoring_Weights!$C$16+$AB4*Scoring_Weights!$C$17)*20,1)))</x:f>
        <x:v>88.2</x:v>
      </x:c>
      <x:c r="AE4" s="38" t="n">
        <x:f>IF($A4="","",IF($AC4="BLOQUEADA",0,ROUND(($Q4*Scoring_Weights!$C$19+$R4*Scoring_Weights!$C$20+$S4*Scoring_Weights!$C$21+$T4*Scoring_Weights!$C$22+$U4*Scoring_Weights!$C$23+$V4*Scoring_Weights!$C$24+$W4*Scoring_Weights!$C$25)*20,1)))</x:f>
        <x:v>89</x:v>
      </x:c>
      <x:c r="AF4" s="38" t="n">
        <x:f>IF($A4="","",IF($AC4="BLOQUEADA",0,ROUND(($Z4*Scoring_Weights!$C$27+$Y4*Scoring_Weights!$C$28+$X4*Scoring_Weights!$C$29)*20,1)))</x:f>
        <x:v>97</x:v>
      </x:c>
      <x:c r="AG4" s="38" t="n">
        <x:f>IF($A4="","",IF($AC4="BLOQUEADA",0,ROUND(($AA4*Scoring_Weights!$C$31+$AB4*Scoring_Weights!$C$32+$K4*Scoring_Weights!$C$33)*20,1)))</x:f>
        <x:v>91</x:v>
      </x:c>
      <x:c r="AH4" s="38" t="n">
        <x:f>IF($A4="","",IF($AC4="BLOQUEADA",0,MIN(10,IF(OR($O4&gt;=4,$P4&gt;=4),2,0)+IF($Q4&gt;=4,2,0)+IF($R4&gt;=4,2,0)+IF($U4&gt;=4,2,0)+IF($T4&gt;=4,1,0)+IF($V4&gt;=4,1,0))))</x:f>
        <x:v>10</x:v>
      </x:c>
      <x:c r="AI4" s="38" t="n">
        <x:f>IF($A4="","",IF($AC4="BLOQUEADA",0,ROUND((MAX(0,5-$K4)+MAX(0,5-$AA4)+IF($I4="Ambigua",2,0)+IF($J4="Posible",2,0))*2,1)))</x:f>
        <x:v>2</x:v>
      </x:c>
      <x:c r="AJ4" s="38" t="n">
        <x:f>IF($A4="","",IF($AC4="BLOQUEADA",0,ROUND($AD4*Scoring_Weights!$C$2+$AE4*Scoring_Weights!$C$3+$AF4*Scoring_Weights!$C$4+$AG4*Scoring_Weights!$C$5+$AH4*Scoring_Weights!$C$6-$AI4*Scoring_Weights!$C$7,1)))</x:f>
        <x:v>95.3</x:v>
      </x:c>
      <x:c r="AK4" s="36" t="n">
        <x:f>IF($AC4&lt;&gt;"ELEGIBLE","",COUNTIFS($AC$2:$AC$11,"ELEGIBLE",$AJ$2:$AJ$11,"&gt;"&amp;$AJ4)+COUNTIFS($AC$2:$AC4,"ELEGIBLE",$AJ$2:$AJ4,$AJ4))</x:f>
        <x:v>1</x:v>
      </x:c>
      <x:c r="AL4" s="23" t="str">
        <x:f>IF($A4="","",IF($AC4="BLOQUEADA","No seleccionable",IF($AC4="REVISIÓN","Revisión previa",IF($AK4&lt;=8,"Primaria propuesta","Contexto / backlog"))))</x:f>
        <x:v>Primaria propuesta</x:v>
      </x:c>
      <x:c r="AM4" s="23" t="str">
        <x:f>IF($A4="","",IF(MAX($O4,$P4)&gt;=MAX($Q4,$R4,$T4,$U4,$W4),"Transformación/OLC",IF(MAX($Q4,$R4)&gt;=MAX($T4,$U4,$W4),"Handoff/Flujo",IF(MAX($T4,$U4,$V4,$W4)&gt;=3,"Capacidad/Compensación","Contexto/PM"))))</x:f>
        <x:v>Handoff/Flujo</x:v>
      </x:c>
      <x:c r="AN4" s="23"/>
      <x:c r="AO4" s="23" t="str">
        <x:f>IF($A4="","",IF($AN4="Forzar primaria","Primaria forzada",IF($AN4="Excluir","Excluida",IF($AN4="Revisión","Revisión previa",$AL4))))</x:f>
        <x:v>Primaria propuesta</x:v>
      </x:c>
      <x:c r="AP4" s="23" t="str">
        <x:f>IF($A4="","",IF($AC4="BLOQUEADA","Gate duro",IF($AD4&gt;=MAX($AE4,$AF4,$AG4),"Potencial MMABP",IF($AE4&gt;=MAX($AD4,$AF4,$AG4),"Fricción/variedad",IF($AF4&gt;=MAX($AD4,$AE4,$AG4),"Cobertura","Evidencia/feasibilidad")))))</x:f>
        <x:v>Cobertura</x:v>
      </x:c>
      <x:c r="AQ4" s="23" t="str">
        <x:f>IF($A4="","",IF(LEFT($AO4,8)="Primaria",IF($AE4&gt;=75,"40+20 probable",IF($AD4&gt;=75,"40 base + causales selectivas","40 base + probes mínimos")),"No abre Runtime profundo"))</x:f>
        <x:v>40+20 probable</x:v>
      </x:c>
      <x:c r="AR4" s="23" t="str">
        <x:f>IF($A4="","",IF($AC4="BLOQUEADA","Corregir WorkMap/B0 antes de selección",IF($AC4="REVISIÓN","Microconfirmación B0 o resolución semántica",IF($AO4="Contexto / backlog","Conservar como contexto total","Enviar a Runtime"))))</x:f>
        <x:v>Enviar a Runtime</x:v>
      </x:c>
      <x:c r="AS4" s="23"/>
    </x:row>
    <x:row r="5">
      <x:c r="A5" s="23" t="str">
        <x:v>A004</x:v>
      </x:c>
      <x:c r="B5" s="23" t="str">
        <x:v>R003</x:v>
      </x:c>
      <x:c r="C5" s="23" t="str">
        <x:v>Administración</x:v>
      </x:c>
      <x:c r="D5" s="23" t="str">
        <x:v>Rol A</x:v>
      </x:c>
      <x:c r="E5" s="23" t="str">
        <x:v>Revisar factura rechazada</x:v>
      </x:c>
      <x:c r="F5" s="23" t="str">
        <x:v>Resolver devolución o rechazo de factura por cliente/proveedor</x:v>
      </x:c>
      <x:c r="G5" s="23" t="str">
        <x:v>Sí</x:v>
      </x:c>
      <x:c r="H5" s="23" t="str">
        <x:v>Sí</x:v>
      </x:c>
      <x:c r="I5" s="23" t="str">
        <x:v>Correcta</x:v>
      </x:c>
      <x:c r="J5" s="23" t="str">
        <x:v>No</x:v>
      </x:c>
      <x:c r="K5" s="36" t="n">
        <x:v>5</x:v>
      </x:c>
      <x:c r="L5" s="36" t="n">
        <x:v>4</x:v>
      </x:c>
      <x:c r="M5" s="36" t="n">
        <x:v>4</x:v>
      </x:c>
      <x:c r="N5" s="36" t="n">
        <x:v>4</x:v>
      </x:c>
      <x:c r="O5" s="36" t="n">
        <x:v>5</x:v>
      </x:c>
      <x:c r="P5" s="36" t="n">
        <x:v>5</x:v>
      </x:c>
      <x:c r="Q5" s="36" t="n">
        <x:v>5</x:v>
      </x:c>
      <x:c r="R5" s="36" t="n">
        <x:v>4</x:v>
      </x:c>
      <x:c r="S5" s="36" t="n">
        <x:v>3</x:v>
      </x:c>
      <x:c r="T5" s="36" t="n">
        <x:v>3</x:v>
      </x:c>
      <x:c r="U5" s="36" t="n">
        <x:v>5</x:v>
      </x:c>
      <x:c r="V5" s="36" t="n">
        <x:v>4</x:v>
      </x:c>
      <x:c r="W5" s="36" t="n">
        <x:v>3</x:v>
      </x:c>
      <x:c r="X5" s="36" t="n">
        <x:v>3</x:v>
      </x:c>
      <x:c r="Y5" s="36" t="n">
        <x:v>4</x:v>
      </x:c>
      <x:c r="Z5" s="36" t="n">
        <x:v>4</x:v>
      </x:c>
      <x:c r="AA5" s="36" t="n">
        <x:v>4</x:v>
      </x:c>
      <x:c r="AB5" s="36" t="n">
        <x:v>5</x:v>
      </x:c>
      <x:c r="AC5" s="23" t="str">
        <x:f>IF($A5="","",IF(OR($G5&lt;&gt;"Sí",$H5&lt;&gt;"Sí",$I5&lt;&gt;"Correcta",$J5="Sí",$K5&lt;2),"BLOQUEADA",IF(OR($J5="Posible",$K5&lt;3,$L5&lt;2),"REVISIÓN","ELEGIBLE")))</x:f>
        <x:v>ELEGIBLE</x:v>
      </x:c>
      <x:c r="AD5" s="38" t="n">
        <x:f>IF($A5="","",IF($AC5="BLOQUEADA",0,ROUND(($L5*Scoring_Weights!$C$9+$M5*Scoring_Weights!$C$10+$N5*Scoring_Weights!$C$11+$O5*Scoring_Weights!$C$12+$P5*Scoring_Weights!$C$13+$Q5*Scoring_Weights!$C$14+$R5*Scoring_Weights!$C$15+$X5*Scoring_Weights!$C$16+$AB5*Scoring_Weights!$C$17)*20,1)))</x:f>
        <x:v>88.8</x:v>
      </x:c>
      <x:c r="AE5" s="38" t="n">
        <x:f>IF($A5="","",IF($AC5="BLOQUEADA",0,ROUND(($Q5*Scoring_Weights!$C$19+$R5*Scoring_Weights!$C$20+$S5*Scoring_Weights!$C$21+$T5*Scoring_Weights!$C$22+$U5*Scoring_Weights!$C$23+$V5*Scoring_Weights!$C$24+$W5*Scoring_Weights!$C$25)*20,1)))</x:f>
        <x:v>78.8</x:v>
      </x:c>
      <x:c r="AF5" s="38" t="n">
        <x:f>IF($A5="","",IF($AC5="BLOQUEADA",0,ROUND(($Z5*Scoring_Weights!$C$27+$Y5*Scoring_Weights!$C$28+$X5*Scoring_Weights!$C$29)*20,1)))</x:f>
        <x:v>77</x:v>
      </x:c>
      <x:c r="AG5" s="38" t="n">
        <x:f>IF($A5="","",IF($AC5="BLOQUEADA",0,ROUND(($AA5*Scoring_Weights!$C$31+$AB5*Scoring_Weights!$C$32+$K5*Scoring_Weights!$C$33)*20,1)))</x:f>
        <x:v>91</x:v>
      </x:c>
      <x:c r="AH5" s="38" t="n">
        <x:f>IF($A5="","",IF($AC5="BLOQUEADA",0,MIN(10,IF(OR($O5&gt;=4,$P5&gt;=4),2,0)+IF($Q5&gt;=4,2,0)+IF($R5&gt;=4,2,0)+IF($U5&gt;=4,2,0)+IF($T5&gt;=4,1,0)+IF($V5&gt;=4,1,0))))</x:f>
        <x:v>9</x:v>
      </x:c>
      <x:c r="AI5" s="38" t="n">
        <x:f>IF($A5="","",IF($AC5="BLOQUEADA",0,ROUND((MAX(0,5-$K5)+MAX(0,5-$AA5)+IF($I5="Ambigua",2,0)+IF($J5="Posible",2,0))*2,1)))</x:f>
        <x:v>2</x:v>
      </x:c>
      <x:c r="AJ5" s="38" t="n">
        <x:f>IF($A5="","",IF($AC5="BLOQUEADA",0,ROUND($AD5*Scoring_Weights!$C$2+$AE5*Scoring_Weights!$C$3+$AF5*Scoring_Weights!$C$4+$AG5*Scoring_Weights!$C$5+$AH5*Scoring_Weights!$C$6-$AI5*Scoring_Weights!$C$7,1)))</x:f>
        <x:v>89</x:v>
      </x:c>
      <x:c r="AK5" s="36" t="n">
        <x:f>IF($AC5&lt;&gt;"ELEGIBLE","",COUNTIFS($AC$2:$AC$11,"ELEGIBLE",$AJ$2:$AJ$11,"&gt;"&amp;$AJ5)+COUNTIFS($AC$2:$AC5,"ELEGIBLE",$AJ$2:$AJ5,$AJ5))</x:f>
        <x:v>3</x:v>
      </x:c>
      <x:c r="AL5" s="23" t="str">
        <x:f>IF($A5="","",IF($AC5="BLOQUEADA","No seleccionable",IF($AC5="REVISIÓN","Revisión previa",IF($AK5&lt;=8,"Primaria propuesta","Contexto / backlog"))))</x:f>
        <x:v>Primaria propuesta</x:v>
      </x:c>
      <x:c r="AM5" s="23" t="str">
        <x:f>IF($A5="","",IF(MAX($O5,$P5)&gt;=MAX($Q5,$R5,$T5,$U5,$W5),"Transformación/OLC",IF(MAX($Q5,$R5)&gt;=MAX($T5,$U5,$W5),"Handoff/Flujo",IF(MAX($T5,$U5,$V5,$W5)&gt;=3,"Capacidad/Compensación","Contexto/PM"))))</x:f>
        <x:v>Transformación/OLC</x:v>
      </x:c>
      <x:c r="AN5" s="23"/>
      <x:c r="AO5" s="23" t="str">
        <x:f>IF($A5="","",IF($AN5="Forzar primaria","Primaria forzada",IF($AN5="Excluir","Excluida",IF($AN5="Revisión","Revisión previa",$AL5))))</x:f>
        <x:v>Primaria propuesta</x:v>
      </x:c>
      <x:c r="AP5" s="23" t="str">
        <x:f>IF($A5="","",IF($AC5="BLOQUEADA","Gate duro",IF($AD5&gt;=MAX($AE5,$AF5,$AG5),"Potencial MMABP",IF($AE5&gt;=MAX($AD5,$AF5,$AG5),"Fricción/variedad",IF($AF5&gt;=MAX($AD5,$AE5,$AG5),"Cobertura","Evidencia/feasibilidad")))))</x:f>
        <x:v>Evidencia/feasibilidad</x:v>
      </x:c>
      <x:c r="AQ5" s="23" t="str">
        <x:f>IF($A5="","",IF(LEFT($AO5,8)="Primaria",IF($AE5&gt;=75,"40+20 probable",IF($AD5&gt;=75,"40 base + causales selectivas","40 base + probes mínimos")),"No abre Runtime profundo"))</x:f>
        <x:v>40+20 probable</x:v>
      </x:c>
      <x:c r="AR5" s="23" t="str">
        <x:f>IF($A5="","",IF($AC5="BLOQUEADA","Corregir WorkMap/B0 antes de selección",IF($AC5="REVISIÓN","Microconfirmación B0 o resolución semántica",IF($AO5="Contexto / backlog","Conservar como contexto total","Enviar a Runtime"))))</x:f>
        <x:v>Enviar a Runtime</x:v>
      </x:c>
      <x:c r="AS5" s="23"/>
    </x:row>
    <x:row r="6">
      <x:c r="A6" s="23" t="str">
        <x:v>A005</x:v>
      </x:c>
      <x:c r="B6" s="23" t="str">
        <x:v>R004</x:v>
      </x:c>
      <x:c r="C6" s="23" t="str">
        <x:v>Ventas</x:v>
      </x:c>
      <x:c r="D6" s="23" t="str">
        <x:v>Rol A</x:v>
      </x:c>
      <x:c r="E6" s="23" t="str">
        <x:v>Reunión semanal</x:v>
      </x:c>
      <x:c r="F6" s="23" t="str">
        <x:v>Reunirse para conversar temas generales</x:v>
      </x:c>
      <x:c r="G6" s="23" t="str">
        <x:v>Sí</x:v>
      </x:c>
      <x:c r="H6" s="23" t="str">
        <x:v>Sí</x:v>
      </x:c>
      <x:c r="I6" s="23" t="str">
        <x:v>Demasiado amplia</x:v>
      </x:c>
      <x:c r="J6" s="23" t="str">
        <x:v>Posible</x:v>
      </x:c>
      <x:c r="K6" s="36" t="n">
        <x:v>2</x:v>
      </x:c>
      <x:c r="L6" s="36" t="n">
        <x:v>2</x:v>
      </x:c>
      <x:c r="M6" s="36" t="n">
        <x:v>1</x:v>
      </x:c>
      <x:c r="N6" s="36" t="n">
        <x:v>1</x:v>
      </x:c>
      <x:c r="O6" s="36" t="n">
        <x:v>1</x:v>
      </x:c>
      <x:c r="P6" s="36" t="n">
        <x:v>1</x:v>
      </x:c>
      <x:c r="Q6" s="36" t="n">
        <x:v>1</x:v>
      </x:c>
      <x:c r="R6" s="36" t="n">
        <x:v>0</x:v>
      </x:c>
      <x:c r="S6" s="36" t="n">
        <x:v>2</x:v>
      </x:c>
      <x:c r="T6" s="36" t="n">
        <x:v>1</x:v>
      </x:c>
      <x:c r="U6" s="36" t="n">
        <x:v>0</x:v>
      </x:c>
      <x:c r="V6" s="36" t="n">
        <x:v>0</x:v>
      </x:c>
      <x:c r="W6" s="36" t="n">
        <x:v>0</x:v>
      </x:c>
      <x:c r="X6" s="36" t="n">
        <x:v>0</x:v>
      </x:c>
      <x:c r="Y6" s="36" t="n">
        <x:v>1</x:v>
      </x:c>
      <x:c r="Z6" s="36" t="n">
        <x:v>1</x:v>
      </x:c>
      <x:c r="AA6" s="36" t="n">
        <x:v>2</x:v>
      </x:c>
      <x:c r="AB6" s="36" t="n">
        <x:v>2</x:v>
      </x:c>
      <x:c r="AC6" s="23" t="str">
        <x:f>IF($A6="","",IF(OR($G6&lt;&gt;"Sí",$H6&lt;&gt;"Sí",$I6&lt;&gt;"Correcta",$J6="Sí",$K6&lt;2),"BLOQUEADA",IF(OR($J6="Posible",$K6&lt;3,$L6&lt;2),"REVISIÓN","ELEGIBLE")))</x:f>
        <x:v>BLOQUEADA</x:v>
      </x:c>
      <x:c r="AD6" s="38" t="n">
        <x:f>IF($A6="","",IF($AC6="BLOQUEADA",0,ROUND(($L6*Scoring_Weights!$C$9+$M6*Scoring_Weights!$C$10+$N6*Scoring_Weights!$C$11+$O6*Scoring_Weights!$C$12+$P6*Scoring_Weights!$C$13+$Q6*Scoring_Weights!$C$14+$R6*Scoring_Weights!$C$15+$X6*Scoring_Weights!$C$16+$AB6*Scoring_Weights!$C$17)*20,1)))</x:f>
        <x:v>0</x:v>
      </x:c>
      <x:c r="AE6" s="38" t="n">
        <x:f>IF($A6="","",IF($AC6="BLOQUEADA",0,ROUND(($Q6*Scoring_Weights!$C$19+$R6*Scoring_Weights!$C$20+$S6*Scoring_Weights!$C$21+$T6*Scoring_Weights!$C$22+$U6*Scoring_Weights!$C$23+$V6*Scoring_Weights!$C$24+$W6*Scoring_Weights!$C$25)*20,1)))</x:f>
        <x:v>0</x:v>
      </x:c>
      <x:c r="AF6" s="38" t="n">
        <x:f>IF($A6="","",IF($AC6="BLOQUEADA",0,ROUND(($Z6*Scoring_Weights!$C$27+$Y6*Scoring_Weights!$C$28+$X6*Scoring_Weights!$C$29)*20,1)))</x:f>
        <x:v>0</x:v>
      </x:c>
      <x:c r="AG6" s="38" t="n">
        <x:f>IF($A6="","",IF($AC6="BLOQUEADA",0,ROUND(($AA6*Scoring_Weights!$C$31+$AB6*Scoring_Weights!$C$32+$K6*Scoring_Weights!$C$33)*20,1)))</x:f>
        <x:v>0</x:v>
      </x:c>
      <x:c r="AH6" s="38" t="n">
        <x:f>IF($A6="","",IF($AC6="BLOQUEADA",0,MIN(10,IF(OR($O6&gt;=4,$P6&gt;=4),2,0)+IF($Q6&gt;=4,2,0)+IF($R6&gt;=4,2,0)+IF($U6&gt;=4,2,0)+IF($T6&gt;=4,1,0)+IF($V6&gt;=4,1,0))))</x:f>
        <x:v>0</x:v>
      </x:c>
      <x:c r="AI6" s="38" t="n">
        <x:f>IF($A6="","",IF($AC6="BLOQUEADA",0,ROUND((MAX(0,5-$K6)+MAX(0,5-$AA6)+IF($I6="Ambigua",2,0)+IF($J6="Posible",2,0))*2,1)))</x:f>
        <x:v>0</x:v>
      </x:c>
      <x:c r="AJ6" s="38" t="n">
        <x:f>IF($A6="","",IF($AC6="BLOQUEADA",0,ROUND($AD6*Scoring_Weights!$C$2+$AE6*Scoring_Weights!$C$3+$AF6*Scoring_Weights!$C$4+$AG6*Scoring_Weights!$C$5+$AH6*Scoring_Weights!$C$6-$AI6*Scoring_Weights!$C$7,1)))</x:f>
        <x:v>0</x:v>
      </x:c>
      <x:c r="AK6" s="36" t="str">
        <x:f>IF($AC6&lt;&gt;"ELEGIBLE","",COUNTIFS($AC$2:$AC$11,"ELEGIBLE",$AJ$2:$AJ$11,"&gt;"&amp;$AJ6)+COUNTIFS($AC$2:$AC6,"ELEGIBLE",$AJ$2:$AJ6,$AJ6))</x:f>
      </x:c>
      <x:c r="AL6" s="23" t="str">
        <x:f>IF($A6="","",IF($AC6="BLOQUEADA","No seleccionable",IF($AC6="REVISIÓN","Revisión previa",IF($AK6&lt;=8,"Primaria propuesta","Contexto / backlog"))))</x:f>
        <x:v>No seleccionable</x:v>
      </x:c>
      <x:c r="AM6" s="23" t="str">
        <x:f>IF($A6="","",IF(MAX($O6,$P6)&gt;=MAX($Q6,$R6,$T6,$U6,$W6),"Transformación/OLC",IF(MAX($Q6,$R6)&gt;=MAX($T6,$U6,$W6),"Handoff/Flujo",IF(MAX($T6,$U6,$V6,$W6)&gt;=3,"Capacidad/Compensación","Contexto/PM"))))</x:f>
        <x:v>Transformación/OLC</x:v>
      </x:c>
      <x:c r="AN6" s="23"/>
      <x:c r="AO6" s="23" t="str">
        <x:f>IF($A6="","",IF($AN6="Forzar primaria","Primaria forzada",IF($AN6="Excluir","Excluida",IF($AN6="Revisión","Revisión previa",$AL6))))</x:f>
        <x:v>No seleccionable</x:v>
      </x:c>
      <x:c r="AP6" s="23" t="str">
        <x:f>IF($A6="","",IF($AC6="BLOQUEADA","Gate duro",IF($AD6&gt;=MAX($AE6,$AF6,$AG6),"Potencial MMABP",IF($AE6&gt;=MAX($AD6,$AF6,$AG6),"Fricción/variedad",IF($AF6&gt;=MAX($AD6,$AE6,$AG6),"Cobertura","Evidencia/feasibilidad")))))</x:f>
        <x:v>Gate duro</x:v>
      </x:c>
      <x:c r="AQ6" s="23" t="str">
        <x:f>IF($A6="","",IF(LEFT($AO6,8)="Primaria",IF($AE6&gt;=75,"40+20 probable",IF($AD6&gt;=75,"40 base + causales selectivas","40 base + probes mínimos")),"No abre Runtime profundo"))</x:f>
        <x:v>No abre Runtime profundo</x:v>
      </x:c>
      <x:c r="AR6" s="23" t="str">
        <x:f>IF($A6="","",IF($AC6="BLOQUEADA","Corregir WorkMap/B0 antes de selección",IF($AC6="REVISIÓN","Microconfirmación B0 o resolución semántica",IF($AO6="Contexto / backlog","Conservar como contexto total","Enviar a Runtime"))))</x:f>
        <x:v>Corregir WorkMap/B0 antes de selección</x:v>
      </x:c>
      <x:c r="AS6" s="23"/>
    </x:row>
    <x:row r="7">
      <x:c r="A7" s="23" t="str">
        <x:v>A006</x:v>
      </x:c>
      <x:c r="B7" s="23" t="str">
        <x:v>R002</x:v>
      </x:c>
      <x:c r="C7" s="23" t="str">
        <x:v>Servicio</x:v>
      </x:c>
      <x:c r="D7" s="23" t="str">
        <x:v>Rol A</x:v>
      </x:c>
      <x:c r="E7" s="23" t="str">
        <x:v>Coordinar entrega con proveedor</x:v>
      </x:c>
      <x:c r="F7" s="23" t="str">
        <x:v>Esperar confirmación de proveedor y ajustar entrega al cliente</x:v>
      </x:c>
      <x:c r="G7" s="23" t="str">
        <x:v>Sí</x:v>
      </x:c>
      <x:c r="H7" s="23" t="str">
        <x:v>Sí</x:v>
      </x:c>
      <x:c r="I7" s="23" t="str">
        <x:v>Correcta</x:v>
      </x:c>
      <x:c r="J7" s="23" t="str">
        <x:v>No</x:v>
      </x:c>
      <x:c r="K7" s="36" t="n">
        <x:v>4</x:v>
      </x:c>
      <x:c r="L7" s="36" t="n">
        <x:v>4</x:v>
      </x:c>
      <x:c r="M7" s="36" t="n">
        <x:v>4</x:v>
      </x:c>
      <x:c r="N7" s="36" t="n">
        <x:v>4</x:v>
      </x:c>
      <x:c r="O7" s="36" t="n">
        <x:v>3</x:v>
      </x:c>
      <x:c r="P7" s="36" t="n">
        <x:v>3</x:v>
      </x:c>
      <x:c r="Q7" s="36" t="n">
        <x:v>5</x:v>
      </x:c>
      <x:c r="R7" s="36" t="n">
        <x:v>5</x:v>
      </x:c>
      <x:c r="S7" s="36" t="n">
        <x:v>4</x:v>
      </x:c>
      <x:c r="T7" s="36" t="n">
        <x:v>4</x:v>
      </x:c>
      <x:c r="U7" s="36" t="n">
        <x:v>4</x:v>
      </x:c>
      <x:c r="V7" s="36" t="n">
        <x:v>5</x:v>
      </x:c>
      <x:c r="W7" s="36" t="n">
        <x:v>3</x:v>
      </x:c>
      <x:c r="X7" s="36" t="n">
        <x:v>5</x:v>
      </x:c>
      <x:c r="Y7" s="36" t="n">
        <x:v>4</x:v>
      </x:c>
      <x:c r="Z7" s="36" t="n">
        <x:v>5</x:v>
      </x:c>
      <x:c r="AA7" s="36" t="n">
        <x:v>4</x:v>
      </x:c>
      <x:c r="AB7" s="36" t="n">
        <x:v>4</x:v>
      </x:c>
      <x:c r="AC7" s="23" t="str">
        <x:f>IF($A7="","",IF(OR($G7&lt;&gt;"Sí",$H7&lt;&gt;"Sí",$I7&lt;&gt;"Correcta",$J7="Sí",$K7&lt;2),"BLOQUEADA",IF(OR($J7="Posible",$K7&lt;3,$L7&lt;2),"REVISIÓN","ELEGIBLE")))</x:f>
        <x:v>ELEGIBLE</x:v>
      </x:c>
      <x:c r="AD7" s="38" t="n">
        <x:f>IF($A7="","",IF($AC7="BLOQUEADA",0,ROUND(($L7*Scoring_Weights!$C$9+$M7*Scoring_Weights!$C$10+$N7*Scoring_Weights!$C$11+$O7*Scoring_Weights!$C$12+$P7*Scoring_Weights!$C$13+$Q7*Scoring_Weights!$C$14+$R7*Scoring_Weights!$C$15+$X7*Scoring_Weights!$C$16+$AB7*Scoring_Weights!$C$17)*20,1)))</x:f>
        <x:v>79</x:v>
      </x:c>
      <x:c r="AE7" s="38" t="n">
        <x:f>IF($A7="","",IF($AC7="BLOQUEADA",0,ROUND(($Q7*Scoring_Weights!$C$19+$R7*Scoring_Weights!$C$20+$S7*Scoring_Weights!$C$21+$T7*Scoring_Weights!$C$22+$U7*Scoring_Weights!$C$23+$V7*Scoring_Weights!$C$24+$W7*Scoring_Weights!$C$25)*20,1)))</x:f>
        <x:v>86.2</x:v>
      </x:c>
      <x:c r="AF7" s="38" t="n">
        <x:f>IF($A7="","",IF($AC7="BLOQUEADA",0,ROUND(($Z7*Scoring_Weights!$C$27+$Y7*Scoring_Weights!$C$28+$X7*Scoring_Weights!$C$29)*20,1)))</x:f>
        <x:v>95</x:v>
      </x:c>
      <x:c r="AG7" s="38" t="n">
        <x:f>IF($A7="","",IF($AC7="BLOQUEADA",0,ROUND(($AA7*Scoring_Weights!$C$31+$AB7*Scoring_Weights!$C$32+$K7*Scoring_Weights!$C$33)*20,1)))</x:f>
        <x:v>80</x:v>
      </x:c>
      <x:c r="AH7" s="38" t="n">
        <x:f>IF($A7="","",IF($AC7="BLOQUEADA",0,MIN(10,IF(OR($O7&gt;=4,$P7&gt;=4),2,0)+IF($Q7&gt;=4,2,0)+IF($R7&gt;=4,2,0)+IF($U7&gt;=4,2,0)+IF($T7&gt;=4,1,0)+IF($V7&gt;=4,1,0))))</x:f>
        <x:v>8</x:v>
      </x:c>
      <x:c r="AI7" s="38" t="n">
        <x:f>IF($A7="","",IF($AC7="BLOQUEADA",0,ROUND((MAX(0,5-$K7)+MAX(0,5-$AA7)+IF($I7="Ambigua",2,0)+IF($J7="Posible",2,0))*2,1)))</x:f>
        <x:v>4</x:v>
      </x:c>
      <x:c r="AJ7" s="38" t="n">
        <x:f>IF($A7="","",IF($AC7="BLOQUEADA",0,ROUND($AD7*Scoring_Weights!$C$2+$AE7*Scoring_Weights!$C$3+$AF7*Scoring_Weights!$C$4+$AG7*Scoring_Weights!$C$5+$AH7*Scoring_Weights!$C$6-$AI7*Scoring_Weights!$C$7,1)))</x:f>
        <x:v>86.8</x:v>
      </x:c>
      <x:c r="AK7" s="36" t="n">
        <x:f>IF($AC7&lt;&gt;"ELEGIBLE","",COUNTIFS($AC$2:$AC$11,"ELEGIBLE",$AJ$2:$AJ$11,"&gt;"&amp;$AJ7)+COUNTIFS($AC$2:$AC7,"ELEGIBLE",$AJ$2:$AJ7,$AJ7))</x:f>
        <x:v>4</x:v>
      </x:c>
      <x:c r="AL7" s="23" t="str">
        <x:f>IF($A7="","",IF($AC7="BLOQUEADA","No seleccionable",IF($AC7="REVISIÓN","Revisión previa",IF($AK7&lt;=8,"Primaria propuesta","Contexto / backlog"))))</x:f>
        <x:v>Primaria propuesta</x:v>
      </x:c>
      <x:c r="AM7" s="23" t="str">
        <x:f>IF($A7="","",IF(MAX($O7,$P7)&gt;=MAX($Q7,$R7,$T7,$U7,$W7),"Transformación/OLC",IF(MAX($Q7,$R7)&gt;=MAX($T7,$U7,$W7),"Handoff/Flujo",IF(MAX($T7,$U7,$V7,$W7)&gt;=3,"Capacidad/Compensación","Contexto/PM"))))</x:f>
        <x:v>Handoff/Flujo</x:v>
      </x:c>
      <x:c r="AN7" s="23"/>
      <x:c r="AO7" s="23" t="str">
        <x:f>IF($A7="","",IF($AN7="Forzar primaria","Primaria forzada",IF($AN7="Excluir","Excluida",IF($AN7="Revisión","Revisión previa",$AL7))))</x:f>
        <x:v>Primaria propuesta</x:v>
      </x:c>
      <x:c r="AP7" s="23" t="str">
        <x:f>IF($A7="","",IF($AC7="BLOQUEADA","Gate duro",IF($AD7&gt;=MAX($AE7,$AF7,$AG7),"Potencial MMABP",IF($AE7&gt;=MAX($AD7,$AF7,$AG7),"Fricción/variedad",IF($AF7&gt;=MAX($AD7,$AE7,$AG7),"Cobertura","Evidencia/feasibilidad")))))</x:f>
        <x:v>Cobertura</x:v>
      </x:c>
      <x:c r="AQ7" s="23" t="str">
        <x:f>IF($A7="","",IF(LEFT($AO7,8)="Primaria",IF($AE7&gt;=75,"40+20 probable",IF($AD7&gt;=75,"40 base + causales selectivas","40 base + probes mínimos")),"No abre Runtime profundo"))</x:f>
        <x:v>40+20 probable</x:v>
      </x:c>
      <x:c r="AR7" s="23" t="str">
        <x:f>IF($A7="","",IF($AC7="BLOQUEADA","Corregir WorkMap/B0 antes de selección",IF($AC7="REVISIÓN","Microconfirmación B0 o resolución semántica",IF($AO7="Contexto / backlog","Conservar como contexto total","Enviar a Runtime"))))</x:f>
        <x:v>Enviar a Runtime</x:v>
      </x:c>
      <x:c r="AS7" s="23"/>
    </x:row>
    <x:row r="8">
      <x:c r="A8" s="23" t="str">
        <x:v>A007</x:v>
      </x:c>
      <x:c r="B8" s="23" t="str">
        <x:v>R005</x:v>
      </x:c>
      <x:c r="C8" s="23" t="str">
        <x:v>Compras</x:v>
      </x:c>
      <x:c r="D8" s="23" t="str">
        <x:v>Rol A</x:v>
      </x:c>
      <x:c r="E8" s="23" t="str">
        <x:v>Aprobar compra urgente</x:v>
      </x:c>
      <x:c r="F8" s="23" t="str">
        <x:v>Validar solicitud de compra y liberar autorización urgente</x:v>
      </x:c>
      <x:c r="G8" s="23" t="str">
        <x:v>Sí</x:v>
      </x:c>
      <x:c r="H8" s="23" t="str">
        <x:v>Sí</x:v>
      </x:c>
      <x:c r="I8" s="23" t="str">
        <x:v>Correcta</x:v>
      </x:c>
      <x:c r="J8" s="23" t="str">
        <x:v>No</x:v>
      </x:c>
      <x:c r="K8" s="36" t="n">
        <x:v>4</x:v>
      </x:c>
      <x:c r="L8" s="36" t="n">
        <x:v>4</x:v>
      </x:c>
      <x:c r="M8" s="36" t="n">
        <x:v>3</x:v>
      </x:c>
      <x:c r="N8" s="36" t="n">
        <x:v>4</x:v>
      </x:c>
      <x:c r="O8" s="36" t="n">
        <x:v>4</x:v>
      </x:c>
      <x:c r="P8" s="36" t="n">
        <x:v>4</x:v>
      </x:c>
      <x:c r="Q8" s="36" t="n">
        <x:v>4</x:v>
      </x:c>
      <x:c r="R8" s="36" t="n">
        <x:v>3</x:v>
      </x:c>
      <x:c r="S8" s="36" t="n">
        <x:v>4</x:v>
      </x:c>
      <x:c r="T8" s="36" t="n">
        <x:v>5</x:v>
      </x:c>
      <x:c r="U8" s="36" t="n">
        <x:v>3</x:v>
      </x:c>
      <x:c r="V8" s="36" t="n">
        <x:v>3</x:v>
      </x:c>
      <x:c r="W8" s="36" t="n">
        <x:v>2</x:v>
      </x:c>
      <x:c r="X8" s="36" t="n">
        <x:v>3</x:v>
      </x:c>
      <x:c r="Y8" s="36" t="n">
        <x:v>4</x:v>
      </x:c>
      <x:c r="Z8" s="36" t="n">
        <x:v>4</x:v>
      </x:c>
      <x:c r="AA8" s="36" t="n">
        <x:v>4</x:v>
      </x:c>
      <x:c r="AB8" s="36" t="n">
        <x:v>4</x:v>
      </x:c>
      <x:c r="AC8" s="23" t="str">
        <x:f>IF($A8="","",IF(OR($G8&lt;&gt;"Sí",$H8&lt;&gt;"Sí",$I8&lt;&gt;"Correcta",$J8="Sí",$K8&lt;2),"BLOQUEADA",IF(OR($J8="Posible",$K8&lt;3,$L8&lt;2),"REVISIÓN","ELEGIBLE")))</x:f>
        <x:v>ELEGIBLE</x:v>
      </x:c>
      <x:c r="AD8" s="38" t="n">
        <x:f>IF($A8="","",IF($AC8="BLOQUEADA",0,ROUND(($L8*Scoring_Weights!$C$9+$M8*Scoring_Weights!$C$10+$N8*Scoring_Weights!$C$11+$O8*Scoring_Weights!$C$12+$P8*Scoring_Weights!$C$13+$Q8*Scoring_Weights!$C$14+$R8*Scoring_Weights!$C$15+$X8*Scoring_Weights!$C$16+$AB8*Scoring_Weights!$C$17)*20,1)))</x:f>
        <x:v>74.8</x:v>
      </x:c>
      <x:c r="AE8" s="38" t="n">
        <x:f>IF($A8="","",IF($AC8="BLOQUEADA",0,ROUND(($Q8*Scoring_Weights!$C$19+$R8*Scoring_Weights!$C$20+$S8*Scoring_Weights!$C$21+$T8*Scoring_Weights!$C$22+$U8*Scoring_Weights!$C$23+$V8*Scoring_Weights!$C$24+$W8*Scoring_Weights!$C$25)*20,1)))</x:f>
        <x:v>69</x:v>
      </x:c>
      <x:c r="AF8" s="38" t="n">
        <x:f>IF($A8="","",IF($AC8="BLOQUEADA",0,ROUND(($Z8*Scoring_Weights!$C$27+$Y8*Scoring_Weights!$C$28+$X8*Scoring_Weights!$C$29)*20,1)))</x:f>
        <x:v>77</x:v>
      </x:c>
      <x:c r="AG8" s="38" t="n">
        <x:f>IF($A8="","",IF($AC8="BLOQUEADA",0,ROUND(($AA8*Scoring_Weights!$C$31+$AB8*Scoring_Weights!$C$32+$K8*Scoring_Weights!$C$33)*20,1)))</x:f>
        <x:v>80</x:v>
      </x:c>
      <x:c r="AH8" s="38" t="n">
        <x:f>IF($A8="","",IF($AC8="BLOQUEADA",0,MIN(10,IF(OR($O8&gt;=4,$P8&gt;=4),2,0)+IF($Q8&gt;=4,2,0)+IF($R8&gt;=4,2,0)+IF($U8&gt;=4,2,0)+IF($T8&gt;=4,1,0)+IF($V8&gt;=4,1,0))))</x:f>
        <x:v>5</x:v>
      </x:c>
      <x:c r="AI8" s="38" t="n">
        <x:f>IF($A8="","",IF($AC8="BLOQUEADA",0,ROUND((MAX(0,5-$K8)+MAX(0,5-$AA8)+IF($I8="Ambigua",2,0)+IF($J8="Posible",2,0))*2,1)))</x:f>
        <x:v>4</x:v>
      </x:c>
      <x:c r="AJ8" s="38" t="n">
        <x:f>IF($A8="","",IF($AC8="BLOQUEADA",0,ROUND($AD8*Scoring_Weights!$C$2+$AE8*Scoring_Weights!$C$3+$AF8*Scoring_Weights!$C$4+$AG8*Scoring_Weights!$C$5+$AH8*Scoring_Weights!$C$6-$AI8*Scoring_Weights!$C$7,1)))</x:f>
        <x:v>74.9</x:v>
      </x:c>
      <x:c r="AK8" s="36" t="n">
        <x:f>IF($AC8&lt;&gt;"ELEGIBLE","",COUNTIFS($AC$2:$AC$11,"ELEGIBLE",$AJ$2:$AJ$11,"&gt;"&amp;$AJ8)+COUNTIFS($AC$2:$AC8,"ELEGIBLE",$AJ$2:$AJ8,$AJ8))</x:f>
        <x:v>5</x:v>
      </x:c>
      <x:c r="AL8" s="23" t="str">
        <x:f>IF($A8="","",IF($AC8="BLOQUEADA","No seleccionable",IF($AC8="REVISIÓN","Revisión previa",IF($AK8&lt;=8,"Primaria propuesta","Contexto / backlog"))))</x:f>
        <x:v>Primaria propuesta</x:v>
      </x:c>
      <x:c r="AM8" s="23" t="str">
        <x:f>IF($A8="","",IF(MAX($O8,$P8)&gt;=MAX($Q8,$R8,$T8,$U8,$W8),"Transformación/OLC",IF(MAX($Q8,$R8)&gt;=MAX($T8,$U8,$W8),"Handoff/Flujo",IF(MAX($T8,$U8,$V8,$W8)&gt;=3,"Capacidad/Compensación","Contexto/PM"))))</x:f>
        <x:v>Capacidad/Compensación</x:v>
      </x:c>
      <x:c r="AN8" s="23"/>
      <x:c r="AO8" s="23" t="str">
        <x:f>IF($A8="","",IF($AN8="Forzar primaria","Primaria forzada",IF($AN8="Excluir","Excluida",IF($AN8="Revisión","Revisión previa",$AL8))))</x:f>
        <x:v>Primaria propuesta</x:v>
      </x:c>
      <x:c r="AP8" s="23" t="str">
        <x:f>IF($A8="","",IF($AC8="BLOQUEADA","Gate duro",IF($AD8&gt;=MAX($AE8,$AF8,$AG8),"Potencial MMABP",IF($AE8&gt;=MAX($AD8,$AF8,$AG8),"Fricción/variedad",IF($AF8&gt;=MAX($AD8,$AE8,$AG8),"Cobertura","Evidencia/feasibilidad")))))</x:f>
        <x:v>Evidencia/feasibilidad</x:v>
      </x:c>
      <x:c r="AQ8" s="23" t="str">
        <x:f>IF($A8="","",IF(LEFT($AO8,8)="Primaria",IF($AE8&gt;=75,"40+20 probable",IF($AD8&gt;=75,"40 base + causales selectivas","40 base + probes mínimos")),"No abre Runtime profundo"))</x:f>
        <x:v>40 base + probes mínimos</x:v>
      </x:c>
      <x:c r="AR8" s="23" t="str">
        <x:f>IF($A8="","",IF($AC8="BLOQUEADA","Corregir WorkMap/B0 antes de selección",IF($AC8="REVISIÓN","Microconfirmación B0 o resolución semántica",IF($AO8="Contexto / backlog","Conservar como contexto total","Enviar a Runtime"))))</x:f>
        <x:v>Enviar a Runtime</x:v>
      </x:c>
      <x:c r="AS8" s="23"/>
    </x:row>
    <x:row r="9">
      <x:c r="A9" s="23" t="str">
        <x:v>A008</x:v>
      </x:c>
      <x:c r="B9" s="23" t="str">
        <x:v>R006</x:v>
      </x:c>
      <x:c r="C9" s="23" t="str">
        <x:v>RRHH</x:v>
      </x:c>
      <x:c r="D9" s="23" t="str">
        <x:v>Rol A</x:v>
      </x:c>
      <x:c r="E9" s="23" t="str">
        <x:v>Capacitar nuevo colaborador</x:v>
      </x:c>
      <x:c r="F9" s="23" t="str">
        <x:v>Entrenar a una persona en procedimientos y herramientas</x:v>
      </x:c>
      <x:c r="G9" s="23" t="str">
        <x:v>Sí</x:v>
      </x:c>
      <x:c r="H9" s="23" t="str">
        <x:v>Sí</x:v>
      </x:c>
      <x:c r="I9" s="23" t="str">
        <x:v>Correcta</x:v>
      </x:c>
      <x:c r="J9" s="23" t="str">
        <x:v>No</x:v>
      </x:c>
      <x:c r="K9" s="36" t="n">
        <x:v>4</x:v>
      </x:c>
      <x:c r="L9" s="36" t="n">
        <x:v>3</x:v>
      </x:c>
      <x:c r="M9" s="36" t="n">
        <x:v>3</x:v>
      </x:c>
      <x:c r="N9" s="36" t="n">
        <x:v>3</x:v>
      </x:c>
      <x:c r="O9" s="36" t="n">
        <x:v>3</x:v>
      </x:c>
      <x:c r="P9" s="36" t="n">
        <x:v>3</x:v>
      </x:c>
      <x:c r="Q9" s="36" t="n">
        <x:v>3</x:v>
      </x:c>
      <x:c r="R9" s="36" t="n">
        <x:v>2</x:v>
      </x:c>
      <x:c r="S9" s="36" t="n">
        <x:v>3</x:v>
      </x:c>
      <x:c r="T9" s="36" t="n">
        <x:v>3</x:v>
      </x:c>
      <x:c r="U9" s="36" t="n">
        <x:v>2</x:v>
      </x:c>
      <x:c r="V9" s="36" t="n">
        <x:v>2</x:v>
      </x:c>
      <x:c r="W9" s="36" t="n">
        <x:v>3</x:v>
      </x:c>
      <x:c r="X9" s="36" t="n">
        <x:v>2</x:v>
      </x:c>
      <x:c r="Y9" s="36" t="n">
        <x:v>3</x:v>
      </x:c>
      <x:c r="Z9" s="36" t="n">
        <x:v>3</x:v>
      </x:c>
      <x:c r="AA9" s="36" t="n">
        <x:v>5</x:v>
      </x:c>
      <x:c r="AB9" s="36" t="n">
        <x:v>4</x:v>
      </x:c>
      <x:c r="AC9" s="23" t="str">
        <x:f>IF($A9="","",IF(OR($G9&lt;&gt;"Sí",$H9&lt;&gt;"Sí",$I9&lt;&gt;"Correcta",$J9="Sí",$K9&lt;2),"BLOQUEADA",IF(OR($J9="Posible",$K9&lt;3,$L9&lt;2),"REVISIÓN","ELEGIBLE")))</x:f>
        <x:v>ELEGIBLE</x:v>
      </x:c>
      <x:c r="AD9" s="38" t="n">
        <x:f>IF($A9="","",IF($AC9="BLOQUEADA",0,ROUND(($L9*Scoring_Weights!$C$9+$M9*Scoring_Weights!$C$10+$N9*Scoring_Weights!$C$11+$O9*Scoring_Weights!$C$12+$P9*Scoring_Weights!$C$13+$Q9*Scoring_Weights!$C$14+$R9*Scoring_Weights!$C$15+$X9*Scoring_Weights!$C$16+$AB9*Scoring_Weights!$C$17)*20,1)))</x:f>
        <x:v>58.2</x:v>
      </x:c>
      <x:c r="AE9" s="38" t="n">
        <x:f>IF($A9="","",IF($AC9="BLOQUEADA",0,ROUND(($Q9*Scoring_Weights!$C$19+$R9*Scoring_Weights!$C$20+$S9*Scoring_Weights!$C$21+$T9*Scoring_Weights!$C$22+$U9*Scoring_Weights!$C$23+$V9*Scoring_Weights!$C$24+$W9*Scoring_Weights!$C$25)*20,1)))</x:f>
        <x:v>50.8</x:v>
      </x:c>
      <x:c r="AF9" s="38" t="n">
        <x:f>IF($A9="","",IF($AC9="BLOQUEADA",0,ROUND(($Z9*Scoring_Weights!$C$27+$Y9*Scoring_Weights!$C$28+$X9*Scoring_Weights!$C$29)*20,1)))</x:f>
        <x:v>57</x:v>
      </x:c>
      <x:c r="AG9" s="38" t="n">
        <x:f>IF($A9="","",IF($AC9="BLOQUEADA",0,ROUND(($AA9*Scoring_Weights!$C$31+$AB9*Scoring_Weights!$C$32+$K9*Scoring_Weights!$C$33)*20,1)))</x:f>
        <x:v>89</x:v>
      </x:c>
      <x:c r="AH9" s="38" t="n">
        <x:f>IF($A9="","",IF($AC9="BLOQUEADA",0,MIN(10,IF(OR($O9&gt;=4,$P9&gt;=4),2,0)+IF($Q9&gt;=4,2,0)+IF($R9&gt;=4,2,0)+IF($U9&gt;=4,2,0)+IF($T9&gt;=4,1,0)+IF($V9&gt;=4,1,0))))</x:f>
        <x:v>0</x:v>
      </x:c>
      <x:c r="AI9" s="38" t="n">
        <x:f>IF($A9="","",IF($AC9="BLOQUEADA",0,ROUND((MAX(0,5-$K9)+MAX(0,5-$AA9)+IF($I9="Ambigua",2,0)+IF($J9="Posible",2,0))*2,1)))</x:f>
        <x:v>2</x:v>
      </x:c>
      <x:c r="AJ9" s="38" t="n">
        <x:f>IF($A9="","",IF($AC9="BLOQUEADA",0,ROUND($AD9*Scoring_Weights!$C$2+$AE9*Scoring_Weights!$C$3+$AF9*Scoring_Weights!$C$4+$AG9*Scoring_Weights!$C$5+$AH9*Scoring_Weights!$C$6-$AI9*Scoring_Weights!$C$7,1)))</x:f>
        <x:v>56</x:v>
      </x:c>
      <x:c r="AK9" s="36" t="n">
        <x:f>IF($AC9&lt;&gt;"ELEGIBLE","",COUNTIFS($AC$2:$AC$11,"ELEGIBLE",$AJ$2:$AJ$11,"&gt;"&amp;$AJ9)+COUNTIFS($AC$2:$AC9,"ELEGIBLE",$AJ$2:$AJ9,$AJ9))</x:f>
        <x:v>7</x:v>
      </x:c>
      <x:c r="AL9" s="23" t="str">
        <x:f>IF($A9="","",IF($AC9="BLOQUEADA","No seleccionable",IF($AC9="REVISIÓN","Revisión previa",IF($AK9&lt;=8,"Primaria propuesta","Contexto / backlog"))))</x:f>
        <x:v>Primaria propuesta</x:v>
      </x:c>
      <x:c r="AM9" s="23" t="str">
        <x:f>IF($A9="","",IF(MAX($O9,$P9)&gt;=MAX($Q9,$R9,$T9,$U9,$W9),"Transformación/OLC",IF(MAX($Q9,$R9)&gt;=MAX($T9,$U9,$W9),"Handoff/Flujo",IF(MAX($T9,$U9,$V9,$W9)&gt;=3,"Capacidad/Compensación","Contexto/PM"))))</x:f>
        <x:v>Transformación/OLC</x:v>
      </x:c>
      <x:c r="AN9" s="23"/>
      <x:c r="AO9" s="23" t="str">
        <x:f>IF($A9="","",IF($AN9="Forzar primaria","Primaria forzada",IF($AN9="Excluir","Excluida",IF($AN9="Revisión","Revisión previa",$AL9))))</x:f>
        <x:v>Primaria propuesta</x:v>
      </x:c>
      <x:c r="AP9" s="23" t="str">
        <x:f>IF($A9="","",IF($AC9="BLOQUEADA","Gate duro",IF($AD9&gt;=MAX($AE9,$AF9,$AG9),"Potencial MMABP",IF($AE9&gt;=MAX($AD9,$AF9,$AG9),"Fricción/variedad",IF($AF9&gt;=MAX($AD9,$AE9,$AG9),"Cobertura","Evidencia/feasibilidad")))))</x:f>
        <x:v>Evidencia/feasibilidad</x:v>
      </x:c>
      <x:c r="AQ9" s="23" t="str">
        <x:f>IF($A9="","",IF(LEFT($AO9,8)="Primaria",IF($AE9&gt;=75,"40+20 probable",IF($AD9&gt;=75,"40 base + causales selectivas","40 base + probes mínimos")),"No abre Runtime profundo"))</x:f>
        <x:v>40 base + probes mínimos</x:v>
      </x:c>
      <x:c r="AR9" s="23" t="str">
        <x:f>IF($A9="","",IF($AC9="BLOQUEADA","Corregir WorkMap/B0 antes de selección",IF($AC9="REVISIÓN","Microconfirmación B0 o resolución semántica",IF($AO9="Contexto / backlog","Conservar como contexto total","Enviar a Runtime"))))</x:f>
        <x:v>Enviar a Runtime</x:v>
      </x:c>
      <x:c r="AS9" s="23"/>
    </x:row>
    <x:row r="10">
      <x:c r="A10" s="23" t="str">
        <x:v>A009</x:v>
      </x:c>
      <x:c r="B10" s="23" t="str">
        <x:v>R007</x:v>
      </x:c>
      <x:c r="C10" s="23" t="str">
        <x:v>Archivo</x:v>
      </x:c>
      <x:c r="D10" s="23" t="str">
        <x:v>Rol A</x:v>
      </x:c>
      <x:c r="E10" s="23" t="str">
        <x:v>Archivar documentos cerrados</x:v>
      </x:c>
      <x:c r="F10" s="23" t="str">
        <x:v>Guardar documentos finalizados</x:v>
      </x:c>
      <x:c r="G10" s="23" t="str">
        <x:v>Sí</x:v>
      </x:c>
      <x:c r="H10" s="23" t="str">
        <x:v>Sí</x:v>
      </x:c>
      <x:c r="I10" s="23" t="str">
        <x:v>Microtarea</x:v>
      </x:c>
      <x:c r="J10" s="23" t="str">
        <x:v>No</x:v>
      </x:c>
      <x:c r="K10" s="36" t="n">
        <x:v>4</x:v>
      </x:c>
      <x:c r="L10" s="36" t="n">
        <x:v>2</x:v>
      </x:c>
      <x:c r="M10" s="36" t="n">
        <x:v>1</x:v>
      </x:c>
      <x:c r="N10" s="36" t="n">
        <x:v>2</x:v>
      </x:c>
      <x:c r="O10" s="36" t="n">
        <x:v>2</x:v>
      </x:c>
      <x:c r="P10" s="36" t="n">
        <x:v>2</x:v>
      </x:c>
      <x:c r="Q10" s="36" t="n">
        <x:v>1</x:v>
      </x:c>
      <x:c r="R10" s="36" t="n">
        <x:v>0</x:v>
      </x:c>
      <x:c r="S10" s="36" t="n">
        <x:v>2</x:v>
      </x:c>
      <x:c r="T10" s="36" t="n">
        <x:v>1</x:v>
      </x:c>
      <x:c r="U10" s="36" t="n">
        <x:v>0</x:v>
      </x:c>
      <x:c r="V10" s="36" t="n">
        <x:v>0</x:v>
      </x:c>
      <x:c r="W10" s="36" t="n">
        <x:v>0</x:v>
      </x:c>
      <x:c r="X10" s="36" t="n">
        <x:v>0</x:v>
      </x:c>
      <x:c r="Y10" s="36" t="n">
        <x:v>1</x:v>
      </x:c>
      <x:c r="Z10" s="36" t="n">
        <x:v>1</x:v>
      </x:c>
      <x:c r="AA10" s="36" t="n">
        <x:v>5</x:v>
      </x:c>
      <x:c r="AB10" s="36" t="n">
        <x:v>4</x:v>
      </x:c>
      <x:c r="AC10" s="23" t="str">
        <x:f>IF($A10="","",IF(OR($G10&lt;&gt;"Sí",$H10&lt;&gt;"Sí",$I10&lt;&gt;"Correcta",$J10="Sí",$K10&lt;2),"BLOQUEADA",IF(OR($J10="Posible",$K10&lt;3,$L10&lt;2),"REVISIÓN","ELEGIBLE")))</x:f>
        <x:v>BLOQUEADA</x:v>
      </x:c>
      <x:c r="AD10" s="38" t="n">
        <x:f>IF($A10="","",IF($AC10="BLOQUEADA",0,ROUND(($L10*Scoring_Weights!$C$9+$M10*Scoring_Weights!$C$10+$N10*Scoring_Weights!$C$11+$O10*Scoring_Weights!$C$12+$P10*Scoring_Weights!$C$13+$Q10*Scoring_Weights!$C$14+$R10*Scoring_Weights!$C$15+$X10*Scoring_Weights!$C$16+$AB10*Scoring_Weights!$C$17)*20,1)))</x:f>
        <x:v>0</x:v>
      </x:c>
      <x:c r="AE10" s="38" t="n">
        <x:f>IF($A10="","",IF($AC10="BLOQUEADA",0,ROUND(($Q10*Scoring_Weights!$C$19+$R10*Scoring_Weights!$C$20+$S10*Scoring_Weights!$C$21+$T10*Scoring_Weights!$C$22+$U10*Scoring_Weights!$C$23+$V10*Scoring_Weights!$C$24+$W10*Scoring_Weights!$C$25)*20,1)))</x:f>
        <x:v>0</x:v>
      </x:c>
      <x:c r="AF10" s="38" t="n">
        <x:f>IF($A10="","",IF($AC10="BLOQUEADA",0,ROUND(($Z10*Scoring_Weights!$C$27+$Y10*Scoring_Weights!$C$28+$X10*Scoring_Weights!$C$29)*20,1)))</x:f>
        <x:v>0</x:v>
      </x:c>
      <x:c r="AG10" s="38" t="n">
        <x:f>IF($A10="","",IF($AC10="BLOQUEADA",0,ROUND(($AA10*Scoring_Weights!$C$31+$AB10*Scoring_Weights!$C$32+$K10*Scoring_Weights!$C$33)*20,1)))</x:f>
        <x:v>0</x:v>
      </x:c>
      <x:c r="AH10" s="38" t="n">
        <x:f>IF($A10="","",IF($AC10="BLOQUEADA",0,MIN(10,IF(OR($O10&gt;=4,$P10&gt;=4),2,0)+IF($Q10&gt;=4,2,0)+IF($R10&gt;=4,2,0)+IF($U10&gt;=4,2,0)+IF($T10&gt;=4,1,0)+IF($V10&gt;=4,1,0))))</x:f>
        <x:v>0</x:v>
      </x:c>
      <x:c r="AI10" s="38" t="n">
        <x:f>IF($A10="","",IF($AC10="BLOQUEADA",0,ROUND((MAX(0,5-$K10)+MAX(0,5-$AA10)+IF($I10="Ambigua",2,0)+IF($J10="Posible",2,0))*2,1)))</x:f>
        <x:v>0</x:v>
      </x:c>
      <x:c r="AJ10" s="38" t="n">
        <x:f>IF($A10="","",IF($AC10="BLOQUEADA",0,ROUND($AD10*Scoring_Weights!$C$2+$AE10*Scoring_Weights!$C$3+$AF10*Scoring_Weights!$C$4+$AG10*Scoring_Weights!$C$5+$AH10*Scoring_Weights!$C$6-$AI10*Scoring_Weights!$C$7,1)))</x:f>
        <x:v>0</x:v>
      </x:c>
      <x:c r="AK10" s="36" t="str">
        <x:f>IF($AC10&lt;&gt;"ELEGIBLE","",COUNTIFS($AC$2:$AC$11,"ELEGIBLE",$AJ$2:$AJ$11,"&gt;"&amp;$AJ10)+COUNTIFS($AC$2:$AC10,"ELEGIBLE",$AJ$2:$AJ10,$AJ10))</x:f>
      </x:c>
      <x:c r="AL10" s="23" t="str">
        <x:f>IF($A10="","",IF($AC10="BLOQUEADA","No seleccionable",IF($AC10="REVISIÓN","Revisión previa",IF($AK10&lt;=8,"Primaria propuesta","Contexto / backlog"))))</x:f>
        <x:v>No seleccionable</x:v>
      </x:c>
      <x:c r="AM10" s="23" t="str">
        <x:f>IF($A10="","",IF(MAX($O10,$P10)&gt;=MAX($Q10,$R10,$T10,$U10,$W10),"Transformación/OLC",IF(MAX($Q10,$R10)&gt;=MAX($T10,$U10,$W10),"Handoff/Flujo",IF(MAX($T10,$U10,$V10,$W10)&gt;=3,"Capacidad/Compensación","Contexto/PM"))))</x:f>
        <x:v>Transformación/OLC</x:v>
      </x:c>
      <x:c r="AN10" s="23"/>
      <x:c r="AO10" s="23" t="str">
        <x:f>IF($A10="","",IF($AN10="Forzar primaria","Primaria forzada",IF($AN10="Excluir","Excluida",IF($AN10="Revisión","Revisión previa",$AL10))))</x:f>
        <x:v>No seleccionable</x:v>
      </x:c>
      <x:c r="AP10" s="23" t="str">
        <x:f>IF($A10="","",IF($AC10="BLOQUEADA","Gate duro",IF($AD10&gt;=MAX($AE10,$AF10,$AG10),"Potencial MMABP",IF($AE10&gt;=MAX($AD10,$AF10,$AG10),"Fricción/variedad",IF($AF10&gt;=MAX($AD10,$AE10,$AG10),"Cobertura","Evidencia/feasibilidad")))))</x:f>
        <x:v>Gate duro</x:v>
      </x:c>
      <x:c r="AQ10" s="23" t="str">
        <x:f>IF($A10="","",IF(LEFT($AO10,8)="Primaria",IF($AE10&gt;=75,"40+20 probable",IF($AD10&gt;=75,"40 base + causales selectivas","40 base + probes mínimos")),"No abre Runtime profundo"))</x:f>
        <x:v>No abre Runtime profundo</x:v>
      </x:c>
      <x:c r="AR10" s="23" t="str">
        <x:f>IF($A10="","",IF($AC10="BLOQUEADA","Corregir WorkMap/B0 antes de selección",IF($AC10="REVISIÓN","Microconfirmación B0 o resolución semántica",IF($AO10="Contexto / backlog","Conservar como contexto total","Enviar a Runtime"))))</x:f>
        <x:v>Corregir WorkMap/B0 antes de selección</x:v>
      </x:c>
      <x:c r="AS10" s="23"/>
    </x:row>
    <x:row r="11">
      <x:c r="A11" s="23" t="str">
        <x:v>A010</x:v>
      </x:c>
      <x:c r="B11" s="23" t="str">
        <x:v>R008</x:v>
      </x:c>
      <x:c r="C11" s="23" t="str">
        <x:v>Dirección</x:v>
      </x:c>
      <x:c r="D11" s="23" t="str">
        <x:v>Rol A</x:v>
      </x:c>
      <x:c r="E11" s="23" t="str">
        <x:v>Liderazgo</x:v>
      </x:c>
      <x:c r="F11" s="23" t="str">
        <x:v>Mejorar liderazgo del equipo</x:v>
      </x:c>
      <x:c r="G11" s="23" t="str">
        <x:v>Sí</x:v>
      </x:c>
      <x:c r="H11" s="23" t="str">
        <x:v>No</x:v>
      </x:c>
      <x:c r="I11" s="23" t="str">
        <x:v>Ambigua</x:v>
      </x:c>
      <x:c r="J11" s="23" t="str">
        <x:v>No</x:v>
      </x:c>
      <x:c r="K11" s="36" t="n">
        <x:v>1</x:v>
      </x:c>
      <x:c r="L11" s="36" t="n">
        <x:v>1</x:v>
      </x:c>
      <x:c r="M11" s="36" t="n">
        <x:v>1</x:v>
      </x:c>
      <x:c r="N11" s="36" t="n">
        <x:v>0</x:v>
      </x:c>
      <x:c r="O11" s="36" t="n">
        <x:v>0</x:v>
      </x:c>
      <x:c r="P11" s="36" t="n">
        <x:v>0</x:v>
      </x:c>
      <x:c r="Q11" s="36" t="n">
        <x:v>0</x:v>
      </x:c>
      <x:c r="R11" s="36" t="n">
        <x:v>0</x:v>
      </x:c>
      <x:c r="S11" s="36" t="n">
        <x:v>1</x:v>
      </x:c>
      <x:c r="T11" s="36" t="n">
        <x:v>1</x:v>
      </x:c>
      <x:c r="U11" s="36" t="n">
        <x:v>0</x:v>
      </x:c>
      <x:c r="V11" s="36" t="n">
        <x:v>0</x:v>
      </x:c>
      <x:c r="W11" s="36" t="n">
        <x:v>1</x:v>
      </x:c>
      <x:c r="X11" s="36" t="n">
        <x:v>0</x:v>
      </x:c>
      <x:c r="Y11" s="36" t="n">
        <x:v>3</x:v>
      </x:c>
      <x:c r="Z11" s="36" t="n">
        <x:v>2</x:v>
      </x:c>
      <x:c r="AA11" s="36" t="n">
        <x:v>2</x:v>
      </x:c>
      <x:c r="AB11" s="36" t="n">
        <x:v>1</x:v>
      </x:c>
      <x:c r="AC11" s="23" t="str">
        <x:f>IF($A11="","",IF(OR($G11&lt;&gt;"Sí",$H11&lt;&gt;"Sí",$I11&lt;&gt;"Correcta",$J11="Sí",$K11&lt;2),"BLOQUEADA",IF(OR($J11="Posible",$K11&lt;3,$L11&lt;2),"REVISIÓN","ELEGIBLE")))</x:f>
        <x:v>BLOQUEADA</x:v>
      </x:c>
      <x:c r="AD11" s="38" t="n">
        <x:f>IF($A11="","",IF($AC11="BLOQUEADA",0,ROUND(($L11*Scoring_Weights!$C$9+$M11*Scoring_Weights!$C$10+$N11*Scoring_Weights!$C$11+$O11*Scoring_Weights!$C$12+$P11*Scoring_Weights!$C$13+$Q11*Scoring_Weights!$C$14+$R11*Scoring_Weights!$C$15+$X11*Scoring_Weights!$C$16+$AB11*Scoring_Weights!$C$17)*20,1)))</x:f>
        <x:v>0</x:v>
      </x:c>
      <x:c r="AE11" s="38" t="n">
        <x:f>IF($A11="","",IF($AC11="BLOQUEADA",0,ROUND(($Q11*Scoring_Weights!$C$19+$R11*Scoring_Weights!$C$20+$S11*Scoring_Weights!$C$21+$T11*Scoring_Weights!$C$22+$U11*Scoring_Weights!$C$23+$V11*Scoring_Weights!$C$24+$W11*Scoring_Weights!$C$25)*20,1)))</x:f>
        <x:v>0</x:v>
      </x:c>
      <x:c r="AF11" s="38" t="n">
        <x:f>IF($A11="","",IF($AC11="BLOQUEADA",0,ROUND(($Z11*Scoring_Weights!$C$27+$Y11*Scoring_Weights!$C$28+$X11*Scoring_Weights!$C$29)*20,1)))</x:f>
        <x:v>0</x:v>
      </x:c>
      <x:c r="AG11" s="38" t="n">
        <x:f>IF($A11="","",IF($AC11="BLOQUEADA",0,ROUND(($AA11*Scoring_Weights!$C$31+$AB11*Scoring_Weights!$C$32+$K11*Scoring_Weights!$C$33)*20,1)))</x:f>
        <x:v>0</x:v>
      </x:c>
      <x:c r="AH11" s="38" t="n">
        <x:f>IF($A11="","",IF($AC11="BLOQUEADA",0,MIN(10,IF(OR($O11&gt;=4,$P11&gt;=4),2,0)+IF($Q11&gt;=4,2,0)+IF($R11&gt;=4,2,0)+IF($U11&gt;=4,2,0)+IF($T11&gt;=4,1,0)+IF($V11&gt;=4,1,0))))</x:f>
        <x:v>0</x:v>
      </x:c>
      <x:c r="AI11" s="38" t="n">
        <x:f>IF($A11="","",IF($AC11="BLOQUEADA",0,ROUND((MAX(0,5-$K11)+MAX(0,5-$AA11)+IF($I11="Ambigua",2,0)+IF($J11="Posible",2,0))*2,1)))</x:f>
        <x:v>0</x:v>
      </x:c>
      <x:c r="AJ11" s="38" t="n">
        <x:f>IF($A11="","",IF($AC11="BLOQUEADA",0,ROUND($AD11*Scoring_Weights!$C$2+$AE11*Scoring_Weights!$C$3+$AF11*Scoring_Weights!$C$4+$AG11*Scoring_Weights!$C$5+$AH11*Scoring_Weights!$C$6-$AI11*Scoring_Weights!$C$7,1)))</x:f>
        <x:v>0</x:v>
      </x:c>
      <x:c r="AK11" s="36" t="str">
        <x:f>IF($AC11&lt;&gt;"ELEGIBLE","",COUNTIFS($AC$2:$AC$11,"ELEGIBLE",$AJ$2:$AJ$11,"&gt;"&amp;$AJ11)+COUNTIFS($AC$2:$AC11,"ELEGIBLE",$AJ$2:$AJ11,$AJ11))</x:f>
      </x:c>
      <x:c r="AL11" s="23" t="str">
        <x:f>IF($A11="","",IF($AC11="BLOQUEADA","No seleccionable",IF($AC11="REVISIÓN","Revisión previa",IF($AK11&lt;=8,"Primaria propuesta","Contexto / backlog"))))</x:f>
        <x:v>No seleccionable</x:v>
      </x:c>
      <x:c r="AM11" s="23" t="str">
        <x:f>IF($A11="","",IF(MAX($O11,$P11)&gt;=MAX($Q11,$R11,$T11,$U11,$W11),"Transformación/OLC",IF(MAX($Q11,$R11)&gt;=MAX($T11,$U11,$W11),"Handoff/Flujo",IF(MAX($T11,$U11,$V11,$W11)&gt;=3,"Capacidad/Compensación","Contexto/PM"))))</x:f>
        <x:v>Contexto/PM</x:v>
      </x:c>
      <x:c r="AN11" s="23"/>
      <x:c r="AO11" s="23" t="str">
        <x:f>IF($A11="","",IF($AN11="Forzar primaria","Primaria forzada",IF($AN11="Excluir","Excluida",IF($AN11="Revisión","Revisión previa",$AL11))))</x:f>
        <x:v>No seleccionable</x:v>
      </x:c>
      <x:c r="AP11" s="23" t="str">
        <x:f>IF($A11="","",IF($AC11="BLOQUEADA","Gate duro",IF($AD11&gt;=MAX($AE11,$AF11,$AG11),"Potencial MMABP",IF($AE11&gt;=MAX($AD11,$AF11,$AG11),"Fricción/variedad",IF($AF11&gt;=MAX($AD11,$AE11,$AG11),"Cobertura","Evidencia/feasibilidad")))))</x:f>
        <x:v>Gate duro</x:v>
      </x:c>
      <x:c r="AQ11" s="23" t="str">
        <x:f>IF($A11="","",IF(LEFT($AO11,8)="Primaria",IF($AE11&gt;=75,"40+20 probable",IF($AD11&gt;=75,"40 base + causales selectivas","40 base + probes mínimos")),"No abre Runtime profundo"))</x:f>
        <x:v>No abre Runtime profundo</x:v>
      </x:c>
      <x:c r="AR11" s="23" t="str">
        <x:f>IF($A11="","",IF($AC11="BLOQUEADA","Corregir WorkMap/B0 antes de selección",IF($AC11="REVISIÓN","Microconfirmación B0 o resolución semántica",IF($AO11="Contexto / backlog","Conservar como contexto total","Enviar a Runtime"))))</x:f>
        <x:v>Corregir WorkMap/B0 antes de selección</x:v>
      </x:c>
      <x:c r="AS11" s="23"/>
    </x:row>
    <x:row r="12"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  <x:c r="AA12" s="60"/>
      <x:c r="AB12" s="60"/>
      <x:c r="AD12" s="50"/>
      <x:c r="AE12" s="50"/>
      <x:c r="AF12" s="50"/>
      <x:c r="AG12" s="50"/>
      <x:c r="AH12" s="50"/>
      <x:c r="AI12" s="50"/>
      <x:c r="AJ12" s="50"/>
      <x:c r="AK12" s="60"/>
    </x:row>
    <x:row r="13"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  <x:c r="AA13" s="60"/>
      <x:c r="AB13" s="60"/>
      <x:c r="AD13" s="50"/>
      <x:c r="AE13" s="50"/>
      <x:c r="AF13" s="50"/>
      <x:c r="AG13" s="50"/>
      <x:c r="AH13" s="50"/>
      <x:c r="AI13" s="50"/>
      <x:c r="AJ13" s="50"/>
      <x:c r="AK13" s="60"/>
    </x:row>
    <x:row r="14"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  <x:c r="AA14" s="60"/>
      <x:c r="AB14" s="60"/>
      <x:c r="AD14" s="50"/>
      <x:c r="AE14" s="50"/>
      <x:c r="AF14" s="50"/>
      <x:c r="AG14" s="50"/>
      <x:c r="AH14" s="50"/>
      <x:c r="AI14" s="50"/>
      <x:c r="AJ14" s="50"/>
      <x:c r="AK14" s="60"/>
    </x:row>
    <x:row r="15"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  <x:c r="AA15" s="60"/>
      <x:c r="AB15" s="60"/>
      <x:c r="AD15" s="50"/>
      <x:c r="AE15" s="50"/>
      <x:c r="AF15" s="50"/>
      <x:c r="AG15" s="50"/>
      <x:c r="AH15" s="50"/>
      <x:c r="AI15" s="50"/>
      <x:c r="AJ15" s="50"/>
      <x:c r="AK15" s="60"/>
    </x:row>
    <x:row r="16"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  <x:c r="AA16" s="60"/>
      <x:c r="AB16" s="60"/>
      <x:c r="AD16" s="50"/>
      <x:c r="AE16" s="50"/>
      <x:c r="AF16" s="50"/>
      <x:c r="AG16" s="50"/>
      <x:c r="AH16" s="50"/>
      <x:c r="AI16" s="50"/>
      <x:c r="AJ16" s="50"/>
      <x:c r="AK16" s="60"/>
    </x:row>
    <x:row r="17"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  <x:c r="AA17" s="60"/>
      <x:c r="AB17" s="60"/>
      <x:c r="AD17" s="50"/>
      <x:c r="AE17" s="50"/>
      <x:c r="AF17" s="50"/>
      <x:c r="AG17" s="50"/>
      <x:c r="AH17" s="50"/>
      <x:c r="AI17" s="50"/>
      <x:c r="AJ17" s="50"/>
      <x:c r="AK17" s="60"/>
    </x:row>
    <x:row r="18"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  <x:c r="AA18" s="60"/>
      <x:c r="AB18" s="60"/>
      <x:c r="AD18" s="50"/>
      <x:c r="AE18" s="50"/>
      <x:c r="AF18" s="50"/>
      <x:c r="AG18" s="50"/>
      <x:c r="AH18" s="50"/>
      <x:c r="AI18" s="50"/>
      <x:c r="AJ18" s="50"/>
      <x:c r="AK18" s="60"/>
    </x:row>
    <x:row r="19"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  <x:c r="AA19" s="60"/>
      <x:c r="AB19" s="60"/>
      <x:c r="AD19" s="50"/>
      <x:c r="AE19" s="50"/>
      <x:c r="AF19" s="50"/>
      <x:c r="AG19" s="50"/>
      <x:c r="AH19" s="50"/>
      <x:c r="AI19" s="50"/>
      <x:c r="AJ19" s="50"/>
      <x:c r="AK19" s="60"/>
    </x:row>
    <x:row r="20"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  <x:c r="AA20" s="60"/>
      <x:c r="AB20" s="60"/>
      <x:c r="AD20" s="50"/>
      <x:c r="AE20" s="50"/>
      <x:c r="AF20" s="50"/>
      <x:c r="AG20" s="50"/>
      <x:c r="AH20" s="50"/>
      <x:c r="AI20" s="50"/>
      <x:c r="AJ20" s="50"/>
      <x:c r="AK20" s="60"/>
    </x:row>
    <x:row r="21"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  <x:c r="AA21" s="60"/>
      <x:c r="AB21" s="60"/>
      <x:c r="AD21" s="50"/>
      <x:c r="AE21" s="50"/>
      <x:c r="AF21" s="50"/>
      <x:c r="AG21" s="50"/>
      <x:c r="AH21" s="50"/>
      <x:c r="AI21" s="50"/>
      <x:c r="AJ21" s="50"/>
      <x:c r="AK21" s="60"/>
    </x:row>
    <x:row r="22"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  <x:c r="AA22" s="60"/>
      <x:c r="AB22" s="60"/>
      <x:c r="AD22" s="50"/>
      <x:c r="AE22" s="50"/>
      <x:c r="AF22" s="50"/>
      <x:c r="AG22" s="50"/>
      <x:c r="AH22" s="50"/>
      <x:c r="AI22" s="50"/>
      <x:c r="AJ22" s="50"/>
      <x:c r="AK22" s="60"/>
    </x:row>
    <x:row r="23"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  <x:c r="AA23" s="60"/>
      <x:c r="AB23" s="60"/>
      <x:c r="AD23" s="50"/>
      <x:c r="AE23" s="50"/>
      <x:c r="AF23" s="50"/>
      <x:c r="AG23" s="50"/>
      <x:c r="AH23" s="50"/>
      <x:c r="AI23" s="50"/>
      <x:c r="AJ23" s="50"/>
      <x:c r="AK23" s="60"/>
    </x:row>
    <x:row r="24"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  <x:c r="AA24" s="60"/>
      <x:c r="AB24" s="60"/>
      <x:c r="AD24" s="50"/>
      <x:c r="AE24" s="50"/>
      <x:c r="AF24" s="50"/>
      <x:c r="AG24" s="50"/>
      <x:c r="AH24" s="50"/>
      <x:c r="AI24" s="50"/>
      <x:c r="AJ24" s="50"/>
      <x:c r="AK24" s="60"/>
    </x:row>
    <x:row r="25"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  <x:c r="AA25" s="60"/>
      <x:c r="AB25" s="60"/>
      <x:c r="AD25" s="50"/>
      <x:c r="AE25" s="50"/>
      <x:c r="AF25" s="50"/>
      <x:c r="AG25" s="50"/>
      <x:c r="AH25" s="50"/>
      <x:c r="AI25" s="50"/>
      <x:c r="AJ25" s="50"/>
      <x:c r="AK25" s="60"/>
    </x:row>
    <x:row r="26"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  <x:c r="AA26" s="60"/>
      <x:c r="AB26" s="60"/>
      <x:c r="AD26" s="50"/>
      <x:c r="AE26" s="50"/>
      <x:c r="AF26" s="50"/>
      <x:c r="AG26" s="50"/>
      <x:c r="AH26" s="50"/>
      <x:c r="AI26" s="50"/>
      <x:c r="AJ26" s="50"/>
      <x:c r="AK26" s="60"/>
    </x:row>
    <x:row r="27"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  <x:c r="AA27" s="60"/>
      <x:c r="AB27" s="60"/>
      <x:c r="AD27" s="50"/>
      <x:c r="AE27" s="50"/>
      <x:c r="AF27" s="50"/>
      <x:c r="AG27" s="50"/>
      <x:c r="AH27" s="50"/>
      <x:c r="AI27" s="50"/>
      <x:c r="AJ27" s="50"/>
      <x:c r="AK27" s="60"/>
    </x:row>
    <x:row r="28"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  <x:c r="AA28" s="60"/>
      <x:c r="AB28" s="60"/>
      <x:c r="AD28" s="50"/>
      <x:c r="AE28" s="50"/>
      <x:c r="AF28" s="50"/>
      <x:c r="AG28" s="50"/>
      <x:c r="AH28" s="50"/>
      <x:c r="AI28" s="50"/>
      <x:c r="AJ28" s="50"/>
      <x:c r="AK28" s="60"/>
    </x:row>
    <x:row r="29"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  <x:c r="AA29" s="60"/>
      <x:c r="AB29" s="60"/>
      <x:c r="AD29" s="50"/>
      <x:c r="AE29" s="50"/>
      <x:c r="AF29" s="50"/>
      <x:c r="AG29" s="50"/>
      <x:c r="AH29" s="50"/>
      <x:c r="AI29" s="50"/>
      <x:c r="AJ29" s="50"/>
      <x:c r="AK29" s="60"/>
    </x:row>
    <x:row r="30"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  <x:c r="AA30" s="60"/>
      <x:c r="AB30" s="60"/>
      <x:c r="AD30" s="50"/>
      <x:c r="AE30" s="50"/>
      <x:c r="AF30" s="50"/>
      <x:c r="AG30" s="50"/>
      <x:c r="AH30" s="50"/>
      <x:c r="AI30" s="50"/>
      <x:c r="AJ30" s="50"/>
      <x:c r="AK30" s="60"/>
    </x:row>
    <x:row r="31"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  <x:c r="AA31" s="60"/>
      <x:c r="AB31" s="60"/>
      <x:c r="AD31" s="50"/>
      <x:c r="AE31" s="50"/>
      <x:c r="AF31" s="50"/>
      <x:c r="AG31" s="50"/>
      <x:c r="AH31" s="50"/>
      <x:c r="AI31" s="50"/>
      <x:c r="AJ31" s="50"/>
      <x:c r="AK31" s="60"/>
    </x:row>
    <x:row r="32"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60"/>
      <x:c r="AD32" s="50"/>
      <x:c r="AE32" s="50"/>
      <x:c r="AF32" s="50"/>
      <x:c r="AG32" s="50"/>
      <x:c r="AH32" s="50"/>
      <x:c r="AI32" s="50"/>
      <x:c r="AJ32" s="50"/>
      <x:c r="AK32" s="60"/>
    </x:row>
    <x:row r="33"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60"/>
      <x:c r="AD33" s="50"/>
      <x:c r="AE33" s="50"/>
      <x:c r="AF33" s="50"/>
      <x:c r="AG33" s="50"/>
      <x:c r="AH33" s="50"/>
      <x:c r="AI33" s="50"/>
      <x:c r="AJ33" s="50"/>
      <x:c r="AK33" s="60"/>
    </x:row>
    <x:row r="34"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60"/>
      <x:c r="AD34" s="50"/>
      <x:c r="AE34" s="50"/>
      <x:c r="AF34" s="50"/>
      <x:c r="AG34" s="50"/>
      <x:c r="AH34" s="50"/>
      <x:c r="AI34" s="50"/>
      <x:c r="AJ34" s="50"/>
      <x:c r="AK34" s="60"/>
    </x:row>
    <x:row r="35"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60"/>
      <x:c r="AD35" s="50"/>
      <x:c r="AE35" s="50"/>
      <x:c r="AF35" s="50"/>
      <x:c r="AG35" s="50"/>
      <x:c r="AH35" s="50"/>
      <x:c r="AI35" s="50"/>
      <x:c r="AJ35" s="50"/>
      <x:c r="AK35" s="60"/>
    </x:row>
    <x:row r="36"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60"/>
      <x:c r="AD36" s="50"/>
      <x:c r="AE36" s="50"/>
      <x:c r="AF36" s="50"/>
      <x:c r="AG36" s="50"/>
      <x:c r="AH36" s="50"/>
      <x:c r="AI36" s="50"/>
      <x:c r="AJ36" s="50"/>
      <x:c r="AK36" s="60"/>
    </x:row>
    <x:row r="37"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60"/>
      <x:c r="AD37" s="50"/>
      <x:c r="AE37" s="50"/>
      <x:c r="AF37" s="50"/>
      <x:c r="AG37" s="50"/>
      <x:c r="AH37" s="50"/>
      <x:c r="AI37" s="50"/>
      <x:c r="AJ37" s="50"/>
      <x:c r="AK37" s="60"/>
    </x:row>
    <x:row r="38"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60"/>
      <x:c r="AD38" s="50"/>
      <x:c r="AE38" s="50"/>
      <x:c r="AF38" s="50"/>
      <x:c r="AG38" s="50"/>
      <x:c r="AH38" s="50"/>
      <x:c r="AI38" s="50"/>
      <x:c r="AJ38" s="50"/>
      <x:c r="AK38" s="60"/>
    </x:row>
    <x:row r="39"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60"/>
      <x:c r="AD39" s="50"/>
      <x:c r="AE39" s="50"/>
      <x:c r="AF39" s="50"/>
      <x:c r="AG39" s="50"/>
      <x:c r="AH39" s="50"/>
      <x:c r="AI39" s="50"/>
      <x:c r="AJ39" s="50"/>
      <x:c r="AK39" s="60"/>
    </x:row>
    <x:row r="40"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  <x:c r="AA40" s="60"/>
      <x:c r="AB40" s="60"/>
      <x:c r="AD40" s="50"/>
      <x:c r="AE40" s="50"/>
      <x:c r="AF40" s="50"/>
      <x:c r="AG40" s="50"/>
      <x:c r="AH40" s="50"/>
      <x:c r="AI40" s="50"/>
      <x:c r="AJ40" s="50"/>
      <x:c r="AK40" s="60"/>
    </x:row>
    <x:row r="41"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  <x:c r="AA41" s="60"/>
      <x:c r="AB41" s="60"/>
      <x:c r="AD41" s="50"/>
      <x:c r="AE41" s="50"/>
      <x:c r="AF41" s="50"/>
      <x:c r="AG41" s="50"/>
      <x:c r="AH41" s="50"/>
      <x:c r="AI41" s="50"/>
      <x:c r="AJ41" s="50"/>
      <x:c r="AK41" s="60"/>
    </x:row>
    <x:row r="42"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  <x:c r="AA42" s="60"/>
      <x:c r="AB42" s="60"/>
      <x:c r="AD42" s="50"/>
      <x:c r="AE42" s="50"/>
      <x:c r="AF42" s="50"/>
      <x:c r="AG42" s="50"/>
      <x:c r="AH42" s="50"/>
      <x:c r="AI42" s="50"/>
      <x:c r="AJ42" s="50"/>
      <x:c r="AK42" s="60"/>
    </x:row>
    <x:row r="43"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  <x:c r="AA43" s="60"/>
      <x:c r="AB43" s="60"/>
      <x:c r="AD43" s="50"/>
      <x:c r="AE43" s="50"/>
      <x:c r="AF43" s="50"/>
      <x:c r="AG43" s="50"/>
      <x:c r="AH43" s="50"/>
      <x:c r="AI43" s="50"/>
      <x:c r="AJ43" s="50"/>
      <x:c r="AK43" s="60"/>
    </x:row>
    <x:row r="44"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  <x:c r="AA44" s="60"/>
      <x:c r="AB44" s="60"/>
      <x:c r="AD44" s="50"/>
      <x:c r="AE44" s="50"/>
      <x:c r="AF44" s="50"/>
      <x:c r="AG44" s="50"/>
      <x:c r="AH44" s="50"/>
      <x:c r="AI44" s="50"/>
      <x:c r="AJ44" s="50"/>
      <x:c r="AK44" s="60"/>
    </x:row>
    <x:row r="45"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  <x:c r="AA45" s="60"/>
      <x:c r="AB45" s="60"/>
      <x:c r="AD45" s="50"/>
      <x:c r="AE45" s="50"/>
      <x:c r="AF45" s="50"/>
      <x:c r="AG45" s="50"/>
      <x:c r="AH45" s="50"/>
      <x:c r="AI45" s="50"/>
      <x:c r="AJ45" s="50"/>
      <x:c r="AK45" s="60"/>
    </x:row>
    <x:row r="46"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  <x:c r="AA46" s="60"/>
      <x:c r="AB46" s="60"/>
      <x:c r="AD46" s="50"/>
      <x:c r="AE46" s="50"/>
      <x:c r="AF46" s="50"/>
      <x:c r="AG46" s="50"/>
      <x:c r="AH46" s="50"/>
      <x:c r="AI46" s="50"/>
      <x:c r="AJ46" s="50"/>
      <x:c r="AK46" s="60"/>
    </x:row>
    <x:row r="47"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  <x:c r="AA47" s="60"/>
      <x:c r="AB47" s="60"/>
      <x:c r="AD47" s="50"/>
      <x:c r="AE47" s="50"/>
      <x:c r="AF47" s="50"/>
      <x:c r="AG47" s="50"/>
      <x:c r="AH47" s="50"/>
      <x:c r="AI47" s="50"/>
      <x:c r="AJ47" s="50"/>
      <x:c r="AK47" s="60"/>
    </x:row>
    <x:row r="48"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  <x:c r="AA48" s="60"/>
      <x:c r="AB48" s="60"/>
      <x:c r="AD48" s="50"/>
      <x:c r="AE48" s="50"/>
      <x:c r="AF48" s="50"/>
      <x:c r="AG48" s="50"/>
      <x:c r="AH48" s="50"/>
      <x:c r="AI48" s="50"/>
      <x:c r="AJ48" s="50"/>
      <x:c r="AK48" s="60"/>
    </x:row>
    <x:row r="49"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  <x:c r="AA49" s="60"/>
      <x:c r="AB49" s="60"/>
      <x:c r="AD49" s="50"/>
      <x:c r="AE49" s="50"/>
      <x:c r="AF49" s="50"/>
      <x:c r="AG49" s="50"/>
      <x:c r="AH49" s="50"/>
      <x:c r="AI49" s="50"/>
      <x:c r="AJ49" s="50"/>
      <x:c r="AK49" s="60"/>
    </x:row>
    <x:row r="50"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  <x:c r="AA50" s="60"/>
      <x:c r="AB50" s="60"/>
      <x:c r="AD50" s="50"/>
      <x:c r="AE50" s="50"/>
      <x:c r="AF50" s="50"/>
      <x:c r="AG50" s="50"/>
      <x:c r="AH50" s="50"/>
      <x:c r="AI50" s="50"/>
      <x:c r="AJ50" s="50"/>
      <x:c r="AK50" s="60"/>
    </x:row>
    <x:row r="51"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  <x:c r="AA51" s="60"/>
      <x:c r="AB51" s="60"/>
      <x:c r="AD51" s="50"/>
      <x:c r="AE51" s="50"/>
      <x:c r="AF51" s="50"/>
      <x:c r="AG51" s="50"/>
      <x:c r="AH51" s="50"/>
      <x:c r="AI51" s="50"/>
      <x:c r="AJ51" s="50"/>
      <x:c r="AK51" s="60"/>
    </x:row>
    <x:row r="52"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  <x:c r="AA52" s="60"/>
      <x:c r="AB52" s="60"/>
      <x:c r="AD52" s="50"/>
      <x:c r="AE52" s="50"/>
      <x:c r="AF52" s="50"/>
      <x:c r="AG52" s="50"/>
      <x:c r="AH52" s="50"/>
      <x:c r="AI52" s="50"/>
      <x:c r="AJ52" s="50"/>
      <x:c r="AK52" s="60"/>
    </x:row>
    <x:row r="53"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  <x:c r="AA53" s="60"/>
      <x:c r="AB53" s="60"/>
      <x:c r="AD53" s="50"/>
      <x:c r="AE53" s="50"/>
      <x:c r="AF53" s="50"/>
      <x:c r="AG53" s="50"/>
      <x:c r="AH53" s="50"/>
      <x:c r="AI53" s="50"/>
      <x:c r="AJ53" s="50"/>
      <x:c r="AK53" s="60"/>
    </x:row>
    <x:row r="54"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  <x:c r="AA54" s="60"/>
      <x:c r="AB54" s="60"/>
      <x:c r="AD54" s="50"/>
      <x:c r="AE54" s="50"/>
      <x:c r="AF54" s="50"/>
      <x:c r="AG54" s="50"/>
      <x:c r="AH54" s="50"/>
      <x:c r="AI54" s="50"/>
      <x:c r="AJ54" s="50"/>
      <x:c r="AK54" s="60"/>
    </x:row>
    <x:row r="55"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  <x:c r="AA55" s="60"/>
      <x:c r="AB55" s="60"/>
      <x:c r="AD55" s="50"/>
      <x:c r="AE55" s="50"/>
      <x:c r="AF55" s="50"/>
      <x:c r="AG55" s="50"/>
      <x:c r="AH55" s="50"/>
      <x:c r="AI55" s="50"/>
      <x:c r="AJ55" s="50"/>
      <x:c r="AK55" s="60"/>
    </x:row>
    <x:row r="56"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  <x:c r="AA56" s="60"/>
      <x:c r="AB56" s="60"/>
      <x:c r="AD56" s="50"/>
      <x:c r="AE56" s="50"/>
      <x:c r="AF56" s="50"/>
      <x:c r="AG56" s="50"/>
      <x:c r="AH56" s="50"/>
      <x:c r="AI56" s="50"/>
      <x:c r="AJ56" s="50"/>
      <x:c r="AK56" s="60"/>
    </x:row>
    <x:row r="57"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  <x:c r="AA57" s="60"/>
      <x:c r="AB57" s="60"/>
      <x:c r="AD57" s="50"/>
      <x:c r="AE57" s="50"/>
      <x:c r="AF57" s="50"/>
      <x:c r="AG57" s="50"/>
      <x:c r="AH57" s="50"/>
      <x:c r="AI57" s="50"/>
      <x:c r="AJ57" s="50"/>
      <x:c r="AK57" s="60"/>
    </x:row>
    <x:row r="58"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  <x:c r="AA58" s="60"/>
      <x:c r="AB58" s="60"/>
      <x:c r="AD58" s="50"/>
      <x:c r="AE58" s="50"/>
      <x:c r="AF58" s="50"/>
      <x:c r="AG58" s="50"/>
      <x:c r="AH58" s="50"/>
      <x:c r="AI58" s="50"/>
      <x:c r="AJ58" s="50"/>
      <x:c r="AK58" s="60"/>
    </x:row>
    <x:row r="59"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  <x:c r="AA59" s="60"/>
      <x:c r="AB59" s="60"/>
      <x:c r="AD59" s="50"/>
      <x:c r="AE59" s="50"/>
      <x:c r="AF59" s="50"/>
      <x:c r="AG59" s="50"/>
      <x:c r="AH59" s="50"/>
      <x:c r="AI59" s="50"/>
      <x:c r="AJ59" s="50"/>
      <x:c r="AK59" s="60"/>
    </x:row>
    <x:row r="60"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  <x:c r="AA60" s="60"/>
      <x:c r="AB60" s="60"/>
      <x:c r="AD60" s="50"/>
      <x:c r="AE60" s="50"/>
      <x:c r="AF60" s="50"/>
      <x:c r="AG60" s="50"/>
      <x:c r="AH60" s="50"/>
      <x:c r="AI60" s="50"/>
      <x:c r="AJ60" s="50"/>
      <x:c r="AK60" s="60"/>
    </x:row>
    <x:row r="61"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  <x:c r="AA61" s="60"/>
      <x:c r="AB61" s="60"/>
      <x:c r="AD61" s="50"/>
      <x:c r="AE61" s="50"/>
      <x:c r="AF61" s="50"/>
      <x:c r="AG61" s="50"/>
      <x:c r="AH61" s="50"/>
      <x:c r="AI61" s="50"/>
      <x:c r="AJ61" s="50"/>
      <x:c r="AK61" s="60"/>
    </x:row>
    <x:row r="62"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  <x:c r="AA62" s="60"/>
      <x:c r="AB62" s="60"/>
      <x:c r="AD62" s="50"/>
      <x:c r="AE62" s="50"/>
      <x:c r="AF62" s="50"/>
      <x:c r="AG62" s="50"/>
      <x:c r="AH62" s="50"/>
      <x:c r="AI62" s="50"/>
      <x:c r="AJ62" s="50"/>
      <x:c r="AK62" s="60"/>
    </x:row>
    <x:row r="63"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  <x:c r="AA63" s="60"/>
      <x:c r="AB63" s="60"/>
      <x:c r="AD63" s="50"/>
      <x:c r="AE63" s="50"/>
      <x:c r="AF63" s="50"/>
      <x:c r="AG63" s="50"/>
      <x:c r="AH63" s="50"/>
      <x:c r="AI63" s="50"/>
      <x:c r="AJ63" s="50"/>
      <x:c r="AK63" s="60"/>
    </x:row>
    <x:row r="64"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  <x:c r="AA64" s="60"/>
      <x:c r="AB64" s="60"/>
      <x:c r="AD64" s="50"/>
      <x:c r="AE64" s="50"/>
      <x:c r="AF64" s="50"/>
      <x:c r="AG64" s="50"/>
      <x:c r="AH64" s="50"/>
      <x:c r="AI64" s="50"/>
      <x:c r="AJ64" s="50"/>
      <x:c r="AK64" s="60"/>
    </x:row>
    <x:row r="65"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  <x:c r="AA65" s="60"/>
      <x:c r="AB65" s="60"/>
      <x:c r="AD65" s="50"/>
      <x:c r="AE65" s="50"/>
      <x:c r="AF65" s="50"/>
      <x:c r="AG65" s="50"/>
      <x:c r="AH65" s="50"/>
      <x:c r="AI65" s="50"/>
      <x:c r="AJ65" s="50"/>
      <x:c r="AK65" s="60"/>
    </x:row>
    <x:row r="66"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  <x:c r="AA66" s="60"/>
      <x:c r="AB66" s="60"/>
      <x:c r="AD66" s="50"/>
      <x:c r="AE66" s="50"/>
      <x:c r="AF66" s="50"/>
      <x:c r="AG66" s="50"/>
      <x:c r="AH66" s="50"/>
      <x:c r="AI66" s="50"/>
      <x:c r="AJ66" s="50"/>
      <x:c r="AK66" s="60"/>
    </x:row>
    <x:row r="67"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  <x:c r="AA67" s="60"/>
      <x:c r="AB67" s="60"/>
      <x:c r="AD67" s="50"/>
      <x:c r="AE67" s="50"/>
      <x:c r="AF67" s="50"/>
      <x:c r="AG67" s="50"/>
      <x:c r="AH67" s="50"/>
      <x:c r="AI67" s="50"/>
      <x:c r="AJ67" s="50"/>
      <x:c r="AK67" s="60"/>
    </x:row>
    <x:row r="68"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  <x:c r="AA68" s="60"/>
      <x:c r="AB68" s="60"/>
      <x:c r="AD68" s="50"/>
      <x:c r="AE68" s="50"/>
      <x:c r="AF68" s="50"/>
      <x:c r="AG68" s="50"/>
      <x:c r="AH68" s="50"/>
      <x:c r="AI68" s="50"/>
      <x:c r="AJ68" s="50"/>
      <x:c r="AK68" s="60"/>
    </x:row>
    <x:row r="69"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  <x:c r="AA69" s="60"/>
      <x:c r="AB69" s="60"/>
      <x:c r="AD69" s="50"/>
      <x:c r="AE69" s="50"/>
      <x:c r="AF69" s="50"/>
      <x:c r="AG69" s="50"/>
      <x:c r="AH69" s="50"/>
      <x:c r="AI69" s="50"/>
      <x:c r="AJ69" s="50"/>
      <x:c r="AK69" s="60"/>
    </x:row>
    <x:row r="70"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  <x:c r="AA70" s="60"/>
      <x:c r="AB70" s="60"/>
      <x:c r="AD70" s="50"/>
      <x:c r="AE70" s="50"/>
      <x:c r="AF70" s="50"/>
      <x:c r="AG70" s="50"/>
      <x:c r="AH70" s="50"/>
      <x:c r="AI70" s="50"/>
      <x:c r="AJ70" s="50"/>
      <x:c r="AK70" s="60"/>
    </x:row>
    <x:row r="71"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  <x:c r="AA71" s="60"/>
      <x:c r="AB71" s="60"/>
      <x:c r="AD71" s="50"/>
      <x:c r="AE71" s="50"/>
      <x:c r="AF71" s="50"/>
      <x:c r="AG71" s="50"/>
      <x:c r="AH71" s="50"/>
      <x:c r="AI71" s="50"/>
      <x:c r="AJ71" s="50"/>
      <x:c r="AK71" s="60"/>
    </x:row>
    <x:row r="72"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  <x:c r="AA72" s="60"/>
      <x:c r="AB72" s="60"/>
      <x:c r="AD72" s="50"/>
      <x:c r="AE72" s="50"/>
      <x:c r="AF72" s="50"/>
      <x:c r="AG72" s="50"/>
      <x:c r="AH72" s="50"/>
      <x:c r="AI72" s="50"/>
      <x:c r="AJ72" s="50"/>
      <x:c r="AK72" s="60"/>
    </x:row>
    <x:row r="73"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  <x:c r="AA73" s="60"/>
      <x:c r="AB73" s="60"/>
      <x:c r="AD73" s="50"/>
      <x:c r="AE73" s="50"/>
      <x:c r="AF73" s="50"/>
      <x:c r="AG73" s="50"/>
      <x:c r="AH73" s="50"/>
      <x:c r="AI73" s="50"/>
      <x:c r="AJ73" s="50"/>
      <x:c r="AK73" s="60"/>
    </x:row>
    <x:row r="74"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  <x:c r="AA74" s="60"/>
      <x:c r="AB74" s="60"/>
      <x:c r="AD74" s="50"/>
      <x:c r="AE74" s="50"/>
      <x:c r="AF74" s="50"/>
      <x:c r="AG74" s="50"/>
      <x:c r="AH74" s="50"/>
      <x:c r="AI74" s="50"/>
      <x:c r="AJ74" s="50"/>
      <x:c r="AK74" s="60"/>
    </x:row>
    <x:row r="75"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  <x:c r="AA75" s="60"/>
      <x:c r="AB75" s="60"/>
      <x:c r="AD75" s="50"/>
      <x:c r="AE75" s="50"/>
      <x:c r="AF75" s="50"/>
      <x:c r="AG75" s="50"/>
      <x:c r="AH75" s="50"/>
      <x:c r="AI75" s="50"/>
      <x:c r="AJ75" s="50"/>
      <x:c r="AK75" s="60"/>
    </x:row>
    <x:row r="76"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  <x:c r="AA76" s="60"/>
      <x:c r="AB76" s="60"/>
      <x:c r="AD76" s="50"/>
      <x:c r="AE76" s="50"/>
      <x:c r="AF76" s="50"/>
      <x:c r="AG76" s="50"/>
      <x:c r="AH76" s="50"/>
      <x:c r="AI76" s="50"/>
      <x:c r="AJ76" s="50"/>
      <x:c r="AK76" s="60"/>
    </x:row>
    <x:row r="77"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  <x:c r="AA77" s="60"/>
      <x:c r="AB77" s="60"/>
      <x:c r="AD77" s="50"/>
      <x:c r="AE77" s="50"/>
      <x:c r="AF77" s="50"/>
      <x:c r="AG77" s="50"/>
      <x:c r="AH77" s="50"/>
      <x:c r="AI77" s="50"/>
      <x:c r="AJ77" s="50"/>
      <x:c r="AK77" s="60"/>
    </x:row>
    <x:row r="78"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  <x:c r="AA78" s="60"/>
      <x:c r="AB78" s="60"/>
      <x:c r="AD78" s="50"/>
      <x:c r="AE78" s="50"/>
      <x:c r="AF78" s="50"/>
      <x:c r="AG78" s="50"/>
      <x:c r="AH78" s="50"/>
      <x:c r="AI78" s="50"/>
      <x:c r="AJ78" s="50"/>
      <x:c r="AK78" s="60"/>
    </x:row>
    <x:row r="79"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  <x:c r="AA79" s="60"/>
      <x:c r="AB79" s="60"/>
      <x:c r="AD79" s="50"/>
      <x:c r="AE79" s="50"/>
      <x:c r="AF79" s="50"/>
      <x:c r="AG79" s="50"/>
      <x:c r="AH79" s="50"/>
      <x:c r="AI79" s="50"/>
      <x:c r="AJ79" s="50"/>
      <x:c r="AK79" s="60"/>
    </x:row>
    <x:row r="80"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  <x:c r="AA80" s="60"/>
      <x:c r="AB80" s="60"/>
      <x:c r="AD80" s="50"/>
      <x:c r="AE80" s="50"/>
      <x:c r="AF80" s="50"/>
      <x:c r="AG80" s="50"/>
      <x:c r="AH80" s="50"/>
      <x:c r="AI80" s="50"/>
      <x:c r="AJ80" s="50"/>
      <x:c r="AK80" s="60"/>
    </x:row>
    <x:row r="81"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  <x:c r="AA81" s="60"/>
      <x:c r="AB81" s="60"/>
      <x:c r="AD81" s="50"/>
      <x:c r="AE81" s="50"/>
      <x:c r="AF81" s="50"/>
      <x:c r="AG81" s="50"/>
      <x:c r="AH81" s="50"/>
      <x:c r="AI81" s="50"/>
      <x:c r="AJ81" s="50"/>
      <x:c r="AK81" s="60"/>
    </x:row>
    <x:row r="82"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  <x:c r="AA82" s="60"/>
      <x:c r="AB82" s="60"/>
      <x:c r="AD82" s="50"/>
      <x:c r="AE82" s="50"/>
      <x:c r="AF82" s="50"/>
      <x:c r="AG82" s="50"/>
      <x:c r="AH82" s="50"/>
      <x:c r="AI82" s="50"/>
      <x:c r="AJ82" s="50"/>
      <x:c r="AK82" s="60"/>
    </x:row>
    <x:row r="83"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  <x:c r="AA83" s="60"/>
      <x:c r="AB83" s="60"/>
      <x:c r="AD83" s="50"/>
      <x:c r="AE83" s="50"/>
      <x:c r="AF83" s="50"/>
      <x:c r="AG83" s="50"/>
      <x:c r="AH83" s="50"/>
      <x:c r="AI83" s="50"/>
      <x:c r="AJ83" s="50"/>
      <x:c r="AK83" s="60"/>
    </x:row>
    <x:row r="84"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  <x:c r="AA84" s="60"/>
      <x:c r="AB84" s="60"/>
      <x:c r="AD84" s="50"/>
      <x:c r="AE84" s="50"/>
      <x:c r="AF84" s="50"/>
      <x:c r="AG84" s="50"/>
      <x:c r="AH84" s="50"/>
      <x:c r="AI84" s="50"/>
      <x:c r="AJ84" s="50"/>
      <x:c r="AK84" s="60"/>
    </x:row>
    <x:row r="85"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  <x:c r="AA85" s="60"/>
      <x:c r="AB85" s="60"/>
      <x:c r="AD85" s="50"/>
      <x:c r="AE85" s="50"/>
      <x:c r="AF85" s="50"/>
      <x:c r="AG85" s="50"/>
      <x:c r="AH85" s="50"/>
      <x:c r="AI85" s="50"/>
      <x:c r="AJ85" s="50"/>
      <x:c r="AK85" s="60"/>
    </x:row>
    <x:row r="86"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  <x:c r="AA86" s="60"/>
      <x:c r="AB86" s="60"/>
      <x:c r="AD86" s="50"/>
      <x:c r="AE86" s="50"/>
      <x:c r="AF86" s="50"/>
      <x:c r="AG86" s="50"/>
      <x:c r="AH86" s="50"/>
      <x:c r="AI86" s="50"/>
      <x:c r="AJ86" s="50"/>
      <x:c r="AK86" s="60"/>
    </x:row>
    <x:row r="87"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  <x:c r="AA87" s="60"/>
      <x:c r="AB87" s="60"/>
      <x:c r="AD87" s="50"/>
      <x:c r="AE87" s="50"/>
      <x:c r="AF87" s="50"/>
      <x:c r="AG87" s="50"/>
      <x:c r="AH87" s="50"/>
      <x:c r="AI87" s="50"/>
      <x:c r="AJ87" s="50"/>
      <x:c r="AK87" s="60"/>
    </x:row>
    <x:row r="88"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  <x:c r="AA88" s="60"/>
      <x:c r="AB88" s="60"/>
      <x:c r="AD88" s="50"/>
      <x:c r="AE88" s="50"/>
      <x:c r="AF88" s="50"/>
      <x:c r="AG88" s="50"/>
      <x:c r="AH88" s="50"/>
      <x:c r="AI88" s="50"/>
      <x:c r="AJ88" s="50"/>
      <x:c r="AK88" s="60"/>
    </x:row>
    <x:row r="89"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  <x:c r="AA89" s="60"/>
      <x:c r="AB89" s="60"/>
      <x:c r="AD89" s="50"/>
      <x:c r="AE89" s="50"/>
      <x:c r="AF89" s="50"/>
      <x:c r="AG89" s="50"/>
      <x:c r="AH89" s="50"/>
      <x:c r="AI89" s="50"/>
      <x:c r="AJ89" s="50"/>
      <x:c r="AK89" s="60"/>
    </x:row>
    <x:row r="90"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  <x:c r="AA90" s="60"/>
      <x:c r="AB90" s="60"/>
      <x:c r="AD90" s="50"/>
      <x:c r="AE90" s="50"/>
      <x:c r="AF90" s="50"/>
      <x:c r="AG90" s="50"/>
      <x:c r="AH90" s="50"/>
      <x:c r="AI90" s="50"/>
      <x:c r="AJ90" s="50"/>
      <x:c r="AK90" s="60"/>
    </x:row>
    <x:row r="91"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  <x:c r="AA91" s="60"/>
      <x:c r="AB91" s="60"/>
      <x:c r="AD91" s="50"/>
      <x:c r="AE91" s="50"/>
      <x:c r="AF91" s="50"/>
      <x:c r="AG91" s="50"/>
      <x:c r="AH91" s="50"/>
      <x:c r="AI91" s="50"/>
      <x:c r="AJ91" s="50"/>
      <x:c r="AK91" s="60"/>
    </x:row>
    <x:row r="92"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  <x:c r="AA92" s="60"/>
      <x:c r="AB92" s="60"/>
      <x:c r="AD92" s="50"/>
      <x:c r="AE92" s="50"/>
      <x:c r="AF92" s="50"/>
      <x:c r="AG92" s="50"/>
      <x:c r="AH92" s="50"/>
      <x:c r="AI92" s="50"/>
      <x:c r="AJ92" s="50"/>
      <x:c r="AK92" s="60"/>
    </x:row>
    <x:row r="93"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  <x:c r="AA93" s="60"/>
      <x:c r="AB93" s="60"/>
      <x:c r="AD93" s="50"/>
      <x:c r="AE93" s="50"/>
      <x:c r="AF93" s="50"/>
      <x:c r="AG93" s="50"/>
      <x:c r="AH93" s="50"/>
      <x:c r="AI93" s="50"/>
      <x:c r="AJ93" s="50"/>
      <x:c r="AK93" s="60"/>
    </x:row>
    <x:row r="94"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  <x:c r="AA94" s="60"/>
      <x:c r="AB94" s="60"/>
      <x:c r="AD94" s="50"/>
      <x:c r="AE94" s="50"/>
      <x:c r="AF94" s="50"/>
      <x:c r="AG94" s="50"/>
      <x:c r="AH94" s="50"/>
      <x:c r="AI94" s="50"/>
      <x:c r="AJ94" s="50"/>
      <x:c r="AK94" s="60"/>
    </x:row>
    <x:row r="95"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  <x:c r="AA95" s="60"/>
      <x:c r="AB95" s="60"/>
      <x:c r="AD95" s="50"/>
      <x:c r="AE95" s="50"/>
      <x:c r="AF95" s="50"/>
      <x:c r="AG95" s="50"/>
      <x:c r="AH95" s="50"/>
      <x:c r="AI95" s="50"/>
      <x:c r="AJ95" s="50"/>
      <x:c r="AK95" s="60"/>
    </x:row>
    <x:row r="96"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  <x:c r="AA96" s="60"/>
      <x:c r="AB96" s="60"/>
      <x:c r="AD96" s="50"/>
      <x:c r="AE96" s="50"/>
      <x:c r="AF96" s="50"/>
      <x:c r="AG96" s="50"/>
      <x:c r="AH96" s="50"/>
      <x:c r="AI96" s="50"/>
      <x:c r="AJ96" s="50"/>
      <x:c r="AK96" s="60"/>
    </x:row>
    <x:row r="97"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  <x:c r="AA97" s="60"/>
      <x:c r="AB97" s="60"/>
      <x:c r="AD97" s="50"/>
      <x:c r="AE97" s="50"/>
      <x:c r="AF97" s="50"/>
      <x:c r="AG97" s="50"/>
      <x:c r="AH97" s="50"/>
      <x:c r="AI97" s="50"/>
      <x:c r="AJ97" s="50"/>
      <x:c r="AK97" s="60"/>
    </x:row>
    <x:row r="98"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  <x:c r="AA98" s="60"/>
      <x:c r="AB98" s="60"/>
      <x:c r="AD98" s="50"/>
      <x:c r="AE98" s="50"/>
      <x:c r="AF98" s="50"/>
      <x:c r="AG98" s="50"/>
      <x:c r="AH98" s="50"/>
      <x:c r="AI98" s="50"/>
      <x:c r="AJ98" s="50"/>
      <x:c r="AK98" s="60"/>
    </x:row>
    <x:row r="99"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  <x:c r="AA99" s="60"/>
      <x:c r="AB99" s="60"/>
      <x:c r="AD99" s="50"/>
      <x:c r="AE99" s="50"/>
      <x:c r="AF99" s="50"/>
      <x:c r="AG99" s="50"/>
      <x:c r="AH99" s="50"/>
      <x:c r="AI99" s="50"/>
      <x:c r="AJ99" s="50"/>
      <x:c r="AK99" s="60"/>
    </x:row>
    <x:row r="100"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  <x:c r="AA100" s="60"/>
      <x:c r="AB100" s="60"/>
      <x:c r="AD100" s="50"/>
      <x:c r="AE100" s="50"/>
      <x:c r="AF100" s="50"/>
      <x:c r="AG100" s="50"/>
      <x:c r="AH100" s="50"/>
      <x:c r="AI100" s="50"/>
      <x:c r="AJ100" s="50"/>
      <x:c r="AK100" s="60"/>
    </x:row>
    <x:row r="101"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  <x:c r="AA101" s="60"/>
      <x:c r="AB101" s="60"/>
      <x:c r="AD101" s="50"/>
      <x:c r="AE101" s="50"/>
      <x:c r="AF101" s="50"/>
      <x:c r="AG101" s="50"/>
      <x:c r="AH101" s="50"/>
      <x:c r="AI101" s="50"/>
      <x:c r="AJ101" s="50"/>
      <x:c r="AK101" s="6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Elemento</x:v>
      </x:c>
      <x:c r="B1" s="68" t="str">
        <x:v>Contenido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Propósito</x:v>
      </x:c>
      <x:c r="B2" s="69" t="str">
        <x:v>Registrar los ajustes de v1.1 sin eliminar el contenido v1.0.</x:v>
      </x:c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Problema corregido</x:v>
      </x:c>
      <x:c r="B3" s="69" t="str">
        <x:v>El v1.0 podía leerse como demasiado estricto al evaluar actividades aún no procesadas por Runtime.</x:v>
      </x:c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Corrección madre</x:v>
      </x:c>
      <x:c r="B4" s="69" t="str">
        <x:v>La selección de actividades primarias se define como priorización bajo incertidumbre, no como diagramability readiness confirmado.</x:v>
      </x:c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Cambio terminológico</x:v>
      </x:c>
      <x:c r="B5" s="69" t="str">
        <x:v>Evidence Potential se alinea a Signal Potential. Diagramability Readiness se alinea a Runtime Probe Priority.</x:v>
      </x:c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Regla de unknown</x:v>
      </x:c>
      <x:c r="B6" s="69" t="str">
        <x:v>Unknown no equivale a cero. Se trata como señal no disponible, no como evidencia de ausencia.</x:v>
      </x:c>
      <x:c r="C6" s="69"/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Gates duros</x:v>
      </x:c>
      <x:c r="B7" s="69" t="str">
        <x:v>Se reducen a trazabilidad, actividad real, granularidad viable, duplicado evidente y pertenencia al rol/área.</x:v>
      </x:c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Gates no permitidos</x:v>
      </x:c>
      <x:c r="B8" s="69" t="str">
        <x:v>No bloquear por falta de cliente, objeto, estado, receptor, timer o transición explícita en WorkMap.</x:v>
      </x:c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Fórmula nueva</x:v>
      </x:c>
      <x:c r="B9" s="69" t="str">
        <x:v>PrimaryActivitySelectionScore = 0.30 Architectural_Signal + 0.20 Operational_Centrality + 0.15 Handoff + 0.15 Transformation + 0.10 Friction + 0.10 Coverage - Penalties.</x:v>
      </x:c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Slot exploratorio</x:v>
      </x:c>
      <x:c r="B10" s="69" t="str">
        <x:v>El slot 8 se reserva para una actividad ambigua pero potencialmente reveladora si no compromete la carga ni la trazabilidad.</x:v>
      </x:c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Relación con MMABP</x:v>
      </x:c>
      <x:c r="B11" s="69" t="str">
        <x:v>PM/MoC/PF/OLC se usan como lentes de señal, no como pruebas de evidencia cerrada en WorkMap.</x:v>
      </x:c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Relación con Runtime</x:v>
      </x:c>
      <x:c r="B12" s="69" t="str">
        <x:v>Runtime 40/20 es el mecanismo que confirma, corrige o descarta hipótesis de señal.</x:v>
      </x:c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 t="str">
        <x:v>Relación con Producción Paralela</x:v>
      </x:c>
      <x:c r="B13" s="69" t="str">
        <x:v>Solo después de Runtime se puede hablar de readiness real de diagramación e inventario MMABP.</x:v>
      </x:c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 t="str">
        <x:v>Regla de preservación</x:v>
      </x:c>
      <x:c r="B14" s="69" t="str">
        <x:v>Las hojas v1.0 permanecen; las hojas *_v1_1 son la versión operativa recomendada.</x:v>
      </x:c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Sección</x:v>
      </x:c>
      <x:c r="B1" s="68" t="str">
        <x:v>Regla / contenido</x:v>
      </x:c>
      <x:c r="C1" s="68" t="str">
        <x:v>Implicación operativa</x:v>
      </x:c>
      <x:c r="D1" s="68" t="str">
        <x:v>Riesgo que evita</x:v>
      </x:c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Principio rector</x:v>
      </x:c>
      <x:c r="B2" s="69" t="str">
        <x:v>WorkMap entrega redacción del usuario, no evidencia MMABP cerrada.</x:v>
      </x:c>
      <x:c r="C2" s="69" t="str">
        <x:v>El selector opera con señales débiles y confianza limitada.</x:v>
      </x:c>
      <x:c r="D2" s="69" t="str">
        <x:v>Rigidez prematura.</x:v>
      </x:c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Definición</x:v>
      </x:c>
      <x:c r="B3" s="69" t="str">
        <x:v>Potencial de Señal Arquitectónica = probabilidad prudente de que Runtime pueda extraer evidencia útil para PM/MoC/PF/OLC.</x:v>
      </x:c>
      <x:c r="C3" s="69" t="str">
        <x:v>Se prioriza lo prometedor para indagación profunda, no lo ya diagramable.</x:v>
      </x:c>
      <x:c r="D3" s="69" t="str">
        <x:v>Confundir selección con diagnóstico.</x:v>
      </x:c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PM Signal</x:v>
      </x:c>
      <x:c r="B4" s="69" t="str">
        <x:v>La actividad sugiere entrega, receptor, cliente, hito, resultado, soporte o necesidad.</x:v>
      </x:c>
      <x:c r="C4" s="69" t="str">
        <x:v>Abre posibilidad de construir Process Map después del Runtime.</x:v>
      </x:c>
      <x:c r="D4" s="69" t="str">
        <x:v>PM burocrático sin cliente/trigger/target state.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MoC Signal</x:v>
      </x:c>
      <x:c r="B5" s="69" t="str">
        <x:v>La actividad contiene sustantivos de negocio reconocibles: pedido, caso, solicitud, factura, cliente, documento, aprobación.</x:v>
      </x:c>
      <x:c r="C5" s="69" t="str">
        <x:v>Abre posibilidad de clases, atributos, relaciones, roles, phases o ends.</x:v>
      </x:c>
      <x:c r="D5" s="69" t="str">
        <x:v>Ceguera ontológica.</x:v>
      </x:c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PF Signal</x:v>
      </x:c>
      <x:c r="B6" s="69" t="str">
        <x:v>La actividad contiene verbos operativos, secuencia, coordinación, entrega, espera, devolución, revisión o corrección.</x:v>
      </x:c>
      <x:c r="C6" s="69" t="str">
        <x:v>Abre posibilidad de Process Flow detallado.</x:v>
      </x:c>
      <x:c r="D6" s="69" t="str">
        <x:v>Flujo narrativo sin algoritmo.</x:v>
      </x:c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OLC Signal</x:v>
      </x:c>
      <x:c r="B7" s="69" t="str">
        <x:v>La actividad sugiere creación, revisión, aprobación, rechazo, cancelación, cierre, archivo, envío o cambio de estado.</x:v>
      </x:c>
      <x:c r="C7" s="69" t="str">
        <x:v>Abre posibilidad de Object Life Cycle.</x:v>
      </x:c>
      <x:c r="D7" s="69" t="str">
        <x:v>OLC inexistente o estados inventados.</x:v>
      </x:c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Unknown</x:v>
      </x:c>
      <x:c r="B8" s="69" t="str">
        <x:v>Si una señal no aparece explícita, se marca unknown/blanco; no se puntúa como cero automático.</x:v>
      </x:c>
      <x:c r="C8" s="69" t="str">
        <x:v>La ausencia textual no elimina la actividad si tiene potencial de indagación.</x:v>
      </x:c>
      <x:c r="D8" s="69" t="str">
        <x:v>Falso negativo por pobreza de redacción.</x:v>
      </x:c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Cero</x:v>
      </x:c>
      <x:c r="B9" s="69" t="str">
        <x:v>Se usa 0 solo cuando la redacción muestra ausencia funcional o imposibilidad de indagar esa dimensión.</x:v>
      </x:c>
      <x:c r="C9" s="69" t="str">
        <x:v>Debe justificarse con notas o gate.</x:v>
      </x:c>
      <x:c r="D9" s="69" t="str">
        <x:v>Penalización ciega.</x:v>
      </x:c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Conformance</x:v>
      </x:c>
      <x:c r="B10" s="69" t="str">
        <x:v>No se evalúa todavía. Solo se prepara la captura posterior.</x:v>
      </x:c>
      <x:c r="C10" s="69" t="str">
        <x:v>Conformance empieza cuando Runtime captura evidencia contra realidad.</x:v>
      </x:c>
      <x:c r="D10" s="69" t="str">
        <x:v>Falsa validación.</x:v>
      </x:c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Consistencia</x:v>
      </x:c>
      <x:c r="B11" s="69" t="str">
        <x:v>No se evalúa todavía. Solo se anticipan cruces valiosos.</x:v>
      </x:c>
      <x:c r="C11" s="69" t="str">
        <x:v>Consistencia empieza cuando hay candidatos PM/MoC/PF/OLC.</x:v>
      </x:c>
      <x:c r="D11" s="69" t="str">
        <x:v>Falsa coherencia.</x:v>
      </x:c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Runtime Probe Priority</x:v>
      </x:c>
      <x:c r="B12" s="69" t="str">
        <x:v>Indica prioridad de someter la actividad a Runtime profundo.</x:v>
      </x:c>
      <x:c r="C12" s="69" t="str">
        <x:v>No significa que la actividad ya sea diagramable.</x:v>
      </x:c>
      <x:c r="D12" s="69" t="str">
        <x:v>Sobreprometer diagramas.</x:v>
      </x:c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Regla_ID</x:v>
      </x:c>
      <x:c r="B1" s="68" t="str">
        <x:v>Regla</x:v>
      </x:c>
      <x:c r="C1" s="68" t="str">
        <x:v>Aplicación</x:v>
      </x:c>
      <x:c r="D1" s="68" t="str">
        <x:v>Estado esperado</x:v>
      </x:c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PR-01</x:v>
      </x:c>
      <x:c r="B2" s="69" t="str">
        <x:v>La selección es priorización bajo incertidumbre.</x:v>
      </x:c>
      <x:c r="C2" s="69" t="str">
        <x:v>No exigir cliente/objeto/estado/trigger explícitos antes de Runtime.</x:v>
      </x:c>
      <x:c r="D2" s="69" t="str">
        <x:v>Selector prudente.</x:v>
      </x:c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PR-02</x:v>
      </x:c>
      <x:c r="B3" s="69" t="str">
        <x:v>Una señal débil puede justificar selección si la actividad tiene densidad operativa.</x:v>
      </x:c>
      <x:c r="C3" s="69" t="str">
        <x:v>Tratar verbos y sustantivos como hipótesis de indagación, no como hechos.</x:v>
      </x:c>
      <x:c r="D3" s="69" t="str">
        <x:v>Hipótesis trazable.</x:v>
      </x:c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PR-03</x:v>
      </x:c>
      <x:c r="B4" s="69" t="str">
        <x:v>Unknown no es cero.</x:v>
      </x:c>
      <x:c r="C4" s="69" t="str">
        <x:v>Blanco/unknown queda neutral o activa revisión; no bloquea por sí solo.</x:v>
      </x:c>
      <x:c r="D4" s="69" t="str">
        <x:v>Menos falsos negativos.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PR-04</x:v>
      </x:c>
      <x:c r="B5" s="69" t="str">
        <x:v>Solo bloquear cuando no se pueda ejecutar Runtime de forma razonable.</x:v>
      </x:c>
      <x:c r="C5" s="69" t="str">
        <x:v>Vacío, no actividad, duplicado evidente, microtarea, responsabilidad genérica o proceso demasiado amplio.</x:v>
      </x:c>
      <x:c r="D5" s="69" t="str">
        <x:v>Gates duros mínimos.</x:v>
      </x:c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PR-05</x:v>
      </x:c>
      <x:c r="B6" s="69" t="str">
        <x:v>La UI no delega al usuario la selección diagnóstica.</x:v>
      </x:c>
      <x:c r="C6" s="69" t="str">
        <x:v>El usuario confirma/corrige factualidad; EVE propone selección y razones.</x:v>
      </x:c>
      <x:c r="D6" s="69" t="str">
        <x:v>Gobierno metodológico.</x:v>
      </x:c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PR-06</x:v>
      </x:c>
      <x:c r="B7" s="69" t="str">
        <x:v>Las no seleccionadas se conservan como contexto.</x:v>
      </x:c>
      <x:c r="C7" s="69" t="str">
        <x:v>No borrar actividades fuera del top 8.</x:v>
      </x:c>
      <x:c r="D7" s="69" t="str">
        <x:v>Contexto WorkMap íntegro.</x:v>
      </x:c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PR-07</x:v>
      </x:c>
      <x:c r="B8" s="69" t="str">
        <x:v>La selección debe balancear cobertura.</x:v>
      </x:c>
      <x:c r="C8" s="69" t="str">
        <x:v>No elegir ocho variantes del mismo patrón si hay diversidad disponible.</x:v>
      </x:c>
      <x:c r="D8" s="69" t="str">
        <x:v>Mejor cobertura arquitectónica.</x:v>
      </x:c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PR-08</x:v>
      </x:c>
      <x:c r="B9" s="69" t="str">
        <x:v>Un slot exploratorio es válido.</x:v>
      </x:c>
      <x:c r="C9" s="69" t="str">
        <x:v>Incluir una actividad ambigua con señales de soporte oculto, workaround o borde sistémico.</x:v>
      </x:c>
      <x:c r="D9" s="69" t="str">
        <x:v>Descubrimiento de variedad residual.</x:v>
      </x:c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PR-09</x:v>
      </x:c>
      <x:c r="B10" s="69" t="str">
        <x:v>Significado solo aporta señales auxiliares.</x:v>
      </x:c>
      <x:c r="C10" s="69" t="str">
        <x:v>No gobierna selección ni convierte preferencia en criterio técnico.</x:v>
      </x:c>
      <x:c r="D10" s="69" t="str">
        <x:v>Evita delegación débil.</x:v>
      </x:c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PR-10</x:v>
      </x:c>
      <x:c r="B11" s="69" t="str">
        <x:v>Runtime confirma o descarta señales.</x:v>
      </x:c>
      <x:c r="C11" s="69" t="str">
        <x:v>El selector no proyecta directamente a PM/MoC/PF/OLC.</x:v>
      </x:c>
      <x:c r="D11" s="69" t="str">
        <x:v>Frontera epistemológica preservada.</x:v>
      </x:c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Bloque</x:v>
      </x:c>
      <x:c r="B1" s="68" t="str">
        <x:v>Criterio</x:v>
      </x:c>
      <x:c r="C1" s="68" t="str">
        <x:v>Peso / escala</x:v>
      </x:c>
      <x:c r="D1" s="68" t="str">
        <x:v>Definición v1.1</x:v>
      </x:c>
      <x:c r="E1" s="68" t="str">
        <x:v>Nota operacional</x:v>
      </x:c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Composite</x:v>
      </x:c>
      <x:c r="B2" s="69" t="str">
        <x:v>Architectural_Signal_Potential</x:v>
      </x:c>
      <x:c r="C2" s="69" t="n">
        <x:v>0.3</x:v>
      </x:c>
      <x:c r="D2" s="69" t="str">
        <x:v>Promedio ponderado de señales PM/MoC/PF/OLC bajo incertidumbre.</x:v>
      </x:c>
      <x:c r="E2" s="69" t="str">
        <x:v>No requiere evidencia cerrada.</x:v>
      </x:c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Composite</x:v>
      </x:c>
      <x:c r="B3" s="69" t="str">
        <x:v>Operational_Centrality</x:v>
      </x:c>
      <x:c r="C3" s="69" t="n">
        <x:v>0.2</x:v>
      </x:c>
      <x:c r="D3" s="69" t="str">
        <x:v>La actividad parece central para la responsabilidad/rol o afecta continuidad de trabajo.</x:v>
      </x:c>
      <x:c r="E3" s="69" t="str">
        <x:v>No confundir con preferencia del usuario.</x:v>
      </x:c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Composite</x:v>
      </x:c>
      <x:c r="B4" s="69" t="str">
        <x:v>Handoff_or_Dependency_Signal</x:v>
      </x:c>
      <x:c r="C4" s="69" t="n">
        <x:v>0.15</x:v>
      </x:c>
      <x:c r="D4" s="69" t="str">
        <x:v>Señales de receptor, entrega, espera, coordinación o dependencia.</x:v>
      </x:c>
      <x:c r="E4" s="69" t="str">
        <x:v>Alta prioridad para PF/PM.</x:v>
      </x:c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Composite</x:v>
      </x:c>
      <x:c r="B5" s="69" t="str">
        <x:v>Transformation_or_Object_Signal</x:v>
      </x:c>
      <x:c r="C5" s="69" t="n">
        <x:v>0.15</x:v>
      </x:c>
      <x:c r="D5" s="69" t="str">
        <x:v>Señales de objeto de negocio, validación, creación, modificación, aprobación o cierre.</x:v>
      </x:c>
      <x:c r="E5" s="69" t="str">
        <x:v>Alta prioridad para MoC/OLC.</x:v>
      </x:c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Composite</x:v>
      </x:c>
      <x:c r="B6" s="69" t="str">
        <x:v>Friction_or_Exception_Signal</x:v>
      </x:c>
      <x:c r="C6" s="69" t="n">
        <x:v>0.1</x:v>
      </x:c>
      <x:c r="D6" s="69" t="str">
        <x:v>Señales de error, retrabajo, bloqueo, excepción, workaround o presión.</x:v>
      </x:c>
      <x:c r="E6" s="69" t="str">
        <x:v>Abre causales Runtime si se confirma.</x:v>
      </x:c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Composite</x:v>
      </x:c>
      <x:c r="B7" s="69" t="str">
        <x:v>Coverage_Diversity_Value</x:v>
      </x:c>
      <x:c r="C7" s="69" t="n">
        <x:v>0.1</x:v>
      </x:c>
      <x:c r="D7" s="69" t="str">
        <x:v>Aporta diversidad respecto a otras actividades, áreas, responsabilidades o patrones.</x:v>
      </x:c>
      <x:c r="E7" s="69" t="str">
        <x:v>Evita top 8 redundante.</x:v>
      </x:c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Penalty</x:v>
      </x:c>
      <x:c r="B8" s="69" t="str">
        <x:v>Duplicate_or_Alias_Penalty</x:v>
      </x:c>
      <x:c r="C8" s="69" t="str">
        <x:v>0-30</x:v>
      </x:c>
      <x:c r="D8" s="69" t="str">
        <x:v>Penaliza duplicado evidente o alias no resuelto.</x:v>
      </x:c>
      <x:c r="E8" s="69" t="str">
        <x:v>No usar si solo hay similitud débil.</x:v>
      </x:c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Penalty</x:v>
      </x:c>
      <x:c r="B9" s="69" t="str">
        <x:v>Too_Vague_to_Probe_Penalty</x:v>
      </x:c>
      <x:c r="C9" s="69" t="str">
        <x:v>0-24</x:v>
      </x:c>
      <x:c r="D9" s="69" t="str">
        <x:v>Penaliza actividad demasiado vaga para abrir Runtime sin reconstrucción previa.</x:v>
      </x:c>
      <x:c r="E9" s="69" t="str">
        <x:v>Puede ir a reentry/B0.</x:v>
      </x:c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Penalty</x:v>
      </x:c>
      <x:c r="B10" s="69" t="str">
        <x:v>Excessive_Granularity_Penalty</x:v>
      </x:c>
      <x:c r="C10" s="69" t="str">
        <x:v>0-24</x:v>
      </x:c>
      <x:c r="D10" s="69" t="str">
        <x:v>Penaliza microtarea o proceso demasiado amplio.</x:v>
      </x:c>
      <x:c r="E10" s="69" t="str">
        <x:v>Debe corregirse en WorkMap/B0.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Scale</x:v>
      </x:c>
      <x:c r="B11" s="69" t="str">
        <x:v>Signal score</x:v>
      </x:c>
      <x:c r="C11" s="69" t="str">
        <x:v>0/1/2/3/unknown</x:v>
      </x:c>
      <x:c r="D11" s="69" t="str">
        <x:v>0 = no señal; 1 = débil; 2 = moderada; 3 = fuerte; unknown = no disponible.</x:v>
      </x:c>
      <x:c r="E11" s="69" t="str">
        <x:v>Unknown se trata neutral o revisión, no cero automático.</x:v>
      </x:c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Threshold</x:v>
      </x:c>
      <x:c r="B12" s="69" t="str">
        <x:v>ELEGIBLE</x:v>
      </x:c>
      <x:c r="C12" s="69" t="str">
        <x:v>&gt;= trazabilidad + actividad real + granularidad viable</x:v>
      </x:c>
      <x:c r="D12" s="69" t="str">
        <x:v>No exige cliente/objeto/estado explícito.</x:v>
      </x:c>
      <x:c r="E12" s="69" t="str">
        <x:v>Gates mínimos.</x:v>
      </x:c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 t="str">
        <x:v>Threshold</x:v>
      </x:c>
      <x:c r="B13" s="69" t="str">
        <x:v>REVISIÓN</x:v>
      </x:c>
      <x:c r="C13" s="69" t="str">
        <x:v>Ambigua pero potencialmente reveladora</x:v>
      </x:c>
      <x:c r="D13" s="69" t="str">
        <x:v>Puede ocupar slot exploratorio si no desplaza cobertura crítica.</x:v>
      </x:c>
      <x:c r="E13" s="69" t="str">
        <x:v>Justificar razón.</x:v>
      </x:c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 t="str">
        <x:v>Threshold</x:v>
      </x:c>
      <x:c r="B14" s="69" t="str">
        <x:v>BLOQUEADA</x:v>
      </x:c>
      <x:c r="C14" s="69" t="str">
        <x:v>Vacía, no actividad, duplicada evidente, microtarea o demasiado amplia</x:v>
      </x:c>
      <x:c r="D14" s="69" t="str">
        <x:v>No entra a Runtime profundo.</x:v>
      </x:c>
      <x:c r="E14" s="69" t="str">
        <x:v>Requiere corrección factual.</x:v>
      </x:c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 t="str">
        <x:v>Formula</x:v>
      </x:c>
      <x:c r="B15" s="69" t="str">
        <x:v>PrimaryActivitySelectionScore</x:v>
      </x:c>
      <x:c r="C15" s="69" t="str">
        <x:v>0.30*A + 0.20*O + 0.15*H + 0.15*T + 0.10*F + 0.10*C - P</x:v>
      </x:c>
      <x:c r="D15" s="69" t="str">
        <x:v>A=Architectural Signal, O=Operational, H=Handoff, T=Transformation, F=Friction, C=Coverage, P=Penalties.</x:v>
      </x:c>
      <x:c r="E15" s="69" t="str">
        <x:v>Puntuación para ranking, no diagnóstico.</x:v>
      </x:c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42" hidden="0" customWidth="1"/>
    <x:col min="7" max="7" width="13" hidden="0" customWidth="1"/>
    <x:col min="8" max="8" width="13" hidden="0" customWidth="1"/>
    <x:col min="9" max="9" width="22" hidden="0" customWidth="1"/>
    <x:col min="10" max="10" width="2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4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3" hidden="0" customWidth="1"/>
    <x:col min="34" max="34" width="17" hidden="0" customWidth="1"/>
    <x:col min="35" max="35" width="13" hidden="0" customWidth="1"/>
    <x:col min="36" max="36" width="24" hidden="0" customWidth="1"/>
    <x:col min="37" max="37" width="22" hidden="0" customWidth="1"/>
    <x:col min="38" max="38" width="16" hidden="0" customWidth="1"/>
    <x:col min="39" max="39" width="24" hidden="0" customWidth="1"/>
    <x:col min="40" max="40" width="24" hidden="0" customWidth="1"/>
    <x:col min="41" max="41" width="18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4" hidden="0" customWidth="1"/>
  </x:cols>
  <x:sheetData>
    <x:row r="1" ht="26.399999618530273" hidden="0" customHeight="1">
      <x:c r="A1" s="68" t="str">
        <x:v>activity_id</x:v>
      </x:c>
      <x:c r="B1" s="68" t="str">
        <x:v>responsibility_id</x:v>
      </x:c>
      <x:c r="C1" s="68" t="str">
        <x:v>area</x:v>
      </x:c>
      <x:c r="D1" s="68" t="str">
        <x:v>functional_role</x:v>
      </x:c>
      <x:c r="E1" s="68" t="str">
        <x:v>activity_label</x:v>
      </x:c>
      <x:c r="F1" s="68" t="str">
        <x:v>activity_description</x:v>
      </x:c>
      <x:c r="G1" s="68" t="str">
        <x:v>workmap_trace_ok</x:v>
      </x:c>
      <x:c r="H1" s="68" t="str">
        <x:v>is_work_activity</x:v>
      </x:c>
      <x:c r="I1" s="68" t="str">
        <x:v>granularity_status</x:v>
      </x:c>
      <x:c r="J1" s="68" t="str">
        <x:v>duplicate_or_alias_status</x:v>
      </x:c>
      <x:c r="K1" s="68" t="str">
        <x:v>user_text_density_0_3</x:v>
      </x:c>
      <x:c r="L1" s="68" t="str">
        <x:v>semantic_clarity_0_3</x:v>
      </x:c>
      <x:c r="M1" s="68" t="str">
        <x:v>pm_signal_0_3</x:v>
      </x:c>
      <x:c r="N1" s="68" t="str">
        <x:v>moc_signal_0_3</x:v>
      </x:c>
      <x:c r="O1" s="68" t="str">
        <x:v>pf_signal_0_3</x:v>
      </x:c>
      <x:c r="P1" s="68" t="str">
        <x:v>olc_signal_0_3</x:v>
      </x:c>
      <x:c r="Q1" s="68" t="str">
        <x:v>operational_centrality_0_3</x:v>
      </x:c>
      <x:c r="R1" s="68" t="str">
        <x:v>handoff_dependency_signal_0_3</x:v>
      </x:c>
      <x:c r="S1" s="68" t="str">
        <x:v>transformation_object_signal_0_3</x:v>
      </x:c>
      <x:c r="T1" s="68" t="str">
        <x:v>friction_exception_signal_0_3</x:v>
      </x:c>
      <x:c r="U1" s="68" t="str">
        <x:v>coverage_diversity_0_3</x:v>
      </x:c>
      <x:c r="V1" s="68" t="str">
        <x:v>vagueness_risk_0_3</x:v>
      </x:c>
      <x:c r="W1" s="68" t="str">
        <x:v>granularity_risk_0_3</x:v>
      </x:c>
      <x:c r="X1" s="68" t="str">
        <x:v>duplicate_alias_risk_0_3</x:v>
      </x:c>
      <x:c r="Y1" s="68" t="str">
        <x:v>unknown_signal_count</x:v>
      </x:c>
      <x:c r="Z1" s="68" t="str">
        <x:v>Hard_Gate</x:v>
      </x:c>
      <x:c r="AA1" s="70" t="str">
        <x:v>Architectural_Signal_Potential</x:v>
      </x:c>
      <x:c r="AB1" s="70" t="str">
        <x:v>Operational_Centrality_Score</x:v>
      </x:c>
      <x:c r="AC1" s="70" t="str">
        <x:v>Handoff_Dependency_Score</x:v>
      </x:c>
      <x:c r="AD1" s="70" t="str">
        <x:v>Transformation_Object_Score</x:v>
      </x:c>
      <x:c r="AE1" s="70" t="str">
        <x:v>Friction_Exception_Score</x:v>
      </x:c>
      <x:c r="AF1" s="70" t="str">
        <x:v>Coverage_Diversity_Score</x:v>
      </x:c>
      <x:c r="AG1" s="70" t="str">
        <x:v>Penalty_Total</x:v>
      </x:c>
      <x:c r="AH1" s="70" t="str">
        <x:v>PrimaryActivitySelectionScore</x:v>
      </x:c>
      <x:c r="AI1" s="68" t="str">
        <x:v>Selector_Rank</x:v>
      </x:c>
      <x:c r="AJ1" s="68" t="str">
        <x:v>Slot_Candidate</x:v>
      </x:c>
      <x:c r="AK1" s="68" t="str">
        <x:v>Initial_Selection_Status</x:v>
      </x:c>
      <x:c r="AL1" s="68" t="str">
        <x:v>Manual_Review_Need</x:v>
      </x:c>
      <x:c r="AM1" s="68" t="str">
        <x:v>Final_Selection_Status</x:v>
      </x:c>
      <x:c r="AN1" s="68" t="str">
        <x:v>Runtime_Opening_Profile</x:v>
      </x:c>
      <x:c r="AO1" s="68" t="str">
        <x:v>Runtime_Probe_Priority</x:v>
      </x:c>
      <x:c r="AP1" s="68" t="str">
        <x:v>PM_Probe_Hypothesis</x:v>
      </x:c>
      <x:c r="AQ1" s="68" t="str">
        <x:v>MoC_Probe_Hypothesis</x:v>
      </x:c>
      <x:c r="AR1" s="68" t="str">
        <x:v>PF_Probe_Hypothesis</x:v>
      </x:c>
      <x:c r="AS1" s="68" t="str">
        <x:v>OLC_Probe_Hypothesis</x:v>
      </x:c>
      <x:c r="AT1" s="68" t="str">
        <x:v>Notes</x:v>
      </x:c>
      <x:c r="AU1" s="68"/>
      <x:c r="AV1" s="68"/>
      <x:c r="AW1" s="68"/>
      <x:c r="AX1" s="68"/>
      <x:c r="AY1" s="68"/>
      <x:c r="AZ1" s="68"/>
    </x:row>
    <x:row r="2" ht="15" hidden="0" customHeight="1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 t="str">
        <x:f>IF(A2="","",COUNTBLANK(M2:P2))</x:f>
      </x:c>
      <x:c r="Z2" s="69" t="str">
        <x:f>IF(A2="","",IF(OR(E2="",G2="No",H2="No",I2="Responsabilidad genérica",I2="Demasiado amplia",I2="Microtarea",J2="Duplicado evidente"),"BLOQUEADA",IF(OR(I2="Ambigua",L2&lt;1,K2&lt;1),"REVISIÓN","ELEGIBLE")))</x:f>
      </x:c>
      <x:c r="AA2" s="69" t="str">
        <x:f>IF(A2="","",IF(Z2="BLOQUEADA",0,ROUND(100*(IF(M2="",1.5,M2)+IF(N2="",1.5,N2)+IF(O2="",1.5,O2)+IF(P2="",1.5,P2))/12,1)))</x:f>
      </x:c>
      <x:c r="AB2" s="69" t="str">
        <x:f>IF(A2="","",IF(Z2="BLOQUEADA",0,ROUND(100*IF(Q2="",1.5,Q2)/3,1)))</x:f>
      </x:c>
      <x:c r="AC2" s="69" t="str">
        <x:f>IF(A2="","",IF(Z2="BLOQUEADA",0,ROUND(100*IF(R2="",1.5,R2)/3,1)))</x:f>
      </x:c>
      <x:c r="AD2" s="69" t="str">
        <x:f>IF(A2="","",IF(Z2="BLOQUEADA",0,ROUND(100*IF(S2="",1.5,S2)/3,1)))</x:f>
      </x:c>
      <x:c r="AE2" s="69" t="str">
        <x:f>IF(A2="","",IF(Z2="BLOQUEADA",0,ROUND(100*IF(T2="",1.5,T2)/3,1)))</x:f>
      </x:c>
      <x:c r="AF2" s="69" t="str">
        <x:f>IF(A2="","",IF(Z2="BLOQUEADA",0,ROUND(100*IF(U2="",1.5,U2)/3,1)))</x:f>
      </x:c>
      <x:c r="AG2" s="69" t="str">
        <x:f>IF(A2="","",ROUND(IF(Z2="BLOQUEADA",100,(X2*10)+(V2*8)+(W2*8)),1))</x:f>
      </x:c>
      <x:c r="AH2" s="69" t="str">
        <x:f>IF(A2="","",IF(Z2="BLOQUEADA",0,MAX(0,ROUND(0.30*AA2+0.20*AB2+0.15*AC2+0.15*AD2+0.10*AE2+0.10*AF2-AG2,1))))</x:f>
      </x:c>
      <x:c r="AI2" s="69" t="str">
        <x:f>IF(A2="","",IF(Z2="ELEGIBLE",RANK.EQ(AH2,$AH$2:$AH$201,0),""))</x:f>
      </x:c>
      <x:c r="AJ2" s="69" t="str">
        <x:f>IF(A2="","",IF(Z2="BLOQUEADA","No aplica",IF(Z2="REVISIÓN","Slot 8 posible: exploratorio",IF(AI2&lt;=5,"Slot 1-5: alto potencial",IF(R2&gt;=2.5,"Slot 6: handoff/dependencia",IF(S2&gt;=2.5,"Slot 7: transformación/objeto",IF(AND(K2&gt;=1,U2&gt;=2),"Slot 8 posible: exploratorio","Backlog/contexto")))))))</x:f>
      </x:c>
      <x:c r="AK2" s="69" t="str">
        <x:f>IF(A2="","",IF(Z2="BLOQUEADA","No seleccionable",IF(Z2="REVISIÓN","Revisión para slot exploratorio",IF(AI2&lt;=8,"Primaria propuesta","Contexto no primario"))))</x:f>
      </x:c>
      <x:c r="AL2" s="69" t="str">
        <x:f>IF(A2="","",IF(OR(Z2="REVISIÓN",Y2&gt;=3,V2&gt;=2),"Sí","No"))</x:f>
      </x:c>
      <x:c r="AM2" s="69" t="str">
        <x:f>IF(A2="","",IF(AK2="Primaria propuesta","Primaria propuesta",IF(AK2="Revisión para slot exploratorio","Revisión / posible primaria exploratoria",IF(AK2="No seleccionable","No seleccionable","Contexto no primario"))))</x:f>
      </x:c>
      <x:c r="AN2" s="69" t="str">
        <x:f>IF(A2="","",IF(AM2="Primaria propuesta",IF(AH2&gt;=75,"40+20 probable",IF(AH2&gt;=55,"40 base + causales selectivas","40 base + probes mínimos")),IF(AM2="Revisión / posible primaria exploratoria","B0/B0.5 reconstrucción antes de Runtime","No abre Runtime profundo")))</x:f>
      </x:c>
      <x:c r="AO2" s="69" t="str">
        <x:f>IF(A2="","",IF(Z2="BLOQUEADA","No probe",IF(AH2&gt;=75,"Alta",IF(AH2&gt;=55,"Media",IF(Z2="REVISIÓN","Exploratoria","Baja")))))</x:f>
      </x:c>
      <x:c r="AP2" s="69" t="str">
        <x:f>IF(A2="","",IF(M2="","unknown",IF(M2&gt;=2,"Prometedora","Débil / validar en B0.5-B1")))</x:f>
      </x:c>
      <x:c r="AQ2" s="69" t="str">
        <x:f>IF(A2="","",IF(N2="","unknown",IF(N2&gt;=2,"Prometedora","Débil / validar en B2")))</x:f>
      </x:c>
      <x:c r="AR2" s="69" t="str">
        <x:f>IF(A2="","",IF(O2="","unknown",IF(O2&gt;=2,"Prometedora","Débil / validar en B3-B4")))</x:f>
      </x:c>
      <x:c r="AS2" s="69" t="str">
        <x:f>IF(A2="","",IF(P2="","unknown",IF(P2&gt;=2,"Prometedora","Débil / validar en B2-B4")))</x:f>
      </x:c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 t="str">
        <x:f>IF(A3="","",COUNTBLANK(M3:P3))</x:f>
      </x:c>
      <x:c r="Z3" s="69" t="str">
        <x:f>IF(A3="","",IF(OR(E3="",G3="No",H3="No",I3="Responsabilidad genérica",I3="Demasiado amplia",I3="Microtarea",J3="Duplicado evidente"),"BLOQUEADA",IF(OR(I3="Ambigua",L3&lt;1,K3&lt;1),"REVISIÓN","ELEGIBLE")))</x:f>
      </x:c>
      <x:c r="AA3" s="69" t="str">
        <x:f>IF(A3="","",IF(Z3="BLOQUEADA",0,ROUND(100*(IF(M3="",1.5,M3)+IF(N3="",1.5,N3)+IF(O3="",1.5,O3)+IF(P3="",1.5,P3))/12,1)))</x:f>
      </x:c>
      <x:c r="AB3" s="69" t="str">
        <x:f>IF(A3="","",IF(Z3="BLOQUEADA",0,ROUND(100*IF(Q3="",1.5,Q3)/3,1)))</x:f>
      </x:c>
      <x:c r="AC3" s="69" t="str">
        <x:f>IF(A3="","",IF(Z3="BLOQUEADA",0,ROUND(100*IF(R3="",1.5,R3)/3,1)))</x:f>
      </x:c>
      <x:c r="AD3" s="69" t="str">
        <x:f>IF(A3="","",IF(Z3="BLOQUEADA",0,ROUND(100*IF(S3="",1.5,S3)/3,1)))</x:f>
      </x:c>
      <x:c r="AE3" s="69" t="str">
        <x:f>IF(A3="","",IF(Z3="BLOQUEADA",0,ROUND(100*IF(T3="",1.5,T3)/3,1)))</x:f>
      </x:c>
      <x:c r="AF3" s="69" t="str">
        <x:f>IF(A3="","",IF(Z3="BLOQUEADA",0,ROUND(100*IF(U3="",1.5,U3)/3,1)))</x:f>
      </x:c>
      <x:c r="AG3" s="69" t="str">
        <x:f>IF(A3="","",ROUND(IF(Z3="BLOQUEADA",100,(X3*10)+(V3*8)+(W3*8)),1))</x:f>
      </x:c>
      <x:c r="AH3" s="69" t="str">
        <x:f>IF(A3="","",IF(Z3="BLOQUEADA",0,MAX(0,ROUND(0.30*AA3+0.20*AB3+0.15*AC3+0.15*AD3+0.10*AE3+0.10*AF3-AG3,1))))</x:f>
      </x:c>
      <x:c r="AI3" s="69" t="str">
        <x:f>IF(A3="","",IF(Z3="ELEGIBLE",RANK.EQ(AH3,$AH$2:$AH$201,0),""))</x:f>
      </x:c>
      <x:c r="AJ3" s="69" t="str">
        <x:f>IF(A3="","",IF(Z3="BLOQUEADA","No aplica",IF(Z3="REVISIÓN","Slot 8 posible: exploratorio",IF(AI3&lt;=5,"Slot 1-5: alto potencial",IF(R3&gt;=2.5,"Slot 6: handoff/dependencia",IF(S3&gt;=2.5,"Slot 7: transformación/objeto",IF(AND(K3&gt;=1,U3&gt;=2),"Slot 8 posible: exploratorio","Backlog/contexto")))))))</x:f>
      </x:c>
      <x:c r="AK3" s="69" t="str">
        <x:f>IF(A3="","",IF(Z3="BLOQUEADA","No seleccionable",IF(Z3="REVISIÓN","Revisión para slot exploratorio",IF(AI3&lt;=8,"Primaria propuesta","Contexto no primario"))))</x:f>
      </x:c>
      <x:c r="AL3" s="69" t="str">
        <x:f>IF(A3="","",IF(OR(Z3="REVISIÓN",Y3&gt;=3,V3&gt;=2),"Sí","No"))</x:f>
      </x:c>
      <x:c r="AM3" s="69" t="str">
        <x:f>IF(A3="","",IF(AK3="Primaria propuesta","Primaria propuesta",IF(AK3="Revisión para slot exploratorio","Revisión / posible primaria exploratoria",IF(AK3="No seleccionable","No seleccionable","Contexto no primario"))))</x:f>
      </x:c>
      <x:c r="AN3" s="69" t="str">
        <x:f>IF(A3="","",IF(AM3="Primaria propuesta",IF(AH3&gt;=75,"40+20 probable",IF(AH3&gt;=55,"40 base + causales selectivas","40 base + probes mínimos")),IF(AM3="Revisión / posible primaria exploratoria","B0/B0.5 reconstrucción antes de Runtime","No abre Runtime profundo")))</x:f>
      </x:c>
      <x:c r="AO3" s="69" t="str">
        <x:f>IF(A3="","",IF(Z3="BLOQUEADA","No probe",IF(AH3&gt;=75,"Alta",IF(AH3&gt;=55,"Media",IF(Z3="REVISIÓN","Exploratoria","Baja")))))</x:f>
      </x:c>
      <x:c r="AP3" s="69" t="str">
        <x:f>IF(A3="","",IF(M3="","unknown",IF(M3&gt;=2,"Prometedora","Débil / validar en B0.5-B1")))</x:f>
      </x:c>
      <x:c r="AQ3" s="69" t="str">
        <x:f>IF(A3="","",IF(N3="","unknown",IF(N3&gt;=2,"Prometedora","Débil / validar en B2")))</x:f>
      </x:c>
      <x:c r="AR3" s="69" t="str">
        <x:f>IF(A3="","",IF(O3="","unknown",IF(O3&gt;=2,"Prometedora","Débil / validar en B3-B4")))</x:f>
      </x:c>
      <x:c r="AS3" s="69" t="str">
        <x:f>IF(A3="","",IF(P3="","unknown",IF(P3&gt;=2,"Prometedora","Débil / validar en B2-B4")))</x:f>
      </x:c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 t="str">
        <x:f>IF(A4="","",COUNTBLANK(M4:P4))</x:f>
      </x:c>
      <x:c r="Z4" s="69" t="str">
        <x:f>IF(A4="","",IF(OR(E4="",G4="No",H4="No",I4="Responsabilidad genérica",I4="Demasiado amplia",I4="Microtarea",J4="Duplicado evidente"),"BLOQUEADA",IF(OR(I4="Ambigua",L4&lt;1,K4&lt;1),"REVISIÓN","ELEGIBLE")))</x:f>
      </x:c>
      <x:c r="AA4" s="69" t="str">
        <x:f>IF(A4="","",IF(Z4="BLOQUEADA",0,ROUND(100*(IF(M4="",1.5,M4)+IF(N4="",1.5,N4)+IF(O4="",1.5,O4)+IF(P4="",1.5,P4))/12,1)))</x:f>
      </x:c>
      <x:c r="AB4" s="69" t="str">
        <x:f>IF(A4="","",IF(Z4="BLOQUEADA",0,ROUND(100*IF(Q4="",1.5,Q4)/3,1)))</x:f>
      </x:c>
      <x:c r="AC4" s="69" t="str">
        <x:f>IF(A4="","",IF(Z4="BLOQUEADA",0,ROUND(100*IF(R4="",1.5,R4)/3,1)))</x:f>
      </x:c>
      <x:c r="AD4" s="69" t="str">
        <x:f>IF(A4="","",IF(Z4="BLOQUEADA",0,ROUND(100*IF(S4="",1.5,S4)/3,1)))</x:f>
      </x:c>
      <x:c r="AE4" s="69" t="str">
        <x:f>IF(A4="","",IF(Z4="BLOQUEADA",0,ROUND(100*IF(T4="",1.5,T4)/3,1)))</x:f>
      </x:c>
      <x:c r="AF4" s="69" t="str">
        <x:f>IF(A4="","",IF(Z4="BLOQUEADA",0,ROUND(100*IF(U4="",1.5,U4)/3,1)))</x:f>
      </x:c>
      <x:c r="AG4" s="69" t="str">
        <x:f>IF(A4="","",ROUND(IF(Z4="BLOQUEADA",100,(X4*10)+(V4*8)+(W4*8)),1))</x:f>
      </x:c>
      <x:c r="AH4" s="69" t="str">
        <x:f>IF(A4="","",IF(Z4="BLOQUEADA",0,MAX(0,ROUND(0.30*AA4+0.20*AB4+0.15*AC4+0.15*AD4+0.10*AE4+0.10*AF4-AG4,1))))</x:f>
      </x:c>
      <x:c r="AI4" s="69" t="str">
        <x:f>IF(A4="","",IF(Z4="ELEGIBLE",RANK.EQ(AH4,$AH$2:$AH$201,0),""))</x:f>
      </x:c>
      <x:c r="AJ4" s="69" t="str">
        <x:f>IF(A4="","",IF(Z4="BLOQUEADA","No aplica",IF(Z4="REVISIÓN","Slot 8 posible: exploratorio",IF(AI4&lt;=5,"Slot 1-5: alto potencial",IF(R4&gt;=2.5,"Slot 6: handoff/dependencia",IF(S4&gt;=2.5,"Slot 7: transformación/objeto",IF(AND(K4&gt;=1,U4&gt;=2),"Slot 8 posible: exploratorio","Backlog/contexto")))))))</x:f>
      </x:c>
      <x:c r="AK4" s="69" t="str">
        <x:f>IF(A4="","",IF(Z4="BLOQUEADA","No seleccionable",IF(Z4="REVISIÓN","Revisión para slot exploratorio",IF(AI4&lt;=8,"Primaria propuesta","Contexto no primario"))))</x:f>
      </x:c>
      <x:c r="AL4" s="69" t="str">
        <x:f>IF(A4="","",IF(OR(Z4="REVISIÓN",Y4&gt;=3,V4&gt;=2),"Sí","No"))</x:f>
      </x:c>
      <x:c r="AM4" s="69" t="str">
        <x:f>IF(A4="","",IF(AK4="Primaria propuesta","Primaria propuesta",IF(AK4="Revisión para slot exploratorio","Revisión / posible primaria exploratoria",IF(AK4="No seleccionable","No seleccionable","Contexto no primario"))))</x:f>
      </x:c>
      <x:c r="AN4" s="69" t="str">
        <x:f>IF(A4="","",IF(AM4="Primaria propuesta",IF(AH4&gt;=75,"40+20 probable",IF(AH4&gt;=55,"40 base + causales selectivas","40 base + probes mínimos")),IF(AM4="Revisión / posible primaria exploratoria","B0/B0.5 reconstrucción antes de Runtime","No abre Runtime profundo")))</x:f>
      </x:c>
      <x:c r="AO4" s="69" t="str">
        <x:f>IF(A4="","",IF(Z4="BLOQUEADA","No probe",IF(AH4&gt;=75,"Alta",IF(AH4&gt;=55,"Media",IF(Z4="REVISIÓN","Exploratoria","Baja")))))</x:f>
      </x:c>
      <x:c r="AP4" s="69" t="str">
        <x:f>IF(A4="","",IF(M4="","unknown",IF(M4&gt;=2,"Prometedora","Débil / validar en B0.5-B1")))</x:f>
      </x:c>
      <x:c r="AQ4" s="69" t="str">
        <x:f>IF(A4="","",IF(N4="","unknown",IF(N4&gt;=2,"Prometedora","Débil / validar en B2")))</x:f>
      </x:c>
      <x:c r="AR4" s="69" t="str">
        <x:f>IF(A4="","",IF(O4="","unknown",IF(O4&gt;=2,"Prometedora","Débil / validar en B3-B4")))</x:f>
      </x:c>
      <x:c r="AS4" s="69" t="str">
        <x:f>IF(A4="","",IF(P4="","unknown",IF(P4&gt;=2,"Prometedora","Débil / validar en B2-B4")))</x:f>
      </x:c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 t="str">
        <x:f>IF(A5="","",COUNTBLANK(M5:P5))</x:f>
      </x:c>
      <x:c r="Z5" s="69" t="str">
        <x:f>IF(A5="","",IF(OR(E5="",G5="No",H5="No",I5="Responsabilidad genérica",I5="Demasiado amplia",I5="Microtarea",J5="Duplicado evidente"),"BLOQUEADA",IF(OR(I5="Ambigua",L5&lt;1,K5&lt;1),"REVISIÓN","ELEGIBLE")))</x:f>
      </x:c>
      <x:c r="AA5" s="69" t="str">
        <x:f>IF(A5="","",IF(Z5="BLOQUEADA",0,ROUND(100*(IF(M5="",1.5,M5)+IF(N5="",1.5,N5)+IF(O5="",1.5,O5)+IF(P5="",1.5,P5))/12,1)))</x:f>
      </x:c>
      <x:c r="AB5" s="69" t="str">
        <x:f>IF(A5="","",IF(Z5="BLOQUEADA",0,ROUND(100*IF(Q5="",1.5,Q5)/3,1)))</x:f>
      </x:c>
      <x:c r="AC5" s="69" t="str">
        <x:f>IF(A5="","",IF(Z5="BLOQUEADA",0,ROUND(100*IF(R5="",1.5,R5)/3,1)))</x:f>
      </x:c>
      <x:c r="AD5" s="69" t="str">
        <x:f>IF(A5="","",IF(Z5="BLOQUEADA",0,ROUND(100*IF(S5="",1.5,S5)/3,1)))</x:f>
      </x:c>
      <x:c r="AE5" s="69" t="str">
        <x:f>IF(A5="","",IF(Z5="BLOQUEADA",0,ROUND(100*IF(T5="",1.5,T5)/3,1)))</x:f>
      </x:c>
      <x:c r="AF5" s="69" t="str">
        <x:f>IF(A5="","",IF(Z5="BLOQUEADA",0,ROUND(100*IF(U5="",1.5,U5)/3,1)))</x:f>
      </x:c>
      <x:c r="AG5" s="69" t="str">
        <x:f>IF(A5="","",ROUND(IF(Z5="BLOQUEADA",100,(X5*10)+(V5*8)+(W5*8)),1))</x:f>
      </x:c>
      <x:c r="AH5" s="69" t="str">
        <x:f>IF(A5="","",IF(Z5="BLOQUEADA",0,MAX(0,ROUND(0.30*AA5+0.20*AB5+0.15*AC5+0.15*AD5+0.10*AE5+0.10*AF5-AG5,1))))</x:f>
      </x:c>
      <x:c r="AI5" s="69" t="str">
        <x:f>IF(A5="","",IF(Z5="ELEGIBLE",RANK.EQ(AH5,$AH$2:$AH$201,0),""))</x:f>
      </x:c>
      <x:c r="AJ5" s="69" t="str">
        <x:f>IF(A5="","",IF(Z5="BLOQUEADA","No aplica",IF(Z5="REVISIÓN","Slot 8 posible: exploratorio",IF(AI5&lt;=5,"Slot 1-5: alto potencial",IF(R5&gt;=2.5,"Slot 6: handoff/dependencia",IF(S5&gt;=2.5,"Slot 7: transformación/objeto",IF(AND(K5&gt;=1,U5&gt;=2),"Slot 8 posible: exploratorio","Backlog/contexto")))))))</x:f>
      </x:c>
      <x:c r="AK5" s="69" t="str">
        <x:f>IF(A5="","",IF(Z5="BLOQUEADA","No seleccionable",IF(Z5="REVISIÓN","Revisión para slot exploratorio",IF(AI5&lt;=8,"Primaria propuesta","Contexto no primario"))))</x:f>
      </x:c>
      <x:c r="AL5" s="69" t="str">
        <x:f>IF(A5="","",IF(OR(Z5="REVISIÓN",Y5&gt;=3,V5&gt;=2),"Sí","No"))</x:f>
      </x:c>
      <x:c r="AM5" s="69" t="str">
        <x:f>IF(A5="","",IF(AK5="Primaria propuesta","Primaria propuesta",IF(AK5="Revisión para slot exploratorio","Revisión / posible primaria exploratoria",IF(AK5="No seleccionable","No seleccionable","Contexto no primario"))))</x:f>
      </x:c>
      <x:c r="AN5" s="69" t="str">
        <x:f>IF(A5="","",IF(AM5="Primaria propuesta",IF(AH5&gt;=75,"40+20 probable",IF(AH5&gt;=55,"40 base + causales selectivas","40 base + probes mínimos")),IF(AM5="Revisión / posible primaria exploratoria","B0/B0.5 reconstrucción antes de Runtime","No abre Runtime profundo")))</x:f>
      </x:c>
      <x:c r="AO5" s="69" t="str">
        <x:f>IF(A5="","",IF(Z5="BLOQUEADA","No probe",IF(AH5&gt;=75,"Alta",IF(AH5&gt;=55,"Media",IF(Z5="REVISIÓN","Exploratoria","Baja")))))</x:f>
      </x:c>
      <x:c r="AP5" s="69" t="str">
        <x:f>IF(A5="","",IF(M5="","unknown",IF(M5&gt;=2,"Prometedora","Débil / validar en B0.5-B1")))</x:f>
      </x:c>
      <x:c r="AQ5" s="69" t="str">
        <x:f>IF(A5="","",IF(N5="","unknown",IF(N5&gt;=2,"Prometedora","Débil / validar en B2")))</x:f>
      </x:c>
      <x:c r="AR5" s="69" t="str">
        <x:f>IF(A5="","",IF(O5="","unknown",IF(O5&gt;=2,"Prometedora","Débil / validar en B3-B4")))</x:f>
      </x:c>
      <x:c r="AS5" s="69" t="str">
        <x:f>IF(A5="","",IF(P5="","unknown",IF(P5&gt;=2,"Prometedora","Débil / validar en B2-B4")))</x:f>
      </x:c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/>
      <x:c r="B6" s="69"/>
      <x:c r="C6" s="69"/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 t="str">
        <x:f>IF(A6="","",COUNTBLANK(M6:P6))</x:f>
      </x:c>
      <x:c r="Z6" s="69" t="str">
        <x:f>IF(A6="","",IF(OR(E6="",G6="No",H6="No",I6="Responsabilidad genérica",I6="Demasiado amplia",I6="Microtarea",J6="Duplicado evidente"),"BLOQUEADA",IF(OR(I6="Ambigua",L6&lt;1,K6&lt;1),"REVISIÓN","ELEGIBLE")))</x:f>
      </x:c>
      <x:c r="AA6" s="69" t="str">
        <x:f>IF(A6="","",IF(Z6="BLOQUEADA",0,ROUND(100*(IF(M6="",1.5,M6)+IF(N6="",1.5,N6)+IF(O6="",1.5,O6)+IF(P6="",1.5,P6))/12,1)))</x:f>
      </x:c>
      <x:c r="AB6" s="69" t="str">
        <x:f>IF(A6="","",IF(Z6="BLOQUEADA",0,ROUND(100*IF(Q6="",1.5,Q6)/3,1)))</x:f>
      </x:c>
      <x:c r="AC6" s="69" t="str">
        <x:f>IF(A6="","",IF(Z6="BLOQUEADA",0,ROUND(100*IF(R6="",1.5,R6)/3,1)))</x:f>
      </x:c>
      <x:c r="AD6" s="69" t="str">
        <x:f>IF(A6="","",IF(Z6="BLOQUEADA",0,ROUND(100*IF(S6="",1.5,S6)/3,1)))</x:f>
      </x:c>
      <x:c r="AE6" s="69" t="str">
        <x:f>IF(A6="","",IF(Z6="BLOQUEADA",0,ROUND(100*IF(T6="",1.5,T6)/3,1)))</x:f>
      </x:c>
      <x:c r="AF6" s="69" t="str">
        <x:f>IF(A6="","",IF(Z6="BLOQUEADA",0,ROUND(100*IF(U6="",1.5,U6)/3,1)))</x:f>
      </x:c>
      <x:c r="AG6" s="69" t="str">
        <x:f>IF(A6="","",ROUND(IF(Z6="BLOQUEADA",100,(X6*10)+(V6*8)+(W6*8)),1))</x:f>
      </x:c>
      <x:c r="AH6" s="69" t="str">
        <x:f>IF(A6="","",IF(Z6="BLOQUEADA",0,MAX(0,ROUND(0.30*AA6+0.20*AB6+0.15*AC6+0.15*AD6+0.10*AE6+0.10*AF6-AG6,1))))</x:f>
      </x:c>
      <x:c r="AI6" s="69" t="str">
        <x:f>IF(A6="","",IF(Z6="ELEGIBLE",RANK.EQ(AH6,$AH$2:$AH$201,0),""))</x:f>
      </x:c>
      <x:c r="AJ6" s="69" t="str">
        <x:f>IF(A6="","",IF(Z6="BLOQUEADA","No aplica",IF(Z6="REVISIÓN","Slot 8 posible: exploratorio",IF(AI6&lt;=5,"Slot 1-5: alto potencial",IF(R6&gt;=2.5,"Slot 6: handoff/dependencia",IF(S6&gt;=2.5,"Slot 7: transformación/objeto",IF(AND(K6&gt;=1,U6&gt;=2),"Slot 8 posible: exploratorio","Backlog/contexto")))))))</x:f>
      </x:c>
      <x:c r="AK6" s="69" t="str">
        <x:f>IF(A6="","",IF(Z6="BLOQUEADA","No seleccionable",IF(Z6="REVISIÓN","Revisión para slot exploratorio",IF(AI6&lt;=8,"Primaria propuesta","Contexto no primario"))))</x:f>
      </x:c>
      <x:c r="AL6" s="69" t="str">
        <x:f>IF(A6="","",IF(OR(Z6="REVISIÓN",Y6&gt;=3,V6&gt;=2),"Sí","No"))</x:f>
      </x:c>
      <x:c r="AM6" s="69" t="str">
        <x:f>IF(A6="","",IF(AK6="Primaria propuesta","Primaria propuesta",IF(AK6="Revisión para slot exploratorio","Revisión / posible primaria exploratoria",IF(AK6="No seleccionable","No seleccionable","Contexto no primario"))))</x:f>
      </x:c>
      <x:c r="AN6" s="69" t="str">
        <x:f>IF(A6="","",IF(AM6="Primaria propuesta",IF(AH6&gt;=75,"40+20 probable",IF(AH6&gt;=55,"40 base + causales selectivas","40 base + probes mínimos")),IF(AM6="Revisión / posible primaria exploratoria","B0/B0.5 reconstrucción antes de Runtime","No abre Runtime profundo")))</x:f>
      </x:c>
      <x:c r="AO6" s="69" t="str">
        <x:f>IF(A6="","",IF(Z6="BLOQUEADA","No probe",IF(AH6&gt;=75,"Alta",IF(AH6&gt;=55,"Media",IF(Z6="REVISIÓN","Exploratoria","Baja")))))</x:f>
      </x:c>
      <x:c r="AP6" s="69" t="str">
        <x:f>IF(A6="","",IF(M6="","unknown",IF(M6&gt;=2,"Prometedora","Débil / validar en B0.5-B1")))</x:f>
      </x:c>
      <x:c r="AQ6" s="69" t="str">
        <x:f>IF(A6="","",IF(N6="","unknown",IF(N6&gt;=2,"Prometedora","Débil / validar en B2")))</x:f>
      </x:c>
      <x:c r="AR6" s="69" t="str">
        <x:f>IF(A6="","",IF(O6="","unknown",IF(O6&gt;=2,"Prometedora","Débil / validar en B3-B4")))</x:f>
      </x:c>
      <x:c r="AS6" s="69" t="str">
        <x:f>IF(A6="","",IF(P6="","unknown",IF(P6&gt;=2,"Prometedora","Débil / validar en B2-B4")))</x:f>
      </x:c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/>
      <x:c r="B7" s="69"/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 t="str">
        <x:f>IF(A7="","",COUNTBLANK(M7:P7))</x:f>
      </x:c>
      <x:c r="Z7" s="69" t="str">
        <x:f>IF(A7="","",IF(OR(E7="",G7="No",H7="No",I7="Responsabilidad genérica",I7="Demasiado amplia",I7="Microtarea",J7="Duplicado evidente"),"BLOQUEADA",IF(OR(I7="Ambigua",L7&lt;1,K7&lt;1),"REVISIÓN","ELEGIBLE")))</x:f>
      </x:c>
      <x:c r="AA7" s="69" t="str">
        <x:f>IF(A7="","",IF(Z7="BLOQUEADA",0,ROUND(100*(IF(M7="",1.5,M7)+IF(N7="",1.5,N7)+IF(O7="",1.5,O7)+IF(P7="",1.5,P7))/12,1)))</x:f>
      </x:c>
      <x:c r="AB7" s="69" t="str">
        <x:f>IF(A7="","",IF(Z7="BLOQUEADA",0,ROUND(100*IF(Q7="",1.5,Q7)/3,1)))</x:f>
      </x:c>
      <x:c r="AC7" s="69" t="str">
        <x:f>IF(A7="","",IF(Z7="BLOQUEADA",0,ROUND(100*IF(R7="",1.5,R7)/3,1)))</x:f>
      </x:c>
      <x:c r="AD7" s="69" t="str">
        <x:f>IF(A7="","",IF(Z7="BLOQUEADA",0,ROUND(100*IF(S7="",1.5,S7)/3,1)))</x:f>
      </x:c>
      <x:c r="AE7" s="69" t="str">
        <x:f>IF(A7="","",IF(Z7="BLOQUEADA",0,ROUND(100*IF(T7="",1.5,T7)/3,1)))</x:f>
      </x:c>
      <x:c r="AF7" s="69" t="str">
        <x:f>IF(A7="","",IF(Z7="BLOQUEADA",0,ROUND(100*IF(U7="",1.5,U7)/3,1)))</x:f>
      </x:c>
      <x:c r="AG7" s="69" t="str">
        <x:f>IF(A7="","",ROUND(IF(Z7="BLOQUEADA",100,(X7*10)+(V7*8)+(W7*8)),1))</x:f>
      </x:c>
      <x:c r="AH7" s="69" t="str">
        <x:f>IF(A7="","",IF(Z7="BLOQUEADA",0,MAX(0,ROUND(0.30*AA7+0.20*AB7+0.15*AC7+0.15*AD7+0.10*AE7+0.10*AF7-AG7,1))))</x:f>
      </x:c>
      <x:c r="AI7" s="69" t="str">
        <x:f>IF(A7="","",IF(Z7="ELEGIBLE",RANK.EQ(AH7,$AH$2:$AH$201,0),""))</x:f>
      </x:c>
      <x:c r="AJ7" s="69" t="str">
        <x:f>IF(A7="","",IF(Z7="BLOQUEADA","No aplica",IF(Z7="REVISIÓN","Slot 8 posible: exploratorio",IF(AI7&lt;=5,"Slot 1-5: alto potencial",IF(R7&gt;=2.5,"Slot 6: handoff/dependencia",IF(S7&gt;=2.5,"Slot 7: transformación/objeto",IF(AND(K7&gt;=1,U7&gt;=2),"Slot 8 posible: exploratorio","Backlog/contexto")))))))</x:f>
      </x:c>
      <x:c r="AK7" s="69" t="str">
        <x:f>IF(A7="","",IF(Z7="BLOQUEADA","No seleccionable",IF(Z7="REVISIÓN","Revisión para slot exploratorio",IF(AI7&lt;=8,"Primaria propuesta","Contexto no primario"))))</x:f>
      </x:c>
      <x:c r="AL7" s="69" t="str">
        <x:f>IF(A7="","",IF(OR(Z7="REVISIÓN",Y7&gt;=3,V7&gt;=2),"Sí","No"))</x:f>
      </x:c>
      <x:c r="AM7" s="69" t="str">
        <x:f>IF(A7="","",IF(AK7="Primaria propuesta","Primaria propuesta",IF(AK7="Revisión para slot exploratorio","Revisión / posible primaria exploratoria",IF(AK7="No seleccionable","No seleccionable","Contexto no primario"))))</x:f>
      </x:c>
      <x:c r="AN7" s="69" t="str">
        <x:f>IF(A7="","",IF(AM7="Primaria propuesta",IF(AH7&gt;=75,"40+20 probable",IF(AH7&gt;=55,"40 base + causales selectivas","40 base + probes mínimos")),IF(AM7="Revisión / posible primaria exploratoria","B0/B0.5 reconstrucción antes de Runtime","No abre Runtime profundo")))</x:f>
      </x:c>
      <x:c r="AO7" s="69" t="str">
        <x:f>IF(A7="","",IF(Z7="BLOQUEADA","No probe",IF(AH7&gt;=75,"Alta",IF(AH7&gt;=55,"Media",IF(Z7="REVISIÓN","Exploratoria","Baja")))))</x:f>
      </x:c>
      <x:c r="AP7" s="69" t="str">
        <x:f>IF(A7="","",IF(M7="","unknown",IF(M7&gt;=2,"Prometedora","Débil / validar en B0.5-B1")))</x:f>
      </x:c>
      <x:c r="AQ7" s="69" t="str">
        <x:f>IF(A7="","",IF(N7="","unknown",IF(N7&gt;=2,"Prometedora","Débil / validar en B2")))</x:f>
      </x:c>
      <x:c r="AR7" s="69" t="str">
        <x:f>IF(A7="","",IF(O7="","unknown",IF(O7&gt;=2,"Prometedora","Débil / validar en B3-B4")))</x:f>
      </x:c>
      <x:c r="AS7" s="69" t="str">
        <x:f>IF(A7="","",IF(P7="","unknown",IF(P7&gt;=2,"Prometedora","Débil / validar en B2-B4")))</x:f>
      </x:c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 t="str">
        <x:f>IF(A8="","",COUNTBLANK(M8:P8))</x:f>
      </x:c>
      <x:c r="Z8" s="69" t="str">
        <x:f>IF(A8="","",IF(OR(E8="",G8="No",H8="No",I8="Responsabilidad genérica",I8="Demasiado amplia",I8="Microtarea",J8="Duplicado evidente"),"BLOQUEADA",IF(OR(I8="Ambigua",L8&lt;1,K8&lt;1),"REVISIÓN","ELEGIBLE")))</x:f>
      </x:c>
      <x:c r="AA8" s="69" t="str">
        <x:f>IF(A8="","",IF(Z8="BLOQUEADA",0,ROUND(100*(IF(M8="",1.5,M8)+IF(N8="",1.5,N8)+IF(O8="",1.5,O8)+IF(P8="",1.5,P8))/12,1)))</x:f>
      </x:c>
      <x:c r="AB8" s="69" t="str">
        <x:f>IF(A8="","",IF(Z8="BLOQUEADA",0,ROUND(100*IF(Q8="",1.5,Q8)/3,1)))</x:f>
      </x:c>
      <x:c r="AC8" s="69" t="str">
        <x:f>IF(A8="","",IF(Z8="BLOQUEADA",0,ROUND(100*IF(R8="",1.5,R8)/3,1)))</x:f>
      </x:c>
      <x:c r="AD8" s="69" t="str">
        <x:f>IF(A8="","",IF(Z8="BLOQUEADA",0,ROUND(100*IF(S8="",1.5,S8)/3,1)))</x:f>
      </x:c>
      <x:c r="AE8" s="69" t="str">
        <x:f>IF(A8="","",IF(Z8="BLOQUEADA",0,ROUND(100*IF(T8="",1.5,T8)/3,1)))</x:f>
      </x:c>
      <x:c r="AF8" s="69" t="str">
        <x:f>IF(A8="","",IF(Z8="BLOQUEADA",0,ROUND(100*IF(U8="",1.5,U8)/3,1)))</x:f>
      </x:c>
      <x:c r="AG8" s="69" t="str">
        <x:f>IF(A8="","",ROUND(IF(Z8="BLOQUEADA",100,(X8*10)+(V8*8)+(W8*8)),1))</x:f>
      </x:c>
      <x:c r="AH8" s="69" t="str">
        <x:f>IF(A8="","",IF(Z8="BLOQUEADA",0,MAX(0,ROUND(0.30*AA8+0.20*AB8+0.15*AC8+0.15*AD8+0.10*AE8+0.10*AF8-AG8,1))))</x:f>
      </x:c>
      <x:c r="AI8" s="69" t="str">
        <x:f>IF(A8="","",IF(Z8="ELEGIBLE",RANK.EQ(AH8,$AH$2:$AH$201,0),""))</x:f>
      </x:c>
      <x:c r="AJ8" s="69" t="str">
        <x:f>IF(A8="","",IF(Z8="BLOQUEADA","No aplica",IF(Z8="REVISIÓN","Slot 8 posible: exploratorio",IF(AI8&lt;=5,"Slot 1-5: alto potencial",IF(R8&gt;=2.5,"Slot 6: handoff/dependencia",IF(S8&gt;=2.5,"Slot 7: transformación/objeto",IF(AND(K8&gt;=1,U8&gt;=2),"Slot 8 posible: exploratorio","Backlog/contexto")))))))</x:f>
      </x:c>
      <x:c r="AK8" s="69" t="str">
        <x:f>IF(A8="","",IF(Z8="BLOQUEADA","No seleccionable",IF(Z8="REVISIÓN","Revisión para slot exploratorio",IF(AI8&lt;=8,"Primaria propuesta","Contexto no primario"))))</x:f>
      </x:c>
      <x:c r="AL8" s="69" t="str">
        <x:f>IF(A8="","",IF(OR(Z8="REVISIÓN",Y8&gt;=3,V8&gt;=2),"Sí","No"))</x:f>
      </x:c>
      <x:c r="AM8" s="69" t="str">
        <x:f>IF(A8="","",IF(AK8="Primaria propuesta","Primaria propuesta",IF(AK8="Revisión para slot exploratorio","Revisión / posible primaria exploratoria",IF(AK8="No seleccionable","No seleccionable","Contexto no primario"))))</x:f>
      </x:c>
      <x:c r="AN8" s="69" t="str">
        <x:f>IF(A8="","",IF(AM8="Primaria propuesta",IF(AH8&gt;=75,"40+20 probable",IF(AH8&gt;=55,"40 base + causales selectivas","40 base + probes mínimos")),IF(AM8="Revisión / posible primaria exploratoria","B0/B0.5 reconstrucción antes de Runtime","No abre Runtime profundo")))</x:f>
      </x:c>
      <x:c r="AO8" s="69" t="str">
        <x:f>IF(A8="","",IF(Z8="BLOQUEADA","No probe",IF(AH8&gt;=75,"Alta",IF(AH8&gt;=55,"Media",IF(Z8="REVISIÓN","Exploratoria","Baja")))))</x:f>
      </x:c>
      <x:c r="AP8" s="69" t="str">
        <x:f>IF(A8="","",IF(M8="","unknown",IF(M8&gt;=2,"Prometedora","Débil / validar en B0.5-B1")))</x:f>
      </x:c>
      <x:c r="AQ8" s="69" t="str">
        <x:f>IF(A8="","",IF(N8="","unknown",IF(N8&gt;=2,"Prometedora","Débil / validar en B2")))</x:f>
      </x:c>
      <x:c r="AR8" s="69" t="str">
        <x:f>IF(A8="","",IF(O8="","unknown",IF(O8&gt;=2,"Prometedora","Débil / validar en B3-B4")))</x:f>
      </x:c>
      <x:c r="AS8" s="69" t="str">
        <x:f>IF(A8="","",IF(P8="","unknown",IF(P8&gt;=2,"Prometedora","Débil / validar en B2-B4")))</x:f>
      </x:c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 t="str">
        <x:f>IF(A9="","",COUNTBLANK(M9:P9))</x:f>
      </x:c>
      <x:c r="Z9" s="69" t="str">
        <x:f>IF(A9="","",IF(OR(E9="",G9="No",H9="No",I9="Responsabilidad genérica",I9="Demasiado amplia",I9="Microtarea",J9="Duplicado evidente"),"BLOQUEADA",IF(OR(I9="Ambigua",L9&lt;1,K9&lt;1),"REVISIÓN","ELEGIBLE")))</x:f>
      </x:c>
      <x:c r="AA9" s="69" t="str">
        <x:f>IF(A9="","",IF(Z9="BLOQUEADA",0,ROUND(100*(IF(M9="",1.5,M9)+IF(N9="",1.5,N9)+IF(O9="",1.5,O9)+IF(P9="",1.5,P9))/12,1)))</x:f>
      </x:c>
      <x:c r="AB9" s="69" t="str">
        <x:f>IF(A9="","",IF(Z9="BLOQUEADA",0,ROUND(100*IF(Q9="",1.5,Q9)/3,1)))</x:f>
      </x:c>
      <x:c r="AC9" s="69" t="str">
        <x:f>IF(A9="","",IF(Z9="BLOQUEADA",0,ROUND(100*IF(R9="",1.5,R9)/3,1)))</x:f>
      </x:c>
      <x:c r="AD9" s="69" t="str">
        <x:f>IF(A9="","",IF(Z9="BLOQUEADA",0,ROUND(100*IF(S9="",1.5,S9)/3,1)))</x:f>
      </x:c>
      <x:c r="AE9" s="69" t="str">
        <x:f>IF(A9="","",IF(Z9="BLOQUEADA",0,ROUND(100*IF(T9="",1.5,T9)/3,1)))</x:f>
      </x:c>
      <x:c r="AF9" s="69" t="str">
        <x:f>IF(A9="","",IF(Z9="BLOQUEADA",0,ROUND(100*IF(U9="",1.5,U9)/3,1)))</x:f>
      </x:c>
      <x:c r="AG9" s="69" t="str">
        <x:f>IF(A9="","",ROUND(IF(Z9="BLOQUEADA",100,(X9*10)+(V9*8)+(W9*8)),1))</x:f>
      </x:c>
      <x:c r="AH9" s="69" t="str">
        <x:f>IF(A9="","",IF(Z9="BLOQUEADA",0,MAX(0,ROUND(0.30*AA9+0.20*AB9+0.15*AC9+0.15*AD9+0.10*AE9+0.10*AF9-AG9,1))))</x:f>
      </x:c>
      <x:c r="AI9" s="69" t="str">
        <x:f>IF(A9="","",IF(Z9="ELEGIBLE",RANK.EQ(AH9,$AH$2:$AH$201,0),""))</x:f>
      </x:c>
      <x:c r="AJ9" s="69" t="str">
        <x:f>IF(A9="","",IF(Z9="BLOQUEADA","No aplica",IF(Z9="REVISIÓN","Slot 8 posible: exploratorio",IF(AI9&lt;=5,"Slot 1-5: alto potencial",IF(R9&gt;=2.5,"Slot 6: handoff/dependencia",IF(S9&gt;=2.5,"Slot 7: transformación/objeto",IF(AND(K9&gt;=1,U9&gt;=2),"Slot 8 posible: exploratorio","Backlog/contexto")))))))</x:f>
      </x:c>
      <x:c r="AK9" s="69" t="str">
        <x:f>IF(A9="","",IF(Z9="BLOQUEADA","No seleccionable",IF(Z9="REVISIÓN","Revisión para slot exploratorio",IF(AI9&lt;=8,"Primaria propuesta","Contexto no primario"))))</x:f>
      </x:c>
      <x:c r="AL9" s="69" t="str">
        <x:f>IF(A9="","",IF(OR(Z9="REVISIÓN",Y9&gt;=3,V9&gt;=2),"Sí","No"))</x:f>
      </x:c>
      <x:c r="AM9" s="69" t="str">
        <x:f>IF(A9="","",IF(AK9="Primaria propuesta","Primaria propuesta",IF(AK9="Revisión para slot exploratorio","Revisión / posible primaria exploratoria",IF(AK9="No seleccionable","No seleccionable","Contexto no primario"))))</x:f>
      </x:c>
      <x:c r="AN9" s="69" t="str">
        <x:f>IF(A9="","",IF(AM9="Primaria propuesta",IF(AH9&gt;=75,"40+20 probable",IF(AH9&gt;=55,"40 base + causales selectivas","40 base + probes mínimos")),IF(AM9="Revisión / posible primaria exploratoria","B0/B0.5 reconstrucción antes de Runtime","No abre Runtime profundo")))</x:f>
      </x:c>
      <x:c r="AO9" s="69" t="str">
        <x:f>IF(A9="","",IF(Z9="BLOQUEADA","No probe",IF(AH9&gt;=75,"Alta",IF(AH9&gt;=55,"Media",IF(Z9="REVISIÓN","Exploratoria","Baja")))))</x:f>
      </x:c>
      <x:c r="AP9" s="69" t="str">
        <x:f>IF(A9="","",IF(M9="","unknown",IF(M9&gt;=2,"Prometedora","Débil / validar en B0.5-B1")))</x:f>
      </x:c>
      <x:c r="AQ9" s="69" t="str">
        <x:f>IF(A9="","",IF(N9="","unknown",IF(N9&gt;=2,"Prometedora","Débil / validar en B2")))</x:f>
      </x:c>
      <x:c r="AR9" s="69" t="str">
        <x:f>IF(A9="","",IF(O9="","unknown",IF(O9&gt;=2,"Prometedora","Débil / validar en B3-B4")))</x:f>
      </x:c>
      <x:c r="AS9" s="69" t="str">
        <x:f>IF(A9="","",IF(P9="","unknown",IF(P9&gt;=2,"Prometedora","Débil / validar en B2-B4")))</x:f>
      </x:c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 t="str">
        <x:f>IF(A10="","",COUNTBLANK(M10:P10))</x:f>
      </x:c>
      <x:c r="Z10" s="69" t="str">
        <x:f>IF(A10="","",IF(OR(E10="",G10="No",H10="No",I10="Responsabilidad genérica",I10="Demasiado amplia",I10="Microtarea",J10="Duplicado evidente"),"BLOQUEADA",IF(OR(I10="Ambigua",L10&lt;1,K10&lt;1),"REVISIÓN","ELEGIBLE")))</x:f>
      </x:c>
      <x:c r="AA10" s="69" t="str">
        <x:f>IF(A10="","",IF(Z10="BLOQUEADA",0,ROUND(100*(IF(M10="",1.5,M10)+IF(N10="",1.5,N10)+IF(O10="",1.5,O10)+IF(P10="",1.5,P10))/12,1)))</x:f>
      </x:c>
      <x:c r="AB10" s="69" t="str">
        <x:f>IF(A10="","",IF(Z10="BLOQUEADA",0,ROUND(100*IF(Q10="",1.5,Q10)/3,1)))</x:f>
      </x:c>
      <x:c r="AC10" s="69" t="str">
        <x:f>IF(A10="","",IF(Z10="BLOQUEADA",0,ROUND(100*IF(R10="",1.5,R10)/3,1)))</x:f>
      </x:c>
      <x:c r="AD10" s="69" t="str">
        <x:f>IF(A10="","",IF(Z10="BLOQUEADA",0,ROUND(100*IF(S10="",1.5,S10)/3,1)))</x:f>
      </x:c>
      <x:c r="AE10" s="69" t="str">
        <x:f>IF(A10="","",IF(Z10="BLOQUEADA",0,ROUND(100*IF(T10="",1.5,T10)/3,1)))</x:f>
      </x:c>
      <x:c r="AF10" s="69" t="str">
        <x:f>IF(A10="","",IF(Z10="BLOQUEADA",0,ROUND(100*IF(U10="",1.5,U10)/3,1)))</x:f>
      </x:c>
      <x:c r="AG10" s="69" t="str">
        <x:f>IF(A10="","",ROUND(IF(Z10="BLOQUEADA",100,(X10*10)+(V10*8)+(W10*8)),1))</x:f>
      </x:c>
      <x:c r="AH10" s="69" t="str">
        <x:f>IF(A10="","",IF(Z10="BLOQUEADA",0,MAX(0,ROUND(0.30*AA10+0.20*AB10+0.15*AC10+0.15*AD10+0.10*AE10+0.10*AF10-AG10,1))))</x:f>
      </x:c>
      <x:c r="AI10" s="69" t="str">
        <x:f>IF(A10="","",IF(Z10="ELEGIBLE",RANK.EQ(AH10,$AH$2:$AH$201,0),""))</x:f>
      </x:c>
      <x:c r="AJ10" s="69" t="str">
        <x:f>IF(A10="","",IF(Z10="BLOQUEADA","No aplica",IF(Z10="REVISIÓN","Slot 8 posible: exploratorio",IF(AI10&lt;=5,"Slot 1-5: alto potencial",IF(R10&gt;=2.5,"Slot 6: handoff/dependencia",IF(S10&gt;=2.5,"Slot 7: transformación/objeto",IF(AND(K10&gt;=1,U10&gt;=2),"Slot 8 posible: exploratorio","Backlog/contexto")))))))</x:f>
      </x:c>
      <x:c r="AK10" s="69" t="str">
        <x:f>IF(A10="","",IF(Z10="BLOQUEADA","No seleccionable",IF(Z10="REVISIÓN","Revisión para slot exploratorio",IF(AI10&lt;=8,"Primaria propuesta","Contexto no primario"))))</x:f>
      </x:c>
      <x:c r="AL10" s="69" t="str">
        <x:f>IF(A10="","",IF(OR(Z10="REVISIÓN",Y10&gt;=3,V10&gt;=2),"Sí","No"))</x:f>
      </x:c>
      <x:c r="AM10" s="69" t="str">
        <x:f>IF(A10="","",IF(AK10="Primaria propuesta","Primaria propuesta",IF(AK10="Revisión para slot exploratorio","Revisión / posible primaria exploratoria",IF(AK10="No seleccionable","No seleccionable","Contexto no primario"))))</x:f>
      </x:c>
      <x:c r="AN10" s="69" t="str">
        <x:f>IF(A10="","",IF(AM10="Primaria propuesta",IF(AH10&gt;=75,"40+20 probable",IF(AH10&gt;=55,"40 base + causales selectivas","40 base + probes mínimos")),IF(AM10="Revisión / posible primaria exploratoria","B0/B0.5 reconstrucción antes de Runtime","No abre Runtime profundo")))</x:f>
      </x:c>
      <x:c r="AO10" s="69" t="str">
        <x:f>IF(A10="","",IF(Z10="BLOQUEADA","No probe",IF(AH10&gt;=75,"Alta",IF(AH10&gt;=55,"Media",IF(Z10="REVISIÓN","Exploratoria","Baja")))))</x:f>
      </x:c>
      <x:c r="AP10" s="69" t="str">
        <x:f>IF(A10="","",IF(M10="","unknown",IF(M10&gt;=2,"Prometedora","Débil / validar en B0.5-B1")))</x:f>
      </x:c>
      <x:c r="AQ10" s="69" t="str">
        <x:f>IF(A10="","",IF(N10="","unknown",IF(N10&gt;=2,"Prometedora","Débil / validar en B2")))</x:f>
      </x:c>
      <x:c r="AR10" s="69" t="str">
        <x:f>IF(A10="","",IF(O10="","unknown",IF(O10&gt;=2,"Prometedora","Débil / validar en B3-B4")))</x:f>
      </x:c>
      <x:c r="AS10" s="69" t="str">
        <x:f>IF(A10="","",IF(P10="","unknown",IF(P10&gt;=2,"Prometedora","Débil / validar en B2-B4")))</x:f>
      </x:c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 t="str">
        <x:f>IF(A11="","",COUNTBLANK(M11:P11))</x:f>
      </x:c>
      <x:c r="Z11" s="69" t="str">
        <x:f>IF(A11="","",IF(OR(E11="",G11="No",H11="No",I11="Responsabilidad genérica",I11="Demasiado amplia",I11="Microtarea",J11="Duplicado evidente"),"BLOQUEADA",IF(OR(I11="Ambigua",L11&lt;1,K11&lt;1),"REVISIÓN","ELEGIBLE")))</x:f>
      </x:c>
      <x:c r="AA11" s="69" t="str">
        <x:f>IF(A11="","",IF(Z11="BLOQUEADA",0,ROUND(100*(IF(M11="",1.5,M11)+IF(N11="",1.5,N11)+IF(O11="",1.5,O11)+IF(P11="",1.5,P11))/12,1)))</x:f>
      </x:c>
      <x:c r="AB11" s="69" t="str">
        <x:f>IF(A11="","",IF(Z11="BLOQUEADA",0,ROUND(100*IF(Q11="",1.5,Q11)/3,1)))</x:f>
      </x:c>
      <x:c r="AC11" s="69" t="str">
        <x:f>IF(A11="","",IF(Z11="BLOQUEADA",0,ROUND(100*IF(R11="",1.5,R11)/3,1)))</x:f>
      </x:c>
      <x:c r="AD11" s="69" t="str">
        <x:f>IF(A11="","",IF(Z11="BLOQUEADA",0,ROUND(100*IF(S11="",1.5,S11)/3,1)))</x:f>
      </x:c>
      <x:c r="AE11" s="69" t="str">
        <x:f>IF(A11="","",IF(Z11="BLOQUEADA",0,ROUND(100*IF(T11="",1.5,T11)/3,1)))</x:f>
      </x:c>
      <x:c r="AF11" s="69" t="str">
        <x:f>IF(A11="","",IF(Z11="BLOQUEADA",0,ROUND(100*IF(U11="",1.5,U11)/3,1)))</x:f>
      </x:c>
      <x:c r="AG11" s="69" t="str">
        <x:f>IF(A11="","",ROUND(IF(Z11="BLOQUEADA",100,(X11*10)+(V11*8)+(W11*8)),1))</x:f>
      </x:c>
      <x:c r="AH11" s="69" t="str">
        <x:f>IF(A11="","",IF(Z11="BLOQUEADA",0,MAX(0,ROUND(0.30*AA11+0.20*AB11+0.15*AC11+0.15*AD11+0.10*AE11+0.10*AF11-AG11,1))))</x:f>
      </x:c>
      <x:c r="AI11" s="69" t="str">
        <x:f>IF(A11="","",IF(Z11="ELEGIBLE",RANK.EQ(AH11,$AH$2:$AH$201,0),""))</x:f>
      </x:c>
      <x:c r="AJ11" s="69" t="str">
        <x:f>IF(A11="","",IF(Z11="BLOQUEADA","No aplica",IF(Z11="REVISIÓN","Slot 8 posible: exploratorio",IF(AI11&lt;=5,"Slot 1-5: alto potencial",IF(R11&gt;=2.5,"Slot 6: handoff/dependencia",IF(S11&gt;=2.5,"Slot 7: transformación/objeto",IF(AND(K11&gt;=1,U11&gt;=2),"Slot 8 posible: exploratorio","Backlog/contexto")))))))</x:f>
      </x:c>
      <x:c r="AK11" s="69" t="str">
        <x:f>IF(A11="","",IF(Z11="BLOQUEADA","No seleccionable",IF(Z11="REVISIÓN","Revisión para slot exploratorio",IF(AI11&lt;=8,"Primaria propuesta","Contexto no primario"))))</x:f>
      </x:c>
      <x:c r="AL11" s="69" t="str">
        <x:f>IF(A11="","",IF(OR(Z11="REVISIÓN",Y11&gt;=3,V11&gt;=2),"Sí","No"))</x:f>
      </x:c>
      <x:c r="AM11" s="69" t="str">
        <x:f>IF(A11="","",IF(AK11="Primaria propuesta","Primaria propuesta",IF(AK11="Revisión para slot exploratorio","Revisión / posible primaria exploratoria",IF(AK11="No seleccionable","No seleccionable","Contexto no primario"))))</x:f>
      </x:c>
      <x:c r="AN11" s="69" t="str">
        <x:f>IF(A11="","",IF(AM11="Primaria propuesta",IF(AH11&gt;=75,"40+20 probable",IF(AH11&gt;=55,"40 base + causales selectivas","40 base + probes mínimos")),IF(AM11="Revisión / posible primaria exploratoria","B0/B0.5 reconstrucción antes de Runtime","No abre Runtime profundo")))</x:f>
      </x:c>
      <x:c r="AO11" s="69" t="str">
        <x:f>IF(A11="","",IF(Z11="BLOQUEADA","No probe",IF(AH11&gt;=75,"Alta",IF(AH11&gt;=55,"Media",IF(Z11="REVISIÓN","Exploratoria","Baja")))))</x:f>
      </x:c>
      <x:c r="AP11" s="69" t="str">
        <x:f>IF(A11="","",IF(M11="","unknown",IF(M11&gt;=2,"Prometedora","Débil / validar en B0.5-B1")))</x:f>
      </x:c>
      <x:c r="AQ11" s="69" t="str">
        <x:f>IF(A11="","",IF(N11="","unknown",IF(N11&gt;=2,"Prometedora","Débil / validar en B2")))</x:f>
      </x:c>
      <x:c r="AR11" s="69" t="str">
        <x:f>IF(A11="","",IF(O11="","unknown",IF(O11&gt;=2,"Prometedora","Débil / validar en B3-B4")))</x:f>
      </x:c>
      <x:c r="AS11" s="69" t="str">
        <x:f>IF(A11="","",IF(P11="","unknown",IF(P11&gt;=2,"Prometedora","Débil / validar en B2-B4")))</x:f>
      </x:c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 t="str">
        <x:f>IF(A12="","",COUNTBLANK(M12:P12))</x:f>
      </x:c>
      <x:c r="Z12" s="69" t="str">
        <x:f>IF(A12="","",IF(OR(E12="",G12="No",H12="No",I12="Responsabilidad genérica",I12="Demasiado amplia",I12="Microtarea",J12="Duplicado evidente"),"BLOQUEADA",IF(OR(I12="Ambigua",L12&lt;1,K12&lt;1),"REVISIÓN","ELEGIBLE")))</x:f>
      </x:c>
      <x:c r="AA12" s="69" t="str">
        <x:f>IF(A12="","",IF(Z12="BLOQUEADA",0,ROUND(100*(IF(M12="",1.5,M12)+IF(N12="",1.5,N12)+IF(O12="",1.5,O12)+IF(P12="",1.5,P12))/12,1)))</x:f>
      </x:c>
      <x:c r="AB12" s="69" t="str">
        <x:f>IF(A12="","",IF(Z12="BLOQUEADA",0,ROUND(100*IF(Q12="",1.5,Q12)/3,1)))</x:f>
      </x:c>
      <x:c r="AC12" s="69" t="str">
        <x:f>IF(A12="","",IF(Z12="BLOQUEADA",0,ROUND(100*IF(R12="",1.5,R12)/3,1)))</x:f>
      </x:c>
      <x:c r="AD12" s="69" t="str">
        <x:f>IF(A12="","",IF(Z12="BLOQUEADA",0,ROUND(100*IF(S12="",1.5,S12)/3,1)))</x:f>
      </x:c>
      <x:c r="AE12" s="69" t="str">
        <x:f>IF(A12="","",IF(Z12="BLOQUEADA",0,ROUND(100*IF(T12="",1.5,T12)/3,1)))</x:f>
      </x:c>
      <x:c r="AF12" s="69" t="str">
        <x:f>IF(A12="","",IF(Z12="BLOQUEADA",0,ROUND(100*IF(U12="",1.5,U12)/3,1)))</x:f>
      </x:c>
      <x:c r="AG12" s="69" t="str">
        <x:f>IF(A12="","",ROUND(IF(Z12="BLOQUEADA",100,(X12*10)+(V12*8)+(W12*8)),1))</x:f>
      </x:c>
      <x:c r="AH12" s="69" t="str">
        <x:f>IF(A12="","",IF(Z12="BLOQUEADA",0,MAX(0,ROUND(0.30*AA12+0.20*AB12+0.15*AC12+0.15*AD12+0.10*AE12+0.10*AF12-AG12,1))))</x:f>
      </x:c>
      <x:c r="AI12" s="69" t="str">
        <x:f>IF(A12="","",IF(Z12="ELEGIBLE",RANK.EQ(AH12,$AH$2:$AH$201,0),""))</x:f>
      </x:c>
      <x:c r="AJ12" s="69" t="str">
        <x:f>IF(A12="","",IF(Z12="BLOQUEADA","No aplica",IF(Z12="REVISIÓN","Slot 8 posible: exploratorio",IF(AI12&lt;=5,"Slot 1-5: alto potencial",IF(R12&gt;=2.5,"Slot 6: handoff/dependencia",IF(S12&gt;=2.5,"Slot 7: transformación/objeto",IF(AND(K12&gt;=1,U12&gt;=2),"Slot 8 posible: exploratorio","Backlog/contexto")))))))</x:f>
      </x:c>
      <x:c r="AK12" s="69" t="str">
        <x:f>IF(A12="","",IF(Z12="BLOQUEADA","No seleccionable",IF(Z12="REVISIÓN","Revisión para slot exploratorio",IF(AI12&lt;=8,"Primaria propuesta","Contexto no primario"))))</x:f>
      </x:c>
      <x:c r="AL12" s="69" t="str">
        <x:f>IF(A12="","",IF(OR(Z12="REVISIÓN",Y12&gt;=3,V12&gt;=2),"Sí","No"))</x:f>
      </x:c>
      <x:c r="AM12" s="69" t="str">
        <x:f>IF(A12="","",IF(AK12="Primaria propuesta","Primaria propuesta",IF(AK12="Revisión para slot exploratorio","Revisión / posible primaria exploratoria",IF(AK12="No seleccionable","No seleccionable","Contexto no primario"))))</x:f>
      </x:c>
      <x:c r="AN12" s="69" t="str">
        <x:f>IF(A12="","",IF(AM12="Primaria propuesta",IF(AH12&gt;=75,"40+20 probable",IF(AH12&gt;=55,"40 base + causales selectivas","40 base + probes mínimos")),IF(AM12="Revisión / posible primaria exploratoria","B0/B0.5 reconstrucción antes de Runtime","No abre Runtime profundo")))</x:f>
      </x:c>
      <x:c r="AO12" s="69" t="str">
        <x:f>IF(A12="","",IF(Z12="BLOQUEADA","No probe",IF(AH12&gt;=75,"Alta",IF(AH12&gt;=55,"Media",IF(Z12="REVISIÓN","Exploratoria","Baja")))))</x:f>
      </x:c>
      <x:c r="AP12" s="69" t="str">
        <x:f>IF(A12="","",IF(M12="","unknown",IF(M12&gt;=2,"Prometedora","Débil / validar en B0.5-B1")))</x:f>
      </x:c>
      <x:c r="AQ12" s="69" t="str">
        <x:f>IF(A12="","",IF(N12="","unknown",IF(N12&gt;=2,"Prometedora","Débil / validar en B2")))</x:f>
      </x:c>
      <x:c r="AR12" s="69" t="str">
        <x:f>IF(A12="","",IF(O12="","unknown",IF(O12&gt;=2,"Prometedora","Débil / validar en B3-B4")))</x:f>
      </x:c>
      <x:c r="AS12" s="69" t="str">
        <x:f>IF(A12="","",IF(P12="","unknown",IF(P12&gt;=2,"Prometedora","Débil / validar en B2-B4")))</x:f>
      </x:c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 t="str">
        <x:f>IF(A13="","",COUNTBLANK(M13:P13))</x:f>
      </x:c>
      <x:c r="Z13" s="69" t="str">
        <x:f>IF(A13="","",IF(OR(E13="",G13="No",H13="No",I13="Responsabilidad genérica",I13="Demasiado amplia",I13="Microtarea",J13="Duplicado evidente"),"BLOQUEADA",IF(OR(I13="Ambigua",L13&lt;1,K13&lt;1),"REVISIÓN","ELEGIBLE")))</x:f>
      </x:c>
      <x:c r="AA13" s="69" t="str">
        <x:f>IF(A13="","",IF(Z13="BLOQUEADA",0,ROUND(100*(IF(M13="",1.5,M13)+IF(N13="",1.5,N13)+IF(O13="",1.5,O13)+IF(P13="",1.5,P13))/12,1)))</x:f>
      </x:c>
      <x:c r="AB13" s="69" t="str">
        <x:f>IF(A13="","",IF(Z13="BLOQUEADA",0,ROUND(100*IF(Q13="",1.5,Q13)/3,1)))</x:f>
      </x:c>
      <x:c r="AC13" s="69" t="str">
        <x:f>IF(A13="","",IF(Z13="BLOQUEADA",0,ROUND(100*IF(R13="",1.5,R13)/3,1)))</x:f>
      </x:c>
      <x:c r="AD13" s="69" t="str">
        <x:f>IF(A13="","",IF(Z13="BLOQUEADA",0,ROUND(100*IF(S13="",1.5,S13)/3,1)))</x:f>
      </x:c>
      <x:c r="AE13" s="69" t="str">
        <x:f>IF(A13="","",IF(Z13="BLOQUEADA",0,ROUND(100*IF(T13="",1.5,T13)/3,1)))</x:f>
      </x:c>
      <x:c r="AF13" s="69" t="str">
        <x:f>IF(A13="","",IF(Z13="BLOQUEADA",0,ROUND(100*IF(U13="",1.5,U13)/3,1)))</x:f>
      </x:c>
      <x:c r="AG13" s="69" t="str">
        <x:f>IF(A13="","",ROUND(IF(Z13="BLOQUEADA",100,(X13*10)+(V13*8)+(W13*8)),1))</x:f>
      </x:c>
      <x:c r="AH13" s="69" t="str">
        <x:f>IF(A13="","",IF(Z13="BLOQUEADA",0,MAX(0,ROUND(0.30*AA13+0.20*AB13+0.15*AC13+0.15*AD13+0.10*AE13+0.10*AF13-AG13,1))))</x:f>
      </x:c>
      <x:c r="AI13" s="69" t="str">
        <x:f>IF(A13="","",IF(Z13="ELEGIBLE",RANK.EQ(AH13,$AH$2:$AH$201,0),""))</x:f>
      </x:c>
      <x:c r="AJ13" s="69" t="str">
        <x:f>IF(A13="","",IF(Z13="BLOQUEADA","No aplica",IF(Z13="REVISIÓN","Slot 8 posible: exploratorio",IF(AI13&lt;=5,"Slot 1-5: alto potencial",IF(R13&gt;=2.5,"Slot 6: handoff/dependencia",IF(S13&gt;=2.5,"Slot 7: transformación/objeto",IF(AND(K13&gt;=1,U13&gt;=2),"Slot 8 posible: exploratorio","Backlog/contexto")))))))</x:f>
      </x:c>
      <x:c r="AK13" s="69" t="str">
        <x:f>IF(A13="","",IF(Z13="BLOQUEADA","No seleccionable",IF(Z13="REVISIÓN","Revisión para slot exploratorio",IF(AI13&lt;=8,"Primaria propuesta","Contexto no primario"))))</x:f>
      </x:c>
      <x:c r="AL13" s="69" t="str">
        <x:f>IF(A13="","",IF(OR(Z13="REVISIÓN",Y13&gt;=3,V13&gt;=2),"Sí","No"))</x:f>
      </x:c>
      <x:c r="AM13" s="69" t="str">
        <x:f>IF(A13="","",IF(AK13="Primaria propuesta","Primaria propuesta",IF(AK13="Revisión para slot exploratorio","Revisión / posible primaria exploratoria",IF(AK13="No seleccionable","No seleccionable","Contexto no primario"))))</x:f>
      </x:c>
      <x:c r="AN13" s="69" t="str">
        <x:f>IF(A13="","",IF(AM13="Primaria propuesta",IF(AH13&gt;=75,"40+20 probable",IF(AH13&gt;=55,"40 base + causales selectivas","40 base + probes mínimos")),IF(AM13="Revisión / posible primaria exploratoria","B0/B0.5 reconstrucción antes de Runtime","No abre Runtime profundo")))</x:f>
      </x:c>
      <x:c r="AO13" s="69" t="str">
        <x:f>IF(A13="","",IF(Z13="BLOQUEADA","No probe",IF(AH13&gt;=75,"Alta",IF(AH13&gt;=55,"Media",IF(Z13="REVISIÓN","Exploratoria","Baja")))))</x:f>
      </x:c>
      <x:c r="AP13" s="69" t="str">
        <x:f>IF(A13="","",IF(M13="","unknown",IF(M13&gt;=2,"Prometedora","Débil / validar en B0.5-B1")))</x:f>
      </x:c>
      <x:c r="AQ13" s="69" t="str">
        <x:f>IF(A13="","",IF(N13="","unknown",IF(N13&gt;=2,"Prometedora","Débil / validar en B2")))</x:f>
      </x:c>
      <x:c r="AR13" s="69" t="str">
        <x:f>IF(A13="","",IF(O13="","unknown",IF(O13&gt;=2,"Prometedora","Débil / validar en B3-B4")))</x:f>
      </x:c>
      <x:c r="AS13" s="69" t="str">
        <x:f>IF(A13="","",IF(P13="","unknown",IF(P13&gt;=2,"Prometedora","Débil / validar en B2-B4")))</x:f>
      </x:c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 t="str">
        <x:f>IF(A14="","",COUNTBLANK(M14:P14))</x:f>
      </x:c>
      <x:c r="Z14" s="69" t="str">
        <x:f>IF(A14="","",IF(OR(E14="",G14="No",H14="No",I14="Responsabilidad genérica",I14="Demasiado amplia",I14="Microtarea",J14="Duplicado evidente"),"BLOQUEADA",IF(OR(I14="Ambigua",L14&lt;1,K14&lt;1),"REVISIÓN","ELEGIBLE")))</x:f>
      </x:c>
      <x:c r="AA14" s="69" t="str">
        <x:f>IF(A14="","",IF(Z14="BLOQUEADA",0,ROUND(100*(IF(M14="",1.5,M14)+IF(N14="",1.5,N14)+IF(O14="",1.5,O14)+IF(P14="",1.5,P14))/12,1)))</x:f>
      </x:c>
      <x:c r="AB14" s="69" t="str">
        <x:f>IF(A14="","",IF(Z14="BLOQUEADA",0,ROUND(100*IF(Q14="",1.5,Q14)/3,1)))</x:f>
      </x:c>
      <x:c r="AC14" s="69" t="str">
        <x:f>IF(A14="","",IF(Z14="BLOQUEADA",0,ROUND(100*IF(R14="",1.5,R14)/3,1)))</x:f>
      </x:c>
      <x:c r="AD14" s="69" t="str">
        <x:f>IF(A14="","",IF(Z14="BLOQUEADA",0,ROUND(100*IF(S14="",1.5,S14)/3,1)))</x:f>
      </x:c>
      <x:c r="AE14" s="69" t="str">
        <x:f>IF(A14="","",IF(Z14="BLOQUEADA",0,ROUND(100*IF(T14="",1.5,T14)/3,1)))</x:f>
      </x:c>
      <x:c r="AF14" s="69" t="str">
        <x:f>IF(A14="","",IF(Z14="BLOQUEADA",0,ROUND(100*IF(U14="",1.5,U14)/3,1)))</x:f>
      </x:c>
      <x:c r="AG14" s="69" t="str">
        <x:f>IF(A14="","",ROUND(IF(Z14="BLOQUEADA",100,(X14*10)+(V14*8)+(W14*8)),1))</x:f>
      </x:c>
      <x:c r="AH14" s="69" t="str">
        <x:f>IF(A14="","",IF(Z14="BLOQUEADA",0,MAX(0,ROUND(0.30*AA14+0.20*AB14+0.15*AC14+0.15*AD14+0.10*AE14+0.10*AF14-AG14,1))))</x:f>
      </x:c>
      <x:c r="AI14" s="69" t="str">
        <x:f>IF(A14="","",IF(Z14="ELEGIBLE",RANK.EQ(AH14,$AH$2:$AH$201,0),""))</x:f>
      </x:c>
      <x:c r="AJ14" s="69" t="str">
        <x:f>IF(A14="","",IF(Z14="BLOQUEADA","No aplica",IF(Z14="REVISIÓN","Slot 8 posible: exploratorio",IF(AI14&lt;=5,"Slot 1-5: alto potencial",IF(R14&gt;=2.5,"Slot 6: handoff/dependencia",IF(S14&gt;=2.5,"Slot 7: transformación/objeto",IF(AND(K14&gt;=1,U14&gt;=2),"Slot 8 posible: exploratorio","Backlog/contexto")))))))</x:f>
      </x:c>
      <x:c r="AK14" s="69" t="str">
        <x:f>IF(A14="","",IF(Z14="BLOQUEADA","No seleccionable",IF(Z14="REVISIÓN","Revisión para slot exploratorio",IF(AI14&lt;=8,"Primaria propuesta","Contexto no primario"))))</x:f>
      </x:c>
      <x:c r="AL14" s="69" t="str">
        <x:f>IF(A14="","",IF(OR(Z14="REVISIÓN",Y14&gt;=3,V14&gt;=2),"Sí","No"))</x:f>
      </x:c>
      <x:c r="AM14" s="69" t="str">
        <x:f>IF(A14="","",IF(AK14="Primaria propuesta","Primaria propuesta",IF(AK14="Revisión para slot exploratorio","Revisión / posible primaria exploratoria",IF(AK14="No seleccionable","No seleccionable","Contexto no primario"))))</x:f>
      </x:c>
      <x:c r="AN14" s="69" t="str">
        <x:f>IF(A14="","",IF(AM14="Primaria propuesta",IF(AH14&gt;=75,"40+20 probable",IF(AH14&gt;=55,"40 base + causales selectivas","40 base + probes mínimos")),IF(AM14="Revisión / posible primaria exploratoria","B0/B0.5 reconstrucción antes de Runtime","No abre Runtime profundo")))</x:f>
      </x:c>
      <x:c r="AO14" s="69" t="str">
        <x:f>IF(A14="","",IF(Z14="BLOQUEADA","No probe",IF(AH14&gt;=75,"Alta",IF(AH14&gt;=55,"Media",IF(Z14="REVISIÓN","Exploratoria","Baja")))))</x:f>
      </x:c>
      <x:c r="AP14" s="69" t="str">
        <x:f>IF(A14="","",IF(M14="","unknown",IF(M14&gt;=2,"Prometedora","Débil / validar en B0.5-B1")))</x:f>
      </x:c>
      <x:c r="AQ14" s="69" t="str">
        <x:f>IF(A14="","",IF(N14="","unknown",IF(N14&gt;=2,"Prometedora","Débil / validar en B2")))</x:f>
      </x:c>
      <x:c r="AR14" s="69" t="str">
        <x:f>IF(A14="","",IF(O14="","unknown",IF(O14&gt;=2,"Prometedora","Débil / validar en B3-B4")))</x:f>
      </x:c>
      <x:c r="AS14" s="69" t="str">
        <x:f>IF(A14="","",IF(P14="","unknown",IF(P14&gt;=2,"Prometedora","Débil / validar en B2-B4")))</x:f>
      </x:c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 t="str">
        <x:f>IF(A15="","",COUNTBLANK(M15:P15))</x:f>
      </x:c>
      <x:c r="Z15" s="69" t="str">
        <x:f>IF(A15="","",IF(OR(E15="",G15="No",H15="No",I15="Responsabilidad genérica",I15="Demasiado amplia",I15="Microtarea",J15="Duplicado evidente"),"BLOQUEADA",IF(OR(I15="Ambigua",L15&lt;1,K15&lt;1),"REVISIÓN","ELEGIBLE")))</x:f>
      </x:c>
      <x:c r="AA15" s="69" t="str">
        <x:f>IF(A15="","",IF(Z15="BLOQUEADA",0,ROUND(100*(IF(M15="",1.5,M15)+IF(N15="",1.5,N15)+IF(O15="",1.5,O15)+IF(P15="",1.5,P15))/12,1)))</x:f>
      </x:c>
      <x:c r="AB15" s="69" t="str">
        <x:f>IF(A15="","",IF(Z15="BLOQUEADA",0,ROUND(100*IF(Q15="",1.5,Q15)/3,1)))</x:f>
      </x:c>
      <x:c r="AC15" s="69" t="str">
        <x:f>IF(A15="","",IF(Z15="BLOQUEADA",0,ROUND(100*IF(R15="",1.5,R15)/3,1)))</x:f>
      </x:c>
      <x:c r="AD15" s="69" t="str">
        <x:f>IF(A15="","",IF(Z15="BLOQUEADA",0,ROUND(100*IF(S15="",1.5,S15)/3,1)))</x:f>
      </x:c>
      <x:c r="AE15" s="69" t="str">
        <x:f>IF(A15="","",IF(Z15="BLOQUEADA",0,ROUND(100*IF(T15="",1.5,T15)/3,1)))</x:f>
      </x:c>
      <x:c r="AF15" s="69" t="str">
        <x:f>IF(A15="","",IF(Z15="BLOQUEADA",0,ROUND(100*IF(U15="",1.5,U15)/3,1)))</x:f>
      </x:c>
      <x:c r="AG15" s="69" t="str">
        <x:f>IF(A15="","",ROUND(IF(Z15="BLOQUEADA",100,(X15*10)+(V15*8)+(W15*8)),1))</x:f>
      </x:c>
      <x:c r="AH15" s="69" t="str">
        <x:f>IF(A15="","",IF(Z15="BLOQUEADA",0,MAX(0,ROUND(0.30*AA15+0.20*AB15+0.15*AC15+0.15*AD15+0.10*AE15+0.10*AF15-AG15,1))))</x:f>
      </x:c>
      <x:c r="AI15" s="69" t="str">
        <x:f>IF(A15="","",IF(Z15="ELEGIBLE",RANK.EQ(AH15,$AH$2:$AH$201,0),""))</x:f>
      </x:c>
      <x:c r="AJ15" s="69" t="str">
        <x:f>IF(A15="","",IF(Z15="BLOQUEADA","No aplica",IF(Z15="REVISIÓN","Slot 8 posible: exploratorio",IF(AI15&lt;=5,"Slot 1-5: alto potencial",IF(R15&gt;=2.5,"Slot 6: handoff/dependencia",IF(S15&gt;=2.5,"Slot 7: transformación/objeto",IF(AND(K15&gt;=1,U15&gt;=2),"Slot 8 posible: exploratorio","Backlog/contexto")))))))</x:f>
      </x:c>
      <x:c r="AK15" s="69" t="str">
        <x:f>IF(A15="","",IF(Z15="BLOQUEADA","No seleccionable",IF(Z15="REVISIÓN","Revisión para slot exploratorio",IF(AI15&lt;=8,"Primaria propuesta","Contexto no primario"))))</x:f>
      </x:c>
      <x:c r="AL15" s="69" t="str">
        <x:f>IF(A15="","",IF(OR(Z15="REVISIÓN",Y15&gt;=3,V15&gt;=2),"Sí","No"))</x:f>
      </x:c>
      <x:c r="AM15" s="69" t="str">
        <x:f>IF(A15="","",IF(AK15="Primaria propuesta","Primaria propuesta",IF(AK15="Revisión para slot exploratorio","Revisión / posible primaria exploratoria",IF(AK15="No seleccionable","No seleccionable","Contexto no primario"))))</x:f>
      </x:c>
      <x:c r="AN15" s="69" t="str">
        <x:f>IF(A15="","",IF(AM15="Primaria propuesta",IF(AH15&gt;=75,"40+20 probable",IF(AH15&gt;=55,"40 base + causales selectivas","40 base + probes mínimos")),IF(AM15="Revisión / posible primaria exploratoria","B0/B0.5 reconstrucción antes de Runtime","No abre Runtime profundo")))</x:f>
      </x:c>
      <x:c r="AO15" s="69" t="str">
        <x:f>IF(A15="","",IF(Z15="BLOQUEADA","No probe",IF(AH15&gt;=75,"Alta",IF(AH15&gt;=55,"Media",IF(Z15="REVISIÓN","Exploratoria","Baja")))))</x:f>
      </x:c>
      <x:c r="AP15" s="69" t="str">
        <x:f>IF(A15="","",IF(M15="","unknown",IF(M15&gt;=2,"Prometedora","Débil / validar en B0.5-B1")))</x:f>
      </x:c>
      <x:c r="AQ15" s="69" t="str">
        <x:f>IF(A15="","",IF(N15="","unknown",IF(N15&gt;=2,"Prometedora","Débil / validar en B2")))</x:f>
      </x:c>
      <x:c r="AR15" s="69" t="str">
        <x:f>IF(A15="","",IF(O15="","unknown",IF(O15&gt;=2,"Prometedora","Débil / validar en B3-B4")))</x:f>
      </x:c>
      <x:c r="AS15" s="69" t="str">
        <x:f>IF(A15="","",IF(P15="","unknown",IF(P15&gt;=2,"Prometedora","Débil / validar en B2-B4")))</x:f>
      </x:c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 t="str">
        <x:f>IF(A16="","",COUNTBLANK(M16:P16))</x:f>
      </x:c>
      <x:c r="Z16" s="69" t="str">
        <x:f>IF(A16="","",IF(OR(E16="",G16="No",H16="No",I16="Responsabilidad genérica",I16="Demasiado amplia",I16="Microtarea",J16="Duplicado evidente"),"BLOQUEADA",IF(OR(I16="Ambigua",L16&lt;1,K16&lt;1),"REVISIÓN","ELEGIBLE")))</x:f>
      </x:c>
      <x:c r="AA16" s="69" t="str">
        <x:f>IF(A16="","",IF(Z16="BLOQUEADA",0,ROUND(100*(IF(M16="",1.5,M16)+IF(N16="",1.5,N16)+IF(O16="",1.5,O16)+IF(P16="",1.5,P16))/12,1)))</x:f>
      </x:c>
      <x:c r="AB16" s="69" t="str">
        <x:f>IF(A16="","",IF(Z16="BLOQUEADA",0,ROUND(100*IF(Q16="",1.5,Q16)/3,1)))</x:f>
      </x:c>
      <x:c r="AC16" s="69" t="str">
        <x:f>IF(A16="","",IF(Z16="BLOQUEADA",0,ROUND(100*IF(R16="",1.5,R16)/3,1)))</x:f>
      </x:c>
      <x:c r="AD16" s="69" t="str">
        <x:f>IF(A16="","",IF(Z16="BLOQUEADA",0,ROUND(100*IF(S16="",1.5,S16)/3,1)))</x:f>
      </x:c>
      <x:c r="AE16" s="69" t="str">
        <x:f>IF(A16="","",IF(Z16="BLOQUEADA",0,ROUND(100*IF(T16="",1.5,T16)/3,1)))</x:f>
      </x:c>
      <x:c r="AF16" s="69" t="str">
        <x:f>IF(A16="","",IF(Z16="BLOQUEADA",0,ROUND(100*IF(U16="",1.5,U16)/3,1)))</x:f>
      </x:c>
      <x:c r="AG16" s="69" t="str">
        <x:f>IF(A16="","",ROUND(IF(Z16="BLOQUEADA",100,(X16*10)+(V16*8)+(W16*8)),1))</x:f>
      </x:c>
      <x:c r="AH16" s="69" t="str">
        <x:f>IF(A16="","",IF(Z16="BLOQUEADA",0,MAX(0,ROUND(0.30*AA16+0.20*AB16+0.15*AC16+0.15*AD16+0.10*AE16+0.10*AF16-AG16,1))))</x:f>
      </x:c>
      <x:c r="AI16" s="69" t="str">
        <x:f>IF(A16="","",IF(Z16="ELEGIBLE",RANK.EQ(AH16,$AH$2:$AH$201,0),""))</x:f>
      </x:c>
      <x:c r="AJ16" s="69" t="str">
        <x:f>IF(A16="","",IF(Z16="BLOQUEADA","No aplica",IF(Z16="REVISIÓN","Slot 8 posible: exploratorio",IF(AI16&lt;=5,"Slot 1-5: alto potencial",IF(R16&gt;=2.5,"Slot 6: handoff/dependencia",IF(S16&gt;=2.5,"Slot 7: transformación/objeto",IF(AND(K16&gt;=1,U16&gt;=2),"Slot 8 posible: exploratorio","Backlog/contexto")))))))</x:f>
      </x:c>
      <x:c r="AK16" s="69" t="str">
        <x:f>IF(A16="","",IF(Z16="BLOQUEADA","No seleccionable",IF(Z16="REVISIÓN","Revisión para slot exploratorio",IF(AI16&lt;=8,"Primaria propuesta","Contexto no primario"))))</x:f>
      </x:c>
      <x:c r="AL16" s="69" t="str">
        <x:f>IF(A16="","",IF(OR(Z16="REVISIÓN",Y16&gt;=3,V16&gt;=2),"Sí","No"))</x:f>
      </x:c>
      <x:c r="AM16" s="69" t="str">
        <x:f>IF(A16="","",IF(AK16="Primaria propuesta","Primaria propuesta",IF(AK16="Revisión para slot exploratorio","Revisión / posible primaria exploratoria",IF(AK16="No seleccionable","No seleccionable","Contexto no primario"))))</x:f>
      </x:c>
      <x:c r="AN16" s="69" t="str">
        <x:f>IF(A16="","",IF(AM16="Primaria propuesta",IF(AH16&gt;=75,"40+20 probable",IF(AH16&gt;=55,"40 base + causales selectivas","40 base + probes mínimos")),IF(AM16="Revisión / posible primaria exploratoria","B0/B0.5 reconstrucción antes de Runtime","No abre Runtime profundo")))</x:f>
      </x:c>
      <x:c r="AO16" s="69" t="str">
        <x:f>IF(A16="","",IF(Z16="BLOQUEADA","No probe",IF(AH16&gt;=75,"Alta",IF(AH16&gt;=55,"Media",IF(Z16="REVISIÓN","Exploratoria","Baja")))))</x:f>
      </x:c>
      <x:c r="AP16" s="69" t="str">
        <x:f>IF(A16="","",IF(M16="","unknown",IF(M16&gt;=2,"Prometedora","Débil / validar en B0.5-B1")))</x:f>
      </x:c>
      <x:c r="AQ16" s="69" t="str">
        <x:f>IF(A16="","",IF(N16="","unknown",IF(N16&gt;=2,"Prometedora","Débil / validar en B2")))</x:f>
      </x:c>
      <x:c r="AR16" s="69" t="str">
        <x:f>IF(A16="","",IF(O16="","unknown",IF(O16&gt;=2,"Prometedora","Débil / validar en B3-B4")))</x:f>
      </x:c>
      <x:c r="AS16" s="69" t="str">
        <x:f>IF(A16="","",IF(P16="","unknown",IF(P16&gt;=2,"Prometedora","Débil / validar en B2-B4")))</x:f>
      </x:c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 t="str">
        <x:f>IF(A17="","",COUNTBLANK(M17:P17))</x:f>
      </x:c>
      <x:c r="Z17" s="69" t="str">
        <x:f>IF(A17="","",IF(OR(E17="",G17="No",H17="No",I17="Responsabilidad genérica",I17="Demasiado amplia",I17="Microtarea",J17="Duplicado evidente"),"BLOQUEADA",IF(OR(I17="Ambigua",L17&lt;1,K17&lt;1),"REVISIÓN","ELEGIBLE")))</x:f>
      </x:c>
      <x:c r="AA17" s="69" t="str">
        <x:f>IF(A17="","",IF(Z17="BLOQUEADA",0,ROUND(100*(IF(M17="",1.5,M17)+IF(N17="",1.5,N17)+IF(O17="",1.5,O17)+IF(P17="",1.5,P17))/12,1)))</x:f>
      </x:c>
      <x:c r="AB17" s="69" t="str">
        <x:f>IF(A17="","",IF(Z17="BLOQUEADA",0,ROUND(100*IF(Q17="",1.5,Q17)/3,1)))</x:f>
      </x:c>
      <x:c r="AC17" s="69" t="str">
        <x:f>IF(A17="","",IF(Z17="BLOQUEADA",0,ROUND(100*IF(R17="",1.5,R17)/3,1)))</x:f>
      </x:c>
      <x:c r="AD17" s="69" t="str">
        <x:f>IF(A17="","",IF(Z17="BLOQUEADA",0,ROUND(100*IF(S17="",1.5,S17)/3,1)))</x:f>
      </x:c>
      <x:c r="AE17" s="69" t="str">
        <x:f>IF(A17="","",IF(Z17="BLOQUEADA",0,ROUND(100*IF(T17="",1.5,T17)/3,1)))</x:f>
      </x:c>
      <x:c r="AF17" s="69" t="str">
        <x:f>IF(A17="","",IF(Z17="BLOQUEADA",0,ROUND(100*IF(U17="",1.5,U17)/3,1)))</x:f>
      </x:c>
      <x:c r="AG17" s="69" t="str">
        <x:f>IF(A17="","",ROUND(IF(Z17="BLOQUEADA",100,(X17*10)+(V17*8)+(W17*8)),1))</x:f>
      </x:c>
      <x:c r="AH17" s="69" t="str">
        <x:f>IF(A17="","",IF(Z17="BLOQUEADA",0,MAX(0,ROUND(0.30*AA17+0.20*AB17+0.15*AC17+0.15*AD17+0.10*AE17+0.10*AF17-AG17,1))))</x:f>
      </x:c>
      <x:c r="AI17" s="69" t="str">
        <x:f>IF(A17="","",IF(Z17="ELEGIBLE",RANK.EQ(AH17,$AH$2:$AH$201,0),""))</x:f>
      </x:c>
      <x:c r="AJ17" s="69" t="str">
        <x:f>IF(A17="","",IF(Z17="BLOQUEADA","No aplica",IF(Z17="REVISIÓN","Slot 8 posible: exploratorio",IF(AI17&lt;=5,"Slot 1-5: alto potencial",IF(R17&gt;=2.5,"Slot 6: handoff/dependencia",IF(S17&gt;=2.5,"Slot 7: transformación/objeto",IF(AND(K17&gt;=1,U17&gt;=2),"Slot 8 posible: exploratorio","Backlog/contexto")))))))</x:f>
      </x:c>
      <x:c r="AK17" s="69" t="str">
        <x:f>IF(A17="","",IF(Z17="BLOQUEADA","No seleccionable",IF(Z17="REVISIÓN","Revisión para slot exploratorio",IF(AI17&lt;=8,"Primaria propuesta","Contexto no primario"))))</x:f>
      </x:c>
      <x:c r="AL17" s="69" t="str">
        <x:f>IF(A17="","",IF(OR(Z17="REVISIÓN",Y17&gt;=3,V17&gt;=2),"Sí","No"))</x:f>
      </x:c>
      <x:c r="AM17" s="69" t="str">
        <x:f>IF(A17="","",IF(AK17="Primaria propuesta","Primaria propuesta",IF(AK17="Revisión para slot exploratorio","Revisión / posible primaria exploratoria",IF(AK17="No seleccionable","No seleccionable","Contexto no primario"))))</x:f>
      </x:c>
      <x:c r="AN17" s="69" t="str">
        <x:f>IF(A17="","",IF(AM17="Primaria propuesta",IF(AH17&gt;=75,"40+20 probable",IF(AH17&gt;=55,"40 base + causales selectivas","40 base + probes mínimos")),IF(AM17="Revisión / posible primaria exploratoria","B0/B0.5 reconstrucción antes de Runtime","No abre Runtime profundo")))</x:f>
      </x:c>
      <x:c r="AO17" s="69" t="str">
        <x:f>IF(A17="","",IF(Z17="BLOQUEADA","No probe",IF(AH17&gt;=75,"Alta",IF(AH17&gt;=55,"Media",IF(Z17="REVISIÓN","Exploratoria","Baja")))))</x:f>
      </x:c>
      <x:c r="AP17" s="69" t="str">
        <x:f>IF(A17="","",IF(M17="","unknown",IF(M17&gt;=2,"Prometedora","Débil / validar en B0.5-B1")))</x:f>
      </x:c>
      <x:c r="AQ17" s="69" t="str">
        <x:f>IF(A17="","",IF(N17="","unknown",IF(N17&gt;=2,"Prometedora","Débil / validar en B2")))</x:f>
      </x:c>
      <x:c r="AR17" s="69" t="str">
        <x:f>IF(A17="","",IF(O17="","unknown",IF(O17&gt;=2,"Prometedora","Débil / validar en B3-B4")))</x:f>
      </x:c>
      <x:c r="AS17" s="69" t="str">
        <x:f>IF(A17="","",IF(P17="","unknown",IF(P17&gt;=2,"Prometedora","Débil / validar en B2-B4")))</x:f>
      </x:c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 t="str">
        <x:f>IF(A18="","",COUNTBLANK(M18:P18))</x:f>
      </x:c>
      <x:c r="Z18" s="69" t="str">
        <x:f>IF(A18="","",IF(OR(E18="",G18="No",H18="No",I18="Responsabilidad genérica",I18="Demasiado amplia",I18="Microtarea",J18="Duplicado evidente"),"BLOQUEADA",IF(OR(I18="Ambigua",L18&lt;1,K18&lt;1),"REVISIÓN","ELEGIBLE")))</x:f>
      </x:c>
      <x:c r="AA18" s="69" t="str">
        <x:f>IF(A18="","",IF(Z18="BLOQUEADA",0,ROUND(100*(IF(M18="",1.5,M18)+IF(N18="",1.5,N18)+IF(O18="",1.5,O18)+IF(P18="",1.5,P18))/12,1)))</x:f>
      </x:c>
      <x:c r="AB18" s="69" t="str">
        <x:f>IF(A18="","",IF(Z18="BLOQUEADA",0,ROUND(100*IF(Q18="",1.5,Q18)/3,1)))</x:f>
      </x:c>
      <x:c r="AC18" s="69" t="str">
        <x:f>IF(A18="","",IF(Z18="BLOQUEADA",0,ROUND(100*IF(R18="",1.5,R18)/3,1)))</x:f>
      </x:c>
      <x:c r="AD18" s="69" t="str">
        <x:f>IF(A18="","",IF(Z18="BLOQUEADA",0,ROUND(100*IF(S18="",1.5,S18)/3,1)))</x:f>
      </x:c>
      <x:c r="AE18" s="69" t="str">
        <x:f>IF(A18="","",IF(Z18="BLOQUEADA",0,ROUND(100*IF(T18="",1.5,T18)/3,1)))</x:f>
      </x:c>
      <x:c r="AF18" s="69" t="str">
        <x:f>IF(A18="","",IF(Z18="BLOQUEADA",0,ROUND(100*IF(U18="",1.5,U18)/3,1)))</x:f>
      </x:c>
      <x:c r="AG18" s="69" t="str">
        <x:f>IF(A18="","",ROUND(IF(Z18="BLOQUEADA",100,(X18*10)+(V18*8)+(W18*8)),1))</x:f>
      </x:c>
      <x:c r="AH18" s="69" t="str">
        <x:f>IF(A18="","",IF(Z18="BLOQUEADA",0,MAX(0,ROUND(0.30*AA18+0.20*AB18+0.15*AC18+0.15*AD18+0.10*AE18+0.10*AF18-AG18,1))))</x:f>
      </x:c>
      <x:c r="AI18" s="69" t="str">
        <x:f>IF(A18="","",IF(Z18="ELEGIBLE",RANK.EQ(AH18,$AH$2:$AH$201,0),""))</x:f>
      </x:c>
      <x:c r="AJ18" s="69" t="str">
        <x:f>IF(A18="","",IF(Z18="BLOQUEADA","No aplica",IF(Z18="REVISIÓN","Slot 8 posible: exploratorio",IF(AI18&lt;=5,"Slot 1-5: alto potencial",IF(R18&gt;=2.5,"Slot 6: handoff/dependencia",IF(S18&gt;=2.5,"Slot 7: transformación/objeto",IF(AND(K18&gt;=1,U18&gt;=2),"Slot 8 posible: exploratorio","Backlog/contexto")))))))</x:f>
      </x:c>
      <x:c r="AK18" s="69" t="str">
        <x:f>IF(A18="","",IF(Z18="BLOQUEADA","No seleccionable",IF(Z18="REVISIÓN","Revisión para slot exploratorio",IF(AI18&lt;=8,"Primaria propuesta","Contexto no primario"))))</x:f>
      </x:c>
      <x:c r="AL18" s="69" t="str">
        <x:f>IF(A18="","",IF(OR(Z18="REVISIÓN",Y18&gt;=3,V18&gt;=2),"Sí","No"))</x:f>
      </x:c>
      <x:c r="AM18" s="69" t="str">
        <x:f>IF(A18="","",IF(AK18="Primaria propuesta","Primaria propuesta",IF(AK18="Revisión para slot exploratorio","Revisión / posible primaria exploratoria",IF(AK18="No seleccionable","No seleccionable","Contexto no primario"))))</x:f>
      </x:c>
      <x:c r="AN18" s="69" t="str">
        <x:f>IF(A18="","",IF(AM18="Primaria propuesta",IF(AH18&gt;=75,"40+20 probable",IF(AH18&gt;=55,"40 base + causales selectivas","40 base + probes mínimos")),IF(AM18="Revisión / posible primaria exploratoria","B0/B0.5 reconstrucción antes de Runtime","No abre Runtime profundo")))</x:f>
      </x:c>
      <x:c r="AO18" s="69" t="str">
        <x:f>IF(A18="","",IF(Z18="BLOQUEADA","No probe",IF(AH18&gt;=75,"Alta",IF(AH18&gt;=55,"Media",IF(Z18="REVISIÓN","Exploratoria","Baja")))))</x:f>
      </x:c>
      <x:c r="AP18" s="69" t="str">
        <x:f>IF(A18="","",IF(M18="","unknown",IF(M18&gt;=2,"Prometedora","Débil / validar en B0.5-B1")))</x:f>
      </x:c>
      <x:c r="AQ18" s="69" t="str">
        <x:f>IF(A18="","",IF(N18="","unknown",IF(N18&gt;=2,"Prometedora","Débil / validar en B2")))</x:f>
      </x:c>
      <x:c r="AR18" s="69" t="str">
        <x:f>IF(A18="","",IF(O18="","unknown",IF(O18&gt;=2,"Prometedora","Débil / validar en B3-B4")))</x:f>
      </x:c>
      <x:c r="AS18" s="69" t="str">
        <x:f>IF(A18="","",IF(P18="","unknown",IF(P18&gt;=2,"Prometedora","Débil / validar en B2-B4")))</x:f>
      </x:c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 t="str">
        <x:f>IF(A19="","",COUNTBLANK(M19:P19))</x:f>
      </x:c>
      <x:c r="Z19" s="69" t="str">
        <x:f>IF(A19="","",IF(OR(E19="",G19="No",H19="No",I19="Responsabilidad genérica",I19="Demasiado amplia",I19="Microtarea",J19="Duplicado evidente"),"BLOQUEADA",IF(OR(I19="Ambigua",L19&lt;1,K19&lt;1),"REVISIÓN","ELEGIBLE")))</x:f>
      </x:c>
      <x:c r="AA19" s="69" t="str">
        <x:f>IF(A19="","",IF(Z19="BLOQUEADA",0,ROUND(100*(IF(M19="",1.5,M19)+IF(N19="",1.5,N19)+IF(O19="",1.5,O19)+IF(P19="",1.5,P19))/12,1)))</x:f>
      </x:c>
      <x:c r="AB19" s="69" t="str">
        <x:f>IF(A19="","",IF(Z19="BLOQUEADA",0,ROUND(100*IF(Q19="",1.5,Q19)/3,1)))</x:f>
      </x:c>
      <x:c r="AC19" s="69" t="str">
        <x:f>IF(A19="","",IF(Z19="BLOQUEADA",0,ROUND(100*IF(R19="",1.5,R19)/3,1)))</x:f>
      </x:c>
      <x:c r="AD19" s="69" t="str">
        <x:f>IF(A19="","",IF(Z19="BLOQUEADA",0,ROUND(100*IF(S19="",1.5,S19)/3,1)))</x:f>
      </x:c>
      <x:c r="AE19" s="69" t="str">
        <x:f>IF(A19="","",IF(Z19="BLOQUEADA",0,ROUND(100*IF(T19="",1.5,T19)/3,1)))</x:f>
      </x:c>
      <x:c r="AF19" s="69" t="str">
        <x:f>IF(A19="","",IF(Z19="BLOQUEADA",0,ROUND(100*IF(U19="",1.5,U19)/3,1)))</x:f>
      </x:c>
      <x:c r="AG19" s="69" t="str">
        <x:f>IF(A19="","",ROUND(IF(Z19="BLOQUEADA",100,(X19*10)+(V19*8)+(W19*8)),1))</x:f>
      </x:c>
      <x:c r="AH19" s="69" t="str">
        <x:f>IF(A19="","",IF(Z19="BLOQUEADA",0,MAX(0,ROUND(0.30*AA19+0.20*AB19+0.15*AC19+0.15*AD19+0.10*AE19+0.10*AF19-AG19,1))))</x:f>
      </x:c>
      <x:c r="AI19" s="69" t="str">
        <x:f>IF(A19="","",IF(Z19="ELEGIBLE",RANK.EQ(AH19,$AH$2:$AH$201,0),""))</x:f>
      </x:c>
      <x:c r="AJ19" s="69" t="str">
        <x:f>IF(A19="","",IF(Z19="BLOQUEADA","No aplica",IF(Z19="REVISIÓN","Slot 8 posible: exploratorio",IF(AI19&lt;=5,"Slot 1-5: alto potencial",IF(R19&gt;=2.5,"Slot 6: handoff/dependencia",IF(S19&gt;=2.5,"Slot 7: transformación/objeto",IF(AND(K19&gt;=1,U19&gt;=2),"Slot 8 posible: exploratorio","Backlog/contexto")))))))</x:f>
      </x:c>
      <x:c r="AK19" s="69" t="str">
        <x:f>IF(A19="","",IF(Z19="BLOQUEADA","No seleccionable",IF(Z19="REVISIÓN","Revisión para slot exploratorio",IF(AI19&lt;=8,"Primaria propuesta","Contexto no primario"))))</x:f>
      </x:c>
      <x:c r="AL19" s="69" t="str">
        <x:f>IF(A19="","",IF(OR(Z19="REVISIÓN",Y19&gt;=3,V19&gt;=2),"Sí","No"))</x:f>
      </x:c>
      <x:c r="AM19" s="69" t="str">
        <x:f>IF(A19="","",IF(AK19="Primaria propuesta","Primaria propuesta",IF(AK19="Revisión para slot exploratorio","Revisión / posible primaria exploratoria",IF(AK19="No seleccionable","No seleccionable","Contexto no primario"))))</x:f>
      </x:c>
      <x:c r="AN19" s="69" t="str">
        <x:f>IF(A19="","",IF(AM19="Primaria propuesta",IF(AH19&gt;=75,"40+20 probable",IF(AH19&gt;=55,"40 base + causales selectivas","40 base + probes mínimos")),IF(AM19="Revisión / posible primaria exploratoria","B0/B0.5 reconstrucción antes de Runtime","No abre Runtime profundo")))</x:f>
      </x:c>
      <x:c r="AO19" s="69" t="str">
        <x:f>IF(A19="","",IF(Z19="BLOQUEADA","No probe",IF(AH19&gt;=75,"Alta",IF(AH19&gt;=55,"Media",IF(Z19="REVISIÓN","Exploratoria","Baja")))))</x:f>
      </x:c>
      <x:c r="AP19" s="69" t="str">
        <x:f>IF(A19="","",IF(M19="","unknown",IF(M19&gt;=2,"Prometedora","Débil / validar en B0.5-B1")))</x:f>
      </x:c>
      <x:c r="AQ19" s="69" t="str">
        <x:f>IF(A19="","",IF(N19="","unknown",IF(N19&gt;=2,"Prometedora","Débil / validar en B2")))</x:f>
      </x:c>
      <x:c r="AR19" s="69" t="str">
        <x:f>IF(A19="","",IF(O19="","unknown",IF(O19&gt;=2,"Prometedora","Débil / validar en B3-B4")))</x:f>
      </x:c>
      <x:c r="AS19" s="69" t="str">
        <x:f>IF(A19="","",IF(P19="","unknown",IF(P19&gt;=2,"Prometedora","Débil / validar en B2-B4")))</x:f>
      </x:c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 t="str">
        <x:f>IF(A20="","",COUNTBLANK(M20:P20))</x:f>
      </x:c>
      <x:c r="Z20" s="69" t="str">
        <x:f>IF(A20="","",IF(OR(E20="",G20="No",H20="No",I20="Responsabilidad genérica",I20="Demasiado amplia",I20="Microtarea",J20="Duplicado evidente"),"BLOQUEADA",IF(OR(I20="Ambigua",L20&lt;1,K20&lt;1),"REVISIÓN","ELEGIBLE")))</x:f>
      </x:c>
      <x:c r="AA20" s="69" t="str">
        <x:f>IF(A20="","",IF(Z20="BLOQUEADA",0,ROUND(100*(IF(M20="",1.5,M20)+IF(N20="",1.5,N20)+IF(O20="",1.5,O20)+IF(P20="",1.5,P20))/12,1)))</x:f>
      </x:c>
      <x:c r="AB20" s="69" t="str">
        <x:f>IF(A20="","",IF(Z20="BLOQUEADA",0,ROUND(100*IF(Q20="",1.5,Q20)/3,1)))</x:f>
      </x:c>
      <x:c r="AC20" s="69" t="str">
        <x:f>IF(A20="","",IF(Z20="BLOQUEADA",0,ROUND(100*IF(R20="",1.5,R20)/3,1)))</x:f>
      </x:c>
      <x:c r="AD20" s="69" t="str">
        <x:f>IF(A20="","",IF(Z20="BLOQUEADA",0,ROUND(100*IF(S20="",1.5,S20)/3,1)))</x:f>
      </x:c>
      <x:c r="AE20" s="69" t="str">
        <x:f>IF(A20="","",IF(Z20="BLOQUEADA",0,ROUND(100*IF(T20="",1.5,T20)/3,1)))</x:f>
      </x:c>
      <x:c r="AF20" s="69" t="str">
        <x:f>IF(A20="","",IF(Z20="BLOQUEADA",0,ROUND(100*IF(U20="",1.5,U20)/3,1)))</x:f>
      </x:c>
      <x:c r="AG20" s="69" t="str">
        <x:f>IF(A20="","",ROUND(IF(Z20="BLOQUEADA",100,(X20*10)+(V20*8)+(W20*8)),1))</x:f>
      </x:c>
      <x:c r="AH20" s="69" t="str">
        <x:f>IF(A20="","",IF(Z20="BLOQUEADA",0,MAX(0,ROUND(0.30*AA20+0.20*AB20+0.15*AC20+0.15*AD20+0.10*AE20+0.10*AF20-AG20,1))))</x:f>
      </x:c>
      <x:c r="AI20" s="69" t="str">
        <x:f>IF(A20="","",IF(Z20="ELEGIBLE",RANK.EQ(AH20,$AH$2:$AH$201,0),""))</x:f>
      </x:c>
      <x:c r="AJ20" s="69" t="str">
        <x:f>IF(A20="","",IF(Z20="BLOQUEADA","No aplica",IF(Z20="REVISIÓN","Slot 8 posible: exploratorio",IF(AI20&lt;=5,"Slot 1-5: alto potencial",IF(R20&gt;=2.5,"Slot 6: handoff/dependencia",IF(S20&gt;=2.5,"Slot 7: transformación/objeto",IF(AND(K20&gt;=1,U20&gt;=2),"Slot 8 posible: exploratorio","Backlog/contexto")))))))</x:f>
      </x:c>
      <x:c r="AK20" s="69" t="str">
        <x:f>IF(A20="","",IF(Z20="BLOQUEADA","No seleccionable",IF(Z20="REVISIÓN","Revisión para slot exploratorio",IF(AI20&lt;=8,"Primaria propuesta","Contexto no primario"))))</x:f>
      </x:c>
      <x:c r="AL20" s="69" t="str">
        <x:f>IF(A20="","",IF(OR(Z20="REVISIÓN",Y20&gt;=3,V20&gt;=2),"Sí","No"))</x:f>
      </x:c>
      <x:c r="AM20" s="69" t="str">
        <x:f>IF(A20="","",IF(AK20="Primaria propuesta","Primaria propuesta",IF(AK20="Revisión para slot exploratorio","Revisión / posible primaria exploratoria",IF(AK20="No seleccionable","No seleccionable","Contexto no primario"))))</x:f>
      </x:c>
      <x:c r="AN20" s="69" t="str">
        <x:f>IF(A20="","",IF(AM20="Primaria propuesta",IF(AH20&gt;=75,"40+20 probable",IF(AH20&gt;=55,"40 base + causales selectivas","40 base + probes mínimos")),IF(AM20="Revisión / posible primaria exploratoria","B0/B0.5 reconstrucción antes de Runtime","No abre Runtime profundo")))</x:f>
      </x:c>
      <x:c r="AO20" s="69" t="str">
        <x:f>IF(A20="","",IF(Z20="BLOQUEADA","No probe",IF(AH20&gt;=75,"Alta",IF(AH20&gt;=55,"Media",IF(Z20="REVISIÓN","Exploratoria","Baja")))))</x:f>
      </x:c>
      <x:c r="AP20" s="69" t="str">
        <x:f>IF(A20="","",IF(M20="","unknown",IF(M20&gt;=2,"Prometedora","Débil / validar en B0.5-B1")))</x:f>
      </x:c>
      <x:c r="AQ20" s="69" t="str">
        <x:f>IF(A20="","",IF(N20="","unknown",IF(N20&gt;=2,"Prometedora","Débil / validar en B2")))</x:f>
      </x:c>
      <x:c r="AR20" s="69" t="str">
        <x:f>IF(A20="","",IF(O20="","unknown",IF(O20&gt;=2,"Prometedora","Débil / validar en B3-B4")))</x:f>
      </x:c>
      <x:c r="AS20" s="69" t="str">
        <x:f>IF(A20="","",IF(P20="","unknown",IF(P20&gt;=2,"Prometedora","Débil / validar en B2-B4")))</x:f>
      </x:c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 t="str">
        <x:f>IF(A21="","",COUNTBLANK(M21:P21))</x:f>
      </x:c>
      <x:c r="Z21" s="69" t="str">
        <x:f>IF(A21="","",IF(OR(E21="",G21="No",H21="No",I21="Responsabilidad genérica",I21="Demasiado amplia",I21="Microtarea",J21="Duplicado evidente"),"BLOQUEADA",IF(OR(I21="Ambigua",L21&lt;1,K21&lt;1),"REVISIÓN","ELEGIBLE")))</x:f>
      </x:c>
      <x:c r="AA21" s="69" t="str">
        <x:f>IF(A21="","",IF(Z21="BLOQUEADA",0,ROUND(100*(IF(M21="",1.5,M21)+IF(N21="",1.5,N21)+IF(O21="",1.5,O21)+IF(P21="",1.5,P21))/12,1)))</x:f>
      </x:c>
      <x:c r="AB21" s="69" t="str">
        <x:f>IF(A21="","",IF(Z21="BLOQUEADA",0,ROUND(100*IF(Q21="",1.5,Q21)/3,1)))</x:f>
      </x:c>
      <x:c r="AC21" s="69" t="str">
        <x:f>IF(A21="","",IF(Z21="BLOQUEADA",0,ROUND(100*IF(R21="",1.5,R21)/3,1)))</x:f>
      </x:c>
      <x:c r="AD21" s="69" t="str">
        <x:f>IF(A21="","",IF(Z21="BLOQUEADA",0,ROUND(100*IF(S21="",1.5,S21)/3,1)))</x:f>
      </x:c>
      <x:c r="AE21" s="69" t="str">
        <x:f>IF(A21="","",IF(Z21="BLOQUEADA",0,ROUND(100*IF(T21="",1.5,T21)/3,1)))</x:f>
      </x:c>
      <x:c r="AF21" s="69" t="str">
        <x:f>IF(A21="","",IF(Z21="BLOQUEADA",0,ROUND(100*IF(U21="",1.5,U21)/3,1)))</x:f>
      </x:c>
      <x:c r="AG21" s="69" t="str">
        <x:f>IF(A21="","",ROUND(IF(Z21="BLOQUEADA",100,(X21*10)+(V21*8)+(W21*8)),1))</x:f>
      </x:c>
      <x:c r="AH21" s="69" t="str">
        <x:f>IF(A21="","",IF(Z21="BLOQUEADA",0,MAX(0,ROUND(0.30*AA21+0.20*AB21+0.15*AC21+0.15*AD21+0.10*AE21+0.10*AF21-AG21,1))))</x:f>
      </x:c>
      <x:c r="AI21" s="69" t="str">
        <x:f>IF(A21="","",IF(Z21="ELEGIBLE",RANK.EQ(AH21,$AH$2:$AH$201,0),""))</x:f>
      </x:c>
      <x:c r="AJ21" s="69" t="str">
        <x:f>IF(A21="","",IF(Z21="BLOQUEADA","No aplica",IF(Z21="REVISIÓN","Slot 8 posible: exploratorio",IF(AI21&lt;=5,"Slot 1-5: alto potencial",IF(R21&gt;=2.5,"Slot 6: handoff/dependencia",IF(S21&gt;=2.5,"Slot 7: transformación/objeto",IF(AND(K21&gt;=1,U21&gt;=2),"Slot 8 posible: exploratorio","Backlog/contexto")))))))</x:f>
      </x:c>
      <x:c r="AK21" s="69" t="str">
        <x:f>IF(A21="","",IF(Z21="BLOQUEADA","No seleccionable",IF(Z21="REVISIÓN","Revisión para slot exploratorio",IF(AI21&lt;=8,"Primaria propuesta","Contexto no primario"))))</x:f>
      </x:c>
      <x:c r="AL21" s="69" t="str">
        <x:f>IF(A21="","",IF(OR(Z21="REVISIÓN",Y21&gt;=3,V21&gt;=2),"Sí","No"))</x:f>
      </x:c>
      <x:c r="AM21" s="69" t="str">
        <x:f>IF(A21="","",IF(AK21="Primaria propuesta","Primaria propuesta",IF(AK21="Revisión para slot exploratorio","Revisión / posible primaria exploratoria",IF(AK21="No seleccionable","No seleccionable","Contexto no primario"))))</x:f>
      </x:c>
      <x:c r="AN21" s="69" t="str">
        <x:f>IF(A21="","",IF(AM21="Primaria propuesta",IF(AH21&gt;=75,"40+20 probable",IF(AH21&gt;=55,"40 base + causales selectivas","40 base + probes mínimos")),IF(AM21="Revisión / posible primaria exploratoria","B0/B0.5 reconstrucción antes de Runtime","No abre Runtime profundo")))</x:f>
      </x:c>
      <x:c r="AO21" s="69" t="str">
        <x:f>IF(A21="","",IF(Z21="BLOQUEADA","No probe",IF(AH21&gt;=75,"Alta",IF(AH21&gt;=55,"Media",IF(Z21="REVISIÓN","Exploratoria","Baja")))))</x:f>
      </x:c>
      <x:c r="AP21" s="69" t="str">
        <x:f>IF(A21="","",IF(M21="","unknown",IF(M21&gt;=2,"Prometedora","Débil / validar en B0.5-B1")))</x:f>
      </x:c>
      <x:c r="AQ21" s="69" t="str">
        <x:f>IF(A21="","",IF(N21="","unknown",IF(N21&gt;=2,"Prometedora","Débil / validar en B2")))</x:f>
      </x:c>
      <x:c r="AR21" s="69" t="str">
        <x:f>IF(A21="","",IF(O21="","unknown",IF(O21&gt;=2,"Prometedora","Débil / validar en B3-B4")))</x:f>
      </x:c>
      <x:c r="AS21" s="69" t="str">
        <x:f>IF(A21="","",IF(P21="","unknown",IF(P21&gt;=2,"Prometedora","Débil / validar en B2-B4")))</x:f>
      </x:c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 t="str">
        <x:f>IF(A22="","",COUNTBLANK(M22:P22))</x:f>
      </x:c>
      <x:c r="Z22" s="69" t="str">
        <x:f>IF(A22="","",IF(OR(E22="",G22="No",H22="No",I22="Responsabilidad genérica",I22="Demasiado amplia",I22="Microtarea",J22="Duplicado evidente"),"BLOQUEADA",IF(OR(I22="Ambigua",L22&lt;1,K22&lt;1),"REVISIÓN","ELEGIBLE")))</x:f>
      </x:c>
      <x:c r="AA22" s="69" t="str">
        <x:f>IF(A22="","",IF(Z22="BLOQUEADA",0,ROUND(100*(IF(M22="",1.5,M22)+IF(N22="",1.5,N22)+IF(O22="",1.5,O22)+IF(P22="",1.5,P22))/12,1)))</x:f>
      </x:c>
      <x:c r="AB22" s="69" t="str">
        <x:f>IF(A22="","",IF(Z22="BLOQUEADA",0,ROUND(100*IF(Q22="",1.5,Q22)/3,1)))</x:f>
      </x:c>
      <x:c r="AC22" s="69" t="str">
        <x:f>IF(A22="","",IF(Z22="BLOQUEADA",0,ROUND(100*IF(R22="",1.5,R22)/3,1)))</x:f>
      </x:c>
      <x:c r="AD22" s="69" t="str">
        <x:f>IF(A22="","",IF(Z22="BLOQUEADA",0,ROUND(100*IF(S22="",1.5,S22)/3,1)))</x:f>
      </x:c>
      <x:c r="AE22" s="69" t="str">
        <x:f>IF(A22="","",IF(Z22="BLOQUEADA",0,ROUND(100*IF(T22="",1.5,T22)/3,1)))</x:f>
      </x:c>
      <x:c r="AF22" s="69" t="str">
        <x:f>IF(A22="","",IF(Z22="BLOQUEADA",0,ROUND(100*IF(U22="",1.5,U22)/3,1)))</x:f>
      </x:c>
      <x:c r="AG22" s="69" t="str">
        <x:f>IF(A22="","",ROUND(IF(Z22="BLOQUEADA",100,(X22*10)+(V22*8)+(W22*8)),1))</x:f>
      </x:c>
      <x:c r="AH22" s="69" t="str">
        <x:f>IF(A22="","",IF(Z22="BLOQUEADA",0,MAX(0,ROUND(0.30*AA22+0.20*AB22+0.15*AC22+0.15*AD22+0.10*AE22+0.10*AF22-AG22,1))))</x:f>
      </x:c>
      <x:c r="AI22" s="69" t="str">
        <x:f>IF(A22="","",IF(Z22="ELEGIBLE",RANK.EQ(AH22,$AH$2:$AH$201,0),""))</x:f>
      </x:c>
      <x:c r="AJ22" s="69" t="str">
        <x:f>IF(A22="","",IF(Z22="BLOQUEADA","No aplica",IF(Z22="REVISIÓN","Slot 8 posible: exploratorio",IF(AI22&lt;=5,"Slot 1-5: alto potencial",IF(R22&gt;=2.5,"Slot 6: handoff/dependencia",IF(S22&gt;=2.5,"Slot 7: transformación/objeto",IF(AND(K22&gt;=1,U22&gt;=2),"Slot 8 posible: exploratorio","Backlog/contexto")))))))</x:f>
      </x:c>
      <x:c r="AK22" s="69" t="str">
        <x:f>IF(A22="","",IF(Z22="BLOQUEADA","No seleccionable",IF(Z22="REVISIÓN","Revisión para slot exploratorio",IF(AI22&lt;=8,"Primaria propuesta","Contexto no primario"))))</x:f>
      </x:c>
      <x:c r="AL22" s="69" t="str">
        <x:f>IF(A22="","",IF(OR(Z22="REVISIÓN",Y22&gt;=3,V22&gt;=2),"Sí","No"))</x:f>
      </x:c>
      <x:c r="AM22" s="69" t="str">
        <x:f>IF(A22="","",IF(AK22="Primaria propuesta","Primaria propuesta",IF(AK22="Revisión para slot exploratorio","Revisión / posible primaria exploratoria",IF(AK22="No seleccionable","No seleccionable","Contexto no primario"))))</x:f>
      </x:c>
      <x:c r="AN22" s="69" t="str">
        <x:f>IF(A22="","",IF(AM22="Primaria propuesta",IF(AH22&gt;=75,"40+20 probable",IF(AH22&gt;=55,"40 base + causales selectivas","40 base + probes mínimos")),IF(AM22="Revisión / posible primaria exploratoria","B0/B0.5 reconstrucción antes de Runtime","No abre Runtime profundo")))</x:f>
      </x:c>
      <x:c r="AO22" s="69" t="str">
        <x:f>IF(A22="","",IF(Z22="BLOQUEADA","No probe",IF(AH22&gt;=75,"Alta",IF(AH22&gt;=55,"Media",IF(Z22="REVISIÓN","Exploratoria","Baja")))))</x:f>
      </x:c>
      <x:c r="AP22" s="69" t="str">
        <x:f>IF(A22="","",IF(M22="","unknown",IF(M22&gt;=2,"Prometedora","Débil / validar en B0.5-B1")))</x:f>
      </x:c>
      <x:c r="AQ22" s="69" t="str">
        <x:f>IF(A22="","",IF(N22="","unknown",IF(N22&gt;=2,"Prometedora","Débil / validar en B2")))</x:f>
      </x:c>
      <x:c r="AR22" s="69" t="str">
        <x:f>IF(A22="","",IF(O22="","unknown",IF(O22&gt;=2,"Prometedora","Débil / validar en B3-B4")))</x:f>
      </x:c>
      <x:c r="AS22" s="69" t="str">
        <x:f>IF(A22="","",IF(P22="","unknown",IF(P22&gt;=2,"Prometedora","Débil / validar en B2-B4")))</x:f>
      </x:c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 t="str">
        <x:f>IF(A23="","",COUNTBLANK(M23:P23))</x:f>
      </x:c>
      <x:c r="Z23" s="69" t="str">
        <x:f>IF(A23="","",IF(OR(E23="",G23="No",H23="No",I23="Responsabilidad genérica",I23="Demasiado amplia",I23="Microtarea",J23="Duplicado evidente"),"BLOQUEADA",IF(OR(I23="Ambigua",L23&lt;1,K23&lt;1),"REVISIÓN","ELEGIBLE")))</x:f>
      </x:c>
      <x:c r="AA23" s="69" t="str">
        <x:f>IF(A23="","",IF(Z23="BLOQUEADA",0,ROUND(100*(IF(M23="",1.5,M23)+IF(N23="",1.5,N23)+IF(O23="",1.5,O23)+IF(P23="",1.5,P23))/12,1)))</x:f>
      </x:c>
      <x:c r="AB23" s="69" t="str">
        <x:f>IF(A23="","",IF(Z23="BLOQUEADA",0,ROUND(100*IF(Q23="",1.5,Q23)/3,1)))</x:f>
      </x:c>
      <x:c r="AC23" s="69" t="str">
        <x:f>IF(A23="","",IF(Z23="BLOQUEADA",0,ROUND(100*IF(R23="",1.5,R23)/3,1)))</x:f>
      </x:c>
      <x:c r="AD23" s="69" t="str">
        <x:f>IF(A23="","",IF(Z23="BLOQUEADA",0,ROUND(100*IF(S23="",1.5,S23)/3,1)))</x:f>
      </x:c>
      <x:c r="AE23" s="69" t="str">
        <x:f>IF(A23="","",IF(Z23="BLOQUEADA",0,ROUND(100*IF(T23="",1.5,T23)/3,1)))</x:f>
      </x:c>
      <x:c r="AF23" s="69" t="str">
        <x:f>IF(A23="","",IF(Z23="BLOQUEADA",0,ROUND(100*IF(U23="",1.5,U23)/3,1)))</x:f>
      </x:c>
      <x:c r="AG23" s="69" t="str">
        <x:f>IF(A23="","",ROUND(IF(Z23="BLOQUEADA",100,(X23*10)+(V23*8)+(W23*8)),1))</x:f>
      </x:c>
      <x:c r="AH23" s="69" t="str">
        <x:f>IF(A23="","",IF(Z23="BLOQUEADA",0,MAX(0,ROUND(0.30*AA23+0.20*AB23+0.15*AC23+0.15*AD23+0.10*AE23+0.10*AF23-AG23,1))))</x:f>
      </x:c>
      <x:c r="AI23" s="69" t="str">
        <x:f>IF(A23="","",IF(Z23="ELEGIBLE",RANK.EQ(AH23,$AH$2:$AH$201,0),""))</x:f>
      </x:c>
      <x:c r="AJ23" s="69" t="str">
        <x:f>IF(A23="","",IF(Z23="BLOQUEADA","No aplica",IF(Z23="REVISIÓN","Slot 8 posible: exploratorio",IF(AI23&lt;=5,"Slot 1-5: alto potencial",IF(R23&gt;=2.5,"Slot 6: handoff/dependencia",IF(S23&gt;=2.5,"Slot 7: transformación/objeto",IF(AND(K23&gt;=1,U23&gt;=2),"Slot 8 posible: exploratorio","Backlog/contexto")))))))</x:f>
      </x:c>
      <x:c r="AK23" s="69" t="str">
        <x:f>IF(A23="","",IF(Z23="BLOQUEADA","No seleccionable",IF(Z23="REVISIÓN","Revisión para slot exploratorio",IF(AI23&lt;=8,"Primaria propuesta","Contexto no primario"))))</x:f>
      </x:c>
      <x:c r="AL23" s="69" t="str">
        <x:f>IF(A23="","",IF(OR(Z23="REVISIÓN",Y23&gt;=3,V23&gt;=2),"Sí","No"))</x:f>
      </x:c>
      <x:c r="AM23" s="69" t="str">
        <x:f>IF(A23="","",IF(AK23="Primaria propuesta","Primaria propuesta",IF(AK23="Revisión para slot exploratorio","Revisión / posible primaria exploratoria",IF(AK23="No seleccionable","No seleccionable","Contexto no primario"))))</x:f>
      </x:c>
      <x:c r="AN23" s="69" t="str">
        <x:f>IF(A23="","",IF(AM23="Primaria propuesta",IF(AH23&gt;=75,"40+20 probable",IF(AH23&gt;=55,"40 base + causales selectivas","40 base + probes mínimos")),IF(AM23="Revisión / posible primaria exploratoria","B0/B0.5 reconstrucción antes de Runtime","No abre Runtime profundo")))</x:f>
      </x:c>
      <x:c r="AO23" s="69" t="str">
        <x:f>IF(A23="","",IF(Z23="BLOQUEADA","No probe",IF(AH23&gt;=75,"Alta",IF(AH23&gt;=55,"Media",IF(Z23="REVISIÓN","Exploratoria","Baja")))))</x:f>
      </x:c>
      <x:c r="AP23" s="69" t="str">
        <x:f>IF(A23="","",IF(M23="","unknown",IF(M23&gt;=2,"Prometedora","Débil / validar en B0.5-B1")))</x:f>
      </x:c>
      <x:c r="AQ23" s="69" t="str">
        <x:f>IF(A23="","",IF(N23="","unknown",IF(N23&gt;=2,"Prometedora","Débil / validar en B2")))</x:f>
      </x:c>
      <x:c r="AR23" s="69" t="str">
        <x:f>IF(A23="","",IF(O23="","unknown",IF(O23&gt;=2,"Prometedora","Débil / validar en B3-B4")))</x:f>
      </x:c>
      <x:c r="AS23" s="69" t="str">
        <x:f>IF(A23="","",IF(P23="","unknown",IF(P23&gt;=2,"Prometedora","Débil / validar en B2-B4")))</x:f>
      </x:c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 t="str">
        <x:f>IF(A24="","",COUNTBLANK(M24:P24))</x:f>
      </x:c>
      <x:c r="Z24" s="69" t="str">
        <x:f>IF(A24="","",IF(OR(E24="",G24="No",H24="No",I24="Responsabilidad genérica",I24="Demasiado amplia",I24="Microtarea",J24="Duplicado evidente"),"BLOQUEADA",IF(OR(I24="Ambigua",L24&lt;1,K24&lt;1),"REVISIÓN","ELEGIBLE")))</x:f>
      </x:c>
      <x:c r="AA24" s="69" t="str">
        <x:f>IF(A24="","",IF(Z24="BLOQUEADA",0,ROUND(100*(IF(M24="",1.5,M24)+IF(N24="",1.5,N24)+IF(O24="",1.5,O24)+IF(P24="",1.5,P24))/12,1)))</x:f>
      </x:c>
      <x:c r="AB24" s="69" t="str">
        <x:f>IF(A24="","",IF(Z24="BLOQUEADA",0,ROUND(100*IF(Q24="",1.5,Q24)/3,1)))</x:f>
      </x:c>
      <x:c r="AC24" s="69" t="str">
        <x:f>IF(A24="","",IF(Z24="BLOQUEADA",0,ROUND(100*IF(R24="",1.5,R24)/3,1)))</x:f>
      </x:c>
      <x:c r="AD24" s="69" t="str">
        <x:f>IF(A24="","",IF(Z24="BLOQUEADA",0,ROUND(100*IF(S24="",1.5,S24)/3,1)))</x:f>
      </x:c>
      <x:c r="AE24" s="69" t="str">
        <x:f>IF(A24="","",IF(Z24="BLOQUEADA",0,ROUND(100*IF(T24="",1.5,T24)/3,1)))</x:f>
      </x:c>
      <x:c r="AF24" s="69" t="str">
        <x:f>IF(A24="","",IF(Z24="BLOQUEADA",0,ROUND(100*IF(U24="",1.5,U24)/3,1)))</x:f>
      </x:c>
      <x:c r="AG24" s="69" t="str">
        <x:f>IF(A24="","",ROUND(IF(Z24="BLOQUEADA",100,(X24*10)+(V24*8)+(W24*8)),1))</x:f>
      </x:c>
      <x:c r="AH24" s="69" t="str">
        <x:f>IF(A24="","",IF(Z24="BLOQUEADA",0,MAX(0,ROUND(0.30*AA24+0.20*AB24+0.15*AC24+0.15*AD24+0.10*AE24+0.10*AF24-AG24,1))))</x:f>
      </x:c>
      <x:c r="AI24" s="69" t="str">
        <x:f>IF(A24="","",IF(Z24="ELEGIBLE",RANK.EQ(AH24,$AH$2:$AH$201,0),""))</x:f>
      </x:c>
      <x:c r="AJ24" s="69" t="str">
        <x:f>IF(A24="","",IF(Z24="BLOQUEADA","No aplica",IF(Z24="REVISIÓN","Slot 8 posible: exploratorio",IF(AI24&lt;=5,"Slot 1-5: alto potencial",IF(R24&gt;=2.5,"Slot 6: handoff/dependencia",IF(S24&gt;=2.5,"Slot 7: transformación/objeto",IF(AND(K24&gt;=1,U24&gt;=2),"Slot 8 posible: exploratorio","Backlog/contexto")))))))</x:f>
      </x:c>
      <x:c r="AK24" s="69" t="str">
        <x:f>IF(A24="","",IF(Z24="BLOQUEADA","No seleccionable",IF(Z24="REVISIÓN","Revisión para slot exploratorio",IF(AI24&lt;=8,"Primaria propuesta","Contexto no primario"))))</x:f>
      </x:c>
      <x:c r="AL24" s="69" t="str">
        <x:f>IF(A24="","",IF(OR(Z24="REVISIÓN",Y24&gt;=3,V24&gt;=2),"Sí","No"))</x:f>
      </x:c>
      <x:c r="AM24" s="69" t="str">
        <x:f>IF(A24="","",IF(AK24="Primaria propuesta","Primaria propuesta",IF(AK24="Revisión para slot exploratorio","Revisión / posible primaria exploratoria",IF(AK24="No seleccionable","No seleccionable","Contexto no primario"))))</x:f>
      </x:c>
      <x:c r="AN24" s="69" t="str">
        <x:f>IF(A24="","",IF(AM24="Primaria propuesta",IF(AH24&gt;=75,"40+20 probable",IF(AH24&gt;=55,"40 base + causales selectivas","40 base + probes mínimos")),IF(AM24="Revisión / posible primaria exploratoria","B0/B0.5 reconstrucción antes de Runtime","No abre Runtime profundo")))</x:f>
      </x:c>
      <x:c r="AO24" s="69" t="str">
        <x:f>IF(A24="","",IF(Z24="BLOQUEADA","No probe",IF(AH24&gt;=75,"Alta",IF(AH24&gt;=55,"Media",IF(Z24="REVISIÓN","Exploratoria","Baja")))))</x:f>
      </x:c>
      <x:c r="AP24" s="69" t="str">
        <x:f>IF(A24="","",IF(M24="","unknown",IF(M24&gt;=2,"Prometedora","Débil / validar en B0.5-B1")))</x:f>
      </x:c>
      <x:c r="AQ24" s="69" t="str">
        <x:f>IF(A24="","",IF(N24="","unknown",IF(N24&gt;=2,"Prometedora","Débil / validar en B2")))</x:f>
      </x:c>
      <x:c r="AR24" s="69" t="str">
        <x:f>IF(A24="","",IF(O24="","unknown",IF(O24&gt;=2,"Prometedora","Débil / validar en B3-B4")))</x:f>
      </x:c>
      <x:c r="AS24" s="69" t="str">
        <x:f>IF(A24="","",IF(P24="","unknown",IF(P24&gt;=2,"Prometedora","Débil / validar en B2-B4")))</x:f>
      </x:c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 t="str">
        <x:f>IF(A25="","",COUNTBLANK(M25:P25))</x:f>
      </x:c>
      <x:c r="Z25" s="69" t="str">
        <x:f>IF(A25="","",IF(OR(E25="",G25="No",H25="No",I25="Responsabilidad genérica",I25="Demasiado amplia",I25="Microtarea",J25="Duplicado evidente"),"BLOQUEADA",IF(OR(I25="Ambigua",L25&lt;1,K25&lt;1),"REVISIÓN","ELEGIBLE")))</x:f>
      </x:c>
      <x:c r="AA25" s="69" t="str">
        <x:f>IF(A25="","",IF(Z25="BLOQUEADA",0,ROUND(100*(IF(M25="",1.5,M25)+IF(N25="",1.5,N25)+IF(O25="",1.5,O25)+IF(P25="",1.5,P25))/12,1)))</x:f>
      </x:c>
      <x:c r="AB25" s="69" t="str">
        <x:f>IF(A25="","",IF(Z25="BLOQUEADA",0,ROUND(100*IF(Q25="",1.5,Q25)/3,1)))</x:f>
      </x:c>
      <x:c r="AC25" s="69" t="str">
        <x:f>IF(A25="","",IF(Z25="BLOQUEADA",0,ROUND(100*IF(R25="",1.5,R25)/3,1)))</x:f>
      </x:c>
      <x:c r="AD25" s="69" t="str">
        <x:f>IF(A25="","",IF(Z25="BLOQUEADA",0,ROUND(100*IF(S25="",1.5,S25)/3,1)))</x:f>
      </x:c>
      <x:c r="AE25" s="69" t="str">
        <x:f>IF(A25="","",IF(Z25="BLOQUEADA",0,ROUND(100*IF(T25="",1.5,T25)/3,1)))</x:f>
      </x:c>
      <x:c r="AF25" s="69" t="str">
        <x:f>IF(A25="","",IF(Z25="BLOQUEADA",0,ROUND(100*IF(U25="",1.5,U25)/3,1)))</x:f>
      </x:c>
      <x:c r="AG25" s="69" t="str">
        <x:f>IF(A25="","",ROUND(IF(Z25="BLOQUEADA",100,(X25*10)+(V25*8)+(W25*8)),1))</x:f>
      </x:c>
      <x:c r="AH25" s="69" t="str">
        <x:f>IF(A25="","",IF(Z25="BLOQUEADA",0,MAX(0,ROUND(0.30*AA25+0.20*AB25+0.15*AC25+0.15*AD25+0.10*AE25+0.10*AF25-AG25,1))))</x:f>
      </x:c>
      <x:c r="AI25" s="69" t="str">
        <x:f>IF(A25="","",IF(Z25="ELEGIBLE",RANK.EQ(AH25,$AH$2:$AH$201,0),""))</x:f>
      </x:c>
      <x:c r="AJ25" s="69" t="str">
        <x:f>IF(A25="","",IF(Z25="BLOQUEADA","No aplica",IF(Z25="REVISIÓN","Slot 8 posible: exploratorio",IF(AI25&lt;=5,"Slot 1-5: alto potencial",IF(R25&gt;=2.5,"Slot 6: handoff/dependencia",IF(S25&gt;=2.5,"Slot 7: transformación/objeto",IF(AND(K25&gt;=1,U25&gt;=2),"Slot 8 posible: exploratorio","Backlog/contexto")))))))</x:f>
      </x:c>
      <x:c r="AK25" s="69" t="str">
        <x:f>IF(A25="","",IF(Z25="BLOQUEADA","No seleccionable",IF(Z25="REVISIÓN","Revisión para slot exploratorio",IF(AI25&lt;=8,"Primaria propuesta","Contexto no primario"))))</x:f>
      </x:c>
      <x:c r="AL25" s="69" t="str">
        <x:f>IF(A25="","",IF(OR(Z25="REVISIÓN",Y25&gt;=3,V25&gt;=2),"Sí","No"))</x:f>
      </x:c>
      <x:c r="AM25" s="69" t="str">
        <x:f>IF(A25="","",IF(AK25="Primaria propuesta","Primaria propuesta",IF(AK25="Revisión para slot exploratorio","Revisión / posible primaria exploratoria",IF(AK25="No seleccionable","No seleccionable","Contexto no primario"))))</x:f>
      </x:c>
      <x:c r="AN25" s="69" t="str">
        <x:f>IF(A25="","",IF(AM25="Primaria propuesta",IF(AH25&gt;=75,"40+20 probable",IF(AH25&gt;=55,"40 base + causales selectivas","40 base + probes mínimos")),IF(AM25="Revisión / posible primaria exploratoria","B0/B0.5 reconstrucción antes de Runtime","No abre Runtime profundo")))</x:f>
      </x:c>
      <x:c r="AO25" s="69" t="str">
        <x:f>IF(A25="","",IF(Z25="BLOQUEADA","No probe",IF(AH25&gt;=75,"Alta",IF(AH25&gt;=55,"Media",IF(Z25="REVISIÓN","Exploratoria","Baja")))))</x:f>
      </x:c>
      <x:c r="AP25" s="69" t="str">
        <x:f>IF(A25="","",IF(M25="","unknown",IF(M25&gt;=2,"Prometedora","Débil / validar en B0.5-B1")))</x:f>
      </x:c>
      <x:c r="AQ25" s="69" t="str">
        <x:f>IF(A25="","",IF(N25="","unknown",IF(N25&gt;=2,"Prometedora","Débil / validar en B2")))</x:f>
      </x:c>
      <x:c r="AR25" s="69" t="str">
        <x:f>IF(A25="","",IF(O25="","unknown",IF(O25&gt;=2,"Prometedora","Débil / validar en B3-B4")))</x:f>
      </x:c>
      <x:c r="AS25" s="69" t="str">
        <x:f>IF(A25="","",IF(P25="","unknown",IF(P25&gt;=2,"Prometedora","Débil / validar en B2-B4")))</x:f>
      </x:c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 t="str">
        <x:f>IF(A26="","",COUNTBLANK(M26:P26))</x:f>
      </x:c>
      <x:c r="Z26" s="69" t="str">
        <x:f>IF(A26="","",IF(OR(E26="",G26="No",H26="No",I26="Responsabilidad genérica",I26="Demasiado amplia",I26="Microtarea",J26="Duplicado evidente"),"BLOQUEADA",IF(OR(I26="Ambigua",L26&lt;1,K26&lt;1),"REVISIÓN","ELEGIBLE")))</x:f>
      </x:c>
      <x:c r="AA26" s="69" t="str">
        <x:f>IF(A26="","",IF(Z26="BLOQUEADA",0,ROUND(100*(IF(M26="",1.5,M26)+IF(N26="",1.5,N26)+IF(O26="",1.5,O26)+IF(P26="",1.5,P26))/12,1)))</x:f>
      </x:c>
      <x:c r="AB26" s="69" t="str">
        <x:f>IF(A26="","",IF(Z26="BLOQUEADA",0,ROUND(100*IF(Q26="",1.5,Q26)/3,1)))</x:f>
      </x:c>
      <x:c r="AC26" s="69" t="str">
        <x:f>IF(A26="","",IF(Z26="BLOQUEADA",0,ROUND(100*IF(R26="",1.5,R26)/3,1)))</x:f>
      </x:c>
      <x:c r="AD26" s="69" t="str">
        <x:f>IF(A26="","",IF(Z26="BLOQUEADA",0,ROUND(100*IF(S26="",1.5,S26)/3,1)))</x:f>
      </x:c>
      <x:c r="AE26" s="69" t="str">
        <x:f>IF(A26="","",IF(Z26="BLOQUEADA",0,ROUND(100*IF(T26="",1.5,T26)/3,1)))</x:f>
      </x:c>
      <x:c r="AF26" s="69" t="str">
        <x:f>IF(A26="","",IF(Z26="BLOQUEADA",0,ROUND(100*IF(U26="",1.5,U26)/3,1)))</x:f>
      </x:c>
      <x:c r="AG26" s="69" t="str">
        <x:f>IF(A26="","",ROUND(IF(Z26="BLOQUEADA",100,(X26*10)+(V26*8)+(W26*8)),1))</x:f>
      </x:c>
      <x:c r="AH26" s="69" t="str">
        <x:f>IF(A26="","",IF(Z26="BLOQUEADA",0,MAX(0,ROUND(0.30*AA26+0.20*AB26+0.15*AC26+0.15*AD26+0.10*AE26+0.10*AF26-AG26,1))))</x:f>
      </x:c>
      <x:c r="AI26" s="69" t="str">
        <x:f>IF(A26="","",IF(Z26="ELEGIBLE",RANK.EQ(AH26,$AH$2:$AH$201,0),""))</x:f>
      </x:c>
      <x:c r="AJ26" s="69" t="str">
        <x:f>IF(A26="","",IF(Z26="BLOQUEADA","No aplica",IF(Z26="REVISIÓN","Slot 8 posible: exploratorio",IF(AI26&lt;=5,"Slot 1-5: alto potencial",IF(R26&gt;=2.5,"Slot 6: handoff/dependencia",IF(S26&gt;=2.5,"Slot 7: transformación/objeto",IF(AND(K26&gt;=1,U26&gt;=2),"Slot 8 posible: exploratorio","Backlog/contexto")))))))</x:f>
      </x:c>
      <x:c r="AK26" s="69" t="str">
        <x:f>IF(A26="","",IF(Z26="BLOQUEADA","No seleccionable",IF(Z26="REVISIÓN","Revisión para slot exploratorio",IF(AI26&lt;=8,"Primaria propuesta","Contexto no primario"))))</x:f>
      </x:c>
      <x:c r="AL26" s="69" t="str">
        <x:f>IF(A26="","",IF(OR(Z26="REVISIÓN",Y26&gt;=3,V26&gt;=2),"Sí","No"))</x:f>
      </x:c>
      <x:c r="AM26" s="69" t="str">
        <x:f>IF(A26="","",IF(AK26="Primaria propuesta","Primaria propuesta",IF(AK26="Revisión para slot exploratorio","Revisión / posible primaria exploratoria",IF(AK26="No seleccionable","No seleccionable","Contexto no primario"))))</x:f>
      </x:c>
      <x:c r="AN26" s="69" t="str">
        <x:f>IF(A26="","",IF(AM26="Primaria propuesta",IF(AH26&gt;=75,"40+20 probable",IF(AH26&gt;=55,"40 base + causales selectivas","40 base + probes mínimos")),IF(AM26="Revisión / posible primaria exploratoria","B0/B0.5 reconstrucción antes de Runtime","No abre Runtime profundo")))</x:f>
      </x:c>
      <x:c r="AO26" s="69" t="str">
        <x:f>IF(A26="","",IF(Z26="BLOQUEADA","No probe",IF(AH26&gt;=75,"Alta",IF(AH26&gt;=55,"Media",IF(Z26="REVISIÓN","Exploratoria","Baja")))))</x:f>
      </x:c>
      <x:c r="AP26" s="69" t="str">
        <x:f>IF(A26="","",IF(M26="","unknown",IF(M26&gt;=2,"Prometedora","Débil / validar en B0.5-B1")))</x:f>
      </x:c>
      <x:c r="AQ26" s="69" t="str">
        <x:f>IF(A26="","",IF(N26="","unknown",IF(N26&gt;=2,"Prometedora","Débil / validar en B2")))</x:f>
      </x:c>
      <x:c r="AR26" s="69" t="str">
        <x:f>IF(A26="","",IF(O26="","unknown",IF(O26&gt;=2,"Prometedora","Débil / validar en B3-B4")))</x:f>
      </x:c>
      <x:c r="AS26" s="69" t="str">
        <x:f>IF(A26="","",IF(P26="","unknown",IF(P26&gt;=2,"Prometedora","Débil / validar en B2-B4")))</x:f>
      </x:c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 t="str">
        <x:f>IF(A27="","",COUNTBLANK(M27:P27))</x:f>
      </x:c>
      <x:c r="Z27" s="69" t="str">
        <x:f>IF(A27="","",IF(OR(E27="",G27="No",H27="No",I27="Responsabilidad genérica",I27="Demasiado amplia",I27="Microtarea",J27="Duplicado evidente"),"BLOQUEADA",IF(OR(I27="Ambigua",L27&lt;1,K27&lt;1),"REVISIÓN","ELEGIBLE")))</x:f>
      </x:c>
      <x:c r="AA27" s="69" t="str">
        <x:f>IF(A27="","",IF(Z27="BLOQUEADA",0,ROUND(100*(IF(M27="",1.5,M27)+IF(N27="",1.5,N27)+IF(O27="",1.5,O27)+IF(P27="",1.5,P27))/12,1)))</x:f>
      </x:c>
      <x:c r="AB27" s="69" t="str">
        <x:f>IF(A27="","",IF(Z27="BLOQUEADA",0,ROUND(100*IF(Q27="",1.5,Q27)/3,1)))</x:f>
      </x:c>
      <x:c r="AC27" s="69" t="str">
        <x:f>IF(A27="","",IF(Z27="BLOQUEADA",0,ROUND(100*IF(R27="",1.5,R27)/3,1)))</x:f>
      </x:c>
      <x:c r="AD27" s="69" t="str">
        <x:f>IF(A27="","",IF(Z27="BLOQUEADA",0,ROUND(100*IF(S27="",1.5,S27)/3,1)))</x:f>
      </x:c>
      <x:c r="AE27" s="69" t="str">
        <x:f>IF(A27="","",IF(Z27="BLOQUEADA",0,ROUND(100*IF(T27="",1.5,T27)/3,1)))</x:f>
      </x:c>
      <x:c r="AF27" s="69" t="str">
        <x:f>IF(A27="","",IF(Z27="BLOQUEADA",0,ROUND(100*IF(U27="",1.5,U27)/3,1)))</x:f>
      </x:c>
      <x:c r="AG27" s="69" t="str">
        <x:f>IF(A27="","",ROUND(IF(Z27="BLOQUEADA",100,(X27*10)+(V27*8)+(W27*8)),1))</x:f>
      </x:c>
      <x:c r="AH27" s="69" t="str">
        <x:f>IF(A27="","",IF(Z27="BLOQUEADA",0,MAX(0,ROUND(0.30*AA27+0.20*AB27+0.15*AC27+0.15*AD27+0.10*AE27+0.10*AF27-AG27,1))))</x:f>
      </x:c>
      <x:c r="AI27" s="69" t="str">
        <x:f>IF(A27="","",IF(Z27="ELEGIBLE",RANK.EQ(AH27,$AH$2:$AH$201,0),""))</x:f>
      </x:c>
      <x:c r="AJ27" s="69" t="str">
        <x:f>IF(A27="","",IF(Z27="BLOQUEADA","No aplica",IF(Z27="REVISIÓN","Slot 8 posible: exploratorio",IF(AI27&lt;=5,"Slot 1-5: alto potencial",IF(R27&gt;=2.5,"Slot 6: handoff/dependencia",IF(S27&gt;=2.5,"Slot 7: transformación/objeto",IF(AND(K27&gt;=1,U27&gt;=2),"Slot 8 posible: exploratorio","Backlog/contexto")))))))</x:f>
      </x:c>
      <x:c r="AK27" s="69" t="str">
        <x:f>IF(A27="","",IF(Z27="BLOQUEADA","No seleccionable",IF(Z27="REVISIÓN","Revisión para slot exploratorio",IF(AI27&lt;=8,"Primaria propuesta","Contexto no primario"))))</x:f>
      </x:c>
      <x:c r="AL27" s="69" t="str">
        <x:f>IF(A27="","",IF(OR(Z27="REVISIÓN",Y27&gt;=3,V27&gt;=2),"Sí","No"))</x:f>
      </x:c>
      <x:c r="AM27" s="69" t="str">
        <x:f>IF(A27="","",IF(AK27="Primaria propuesta","Primaria propuesta",IF(AK27="Revisión para slot exploratorio","Revisión / posible primaria exploratoria",IF(AK27="No seleccionable","No seleccionable","Contexto no primario"))))</x:f>
      </x:c>
      <x:c r="AN27" s="69" t="str">
        <x:f>IF(A27="","",IF(AM27="Primaria propuesta",IF(AH27&gt;=75,"40+20 probable",IF(AH27&gt;=55,"40 base + causales selectivas","40 base + probes mínimos")),IF(AM27="Revisión / posible primaria exploratoria","B0/B0.5 reconstrucción antes de Runtime","No abre Runtime profundo")))</x:f>
      </x:c>
      <x:c r="AO27" s="69" t="str">
        <x:f>IF(A27="","",IF(Z27="BLOQUEADA","No probe",IF(AH27&gt;=75,"Alta",IF(AH27&gt;=55,"Media",IF(Z27="REVISIÓN","Exploratoria","Baja")))))</x:f>
      </x:c>
      <x:c r="AP27" s="69" t="str">
        <x:f>IF(A27="","",IF(M27="","unknown",IF(M27&gt;=2,"Prometedora","Débil / validar en B0.5-B1")))</x:f>
      </x:c>
      <x:c r="AQ27" s="69" t="str">
        <x:f>IF(A27="","",IF(N27="","unknown",IF(N27&gt;=2,"Prometedora","Débil / validar en B2")))</x:f>
      </x:c>
      <x:c r="AR27" s="69" t="str">
        <x:f>IF(A27="","",IF(O27="","unknown",IF(O27&gt;=2,"Prometedora","Débil / validar en B3-B4")))</x:f>
      </x:c>
      <x:c r="AS27" s="69" t="str">
        <x:f>IF(A27="","",IF(P27="","unknown",IF(P27&gt;=2,"Prometedora","Débil / validar en B2-B4")))</x:f>
      </x:c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 t="str">
        <x:f>IF(A28="","",COUNTBLANK(M28:P28))</x:f>
      </x:c>
      <x:c r="Z28" s="69" t="str">
        <x:f>IF(A28="","",IF(OR(E28="",G28="No",H28="No",I28="Responsabilidad genérica",I28="Demasiado amplia",I28="Microtarea",J28="Duplicado evidente"),"BLOQUEADA",IF(OR(I28="Ambigua",L28&lt;1,K28&lt;1),"REVISIÓN","ELEGIBLE")))</x:f>
      </x:c>
      <x:c r="AA28" s="69" t="str">
        <x:f>IF(A28="","",IF(Z28="BLOQUEADA",0,ROUND(100*(IF(M28="",1.5,M28)+IF(N28="",1.5,N28)+IF(O28="",1.5,O28)+IF(P28="",1.5,P28))/12,1)))</x:f>
      </x:c>
      <x:c r="AB28" s="69" t="str">
        <x:f>IF(A28="","",IF(Z28="BLOQUEADA",0,ROUND(100*IF(Q28="",1.5,Q28)/3,1)))</x:f>
      </x:c>
      <x:c r="AC28" s="69" t="str">
        <x:f>IF(A28="","",IF(Z28="BLOQUEADA",0,ROUND(100*IF(R28="",1.5,R28)/3,1)))</x:f>
      </x:c>
      <x:c r="AD28" s="69" t="str">
        <x:f>IF(A28="","",IF(Z28="BLOQUEADA",0,ROUND(100*IF(S28="",1.5,S28)/3,1)))</x:f>
      </x:c>
      <x:c r="AE28" s="69" t="str">
        <x:f>IF(A28="","",IF(Z28="BLOQUEADA",0,ROUND(100*IF(T28="",1.5,T28)/3,1)))</x:f>
      </x:c>
      <x:c r="AF28" s="69" t="str">
        <x:f>IF(A28="","",IF(Z28="BLOQUEADA",0,ROUND(100*IF(U28="",1.5,U28)/3,1)))</x:f>
      </x:c>
      <x:c r="AG28" s="69" t="str">
        <x:f>IF(A28="","",ROUND(IF(Z28="BLOQUEADA",100,(X28*10)+(V28*8)+(W28*8)),1))</x:f>
      </x:c>
      <x:c r="AH28" s="69" t="str">
        <x:f>IF(A28="","",IF(Z28="BLOQUEADA",0,MAX(0,ROUND(0.30*AA28+0.20*AB28+0.15*AC28+0.15*AD28+0.10*AE28+0.10*AF28-AG28,1))))</x:f>
      </x:c>
      <x:c r="AI28" s="69" t="str">
        <x:f>IF(A28="","",IF(Z28="ELEGIBLE",RANK.EQ(AH28,$AH$2:$AH$201,0),""))</x:f>
      </x:c>
      <x:c r="AJ28" s="69" t="str">
        <x:f>IF(A28="","",IF(Z28="BLOQUEADA","No aplica",IF(Z28="REVISIÓN","Slot 8 posible: exploratorio",IF(AI28&lt;=5,"Slot 1-5: alto potencial",IF(R28&gt;=2.5,"Slot 6: handoff/dependencia",IF(S28&gt;=2.5,"Slot 7: transformación/objeto",IF(AND(K28&gt;=1,U28&gt;=2),"Slot 8 posible: exploratorio","Backlog/contexto")))))))</x:f>
      </x:c>
      <x:c r="AK28" s="69" t="str">
        <x:f>IF(A28="","",IF(Z28="BLOQUEADA","No seleccionable",IF(Z28="REVISIÓN","Revisión para slot exploratorio",IF(AI28&lt;=8,"Primaria propuesta","Contexto no primario"))))</x:f>
      </x:c>
      <x:c r="AL28" s="69" t="str">
        <x:f>IF(A28="","",IF(OR(Z28="REVISIÓN",Y28&gt;=3,V28&gt;=2),"Sí","No"))</x:f>
      </x:c>
      <x:c r="AM28" s="69" t="str">
        <x:f>IF(A28="","",IF(AK28="Primaria propuesta","Primaria propuesta",IF(AK28="Revisión para slot exploratorio","Revisión / posible primaria exploratoria",IF(AK28="No seleccionable","No seleccionable","Contexto no primario"))))</x:f>
      </x:c>
      <x:c r="AN28" s="69" t="str">
        <x:f>IF(A28="","",IF(AM28="Primaria propuesta",IF(AH28&gt;=75,"40+20 probable",IF(AH28&gt;=55,"40 base + causales selectivas","40 base + probes mínimos")),IF(AM28="Revisión / posible primaria exploratoria","B0/B0.5 reconstrucción antes de Runtime","No abre Runtime profundo")))</x:f>
      </x:c>
      <x:c r="AO28" s="69" t="str">
        <x:f>IF(A28="","",IF(Z28="BLOQUEADA","No probe",IF(AH28&gt;=75,"Alta",IF(AH28&gt;=55,"Media",IF(Z28="REVISIÓN","Exploratoria","Baja")))))</x:f>
      </x:c>
      <x:c r="AP28" s="69" t="str">
        <x:f>IF(A28="","",IF(M28="","unknown",IF(M28&gt;=2,"Prometedora","Débil / validar en B0.5-B1")))</x:f>
      </x:c>
      <x:c r="AQ28" s="69" t="str">
        <x:f>IF(A28="","",IF(N28="","unknown",IF(N28&gt;=2,"Prometedora","Débil / validar en B2")))</x:f>
      </x:c>
      <x:c r="AR28" s="69" t="str">
        <x:f>IF(A28="","",IF(O28="","unknown",IF(O28&gt;=2,"Prometedora","Débil / validar en B3-B4")))</x:f>
      </x:c>
      <x:c r="AS28" s="69" t="str">
        <x:f>IF(A28="","",IF(P28="","unknown",IF(P28&gt;=2,"Prometedora","Débil / validar en B2-B4")))</x:f>
      </x:c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 t="str">
        <x:f>IF(A29="","",COUNTBLANK(M29:P29))</x:f>
      </x:c>
      <x:c r="Z29" s="69" t="str">
        <x:f>IF(A29="","",IF(OR(E29="",G29="No",H29="No",I29="Responsabilidad genérica",I29="Demasiado amplia",I29="Microtarea",J29="Duplicado evidente"),"BLOQUEADA",IF(OR(I29="Ambigua",L29&lt;1,K29&lt;1),"REVISIÓN","ELEGIBLE")))</x:f>
      </x:c>
      <x:c r="AA29" s="69" t="str">
        <x:f>IF(A29="","",IF(Z29="BLOQUEADA",0,ROUND(100*(IF(M29="",1.5,M29)+IF(N29="",1.5,N29)+IF(O29="",1.5,O29)+IF(P29="",1.5,P29))/12,1)))</x:f>
      </x:c>
      <x:c r="AB29" s="69" t="str">
        <x:f>IF(A29="","",IF(Z29="BLOQUEADA",0,ROUND(100*IF(Q29="",1.5,Q29)/3,1)))</x:f>
      </x:c>
      <x:c r="AC29" s="69" t="str">
        <x:f>IF(A29="","",IF(Z29="BLOQUEADA",0,ROUND(100*IF(R29="",1.5,R29)/3,1)))</x:f>
      </x:c>
      <x:c r="AD29" s="69" t="str">
        <x:f>IF(A29="","",IF(Z29="BLOQUEADA",0,ROUND(100*IF(S29="",1.5,S29)/3,1)))</x:f>
      </x:c>
      <x:c r="AE29" s="69" t="str">
        <x:f>IF(A29="","",IF(Z29="BLOQUEADA",0,ROUND(100*IF(T29="",1.5,T29)/3,1)))</x:f>
      </x:c>
      <x:c r="AF29" s="69" t="str">
        <x:f>IF(A29="","",IF(Z29="BLOQUEADA",0,ROUND(100*IF(U29="",1.5,U29)/3,1)))</x:f>
      </x:c>
      <x:c r="AG29" s="69" t="str">
        <x:f>IF(A29="","",ROUND(IF(Z29="BLOQUEADA",100,(X29*10)+(V29*8)+(W29*8)),1))</x:f>
      </x:c>
      <x:c r="AH29" s="69" t="str">
        <x:f>IF(A29="","",IF(Z29="BLOQUEADA",0,MAX(0,ROUND(0.30*AA29+0.20*AB29+0.15*AC29+0.15*AD29+0.10*AE29+0.10*AF29-AG29,1))))</x:f>
      </x:c>
      <x:c r="AI29" s="69" t="str">
        <x:f>IF(A29="","",IF(Z29="ELEGIBLE",RANK.EQ(AH29,$AH$2:$AH$201,0),""))</x:f>
      </x:c>
      <x:c r="AJ29" s="69" t="str">
        <x:f>IF(A29="","",IF(Z29="BLOQUEADA","No aplica",IF(Z29="REVISIÓN","Slot 8 posible: exploratorio",IF(AI29&lt;=5,"Slot 1-5: alto potencial",IF(R29&gt;=2.5,"Slot 6: handoff/dependencia",IF(S29&gt;=2.5,"Slot 7: transformación/objeto",IF(AND(K29&gt;=1,U29&gt;=2),"Slot 8 posible: exploratorio","Backlog/contexto")))))))</x:f>
      </x:c>
      <x:c r="AK29" s="69" t="str">
        <x:f>IF(A29="","",IF(Z29="BLOQUEADA","No seleccionable",IF(Z29="REVISIÓN","Revisión para slot exploratorio",IF(AI29&lt;=8,"Primaria propuesta","Contexto no primario"))))</x:f>
      </x:c>
      <x:c r="AL29" s="69" t="str">
        <x:f>IF(A29="","",IF(OR(Z29="REVISIÓN",Y29&gt;=3,V29&gt;=2),"Sí","No"))</x:f>
      </x:c>
      <x:c r="AM29" s="69" t="str">
        <x:f>IF(A29="","",IF(AK29="Primaria propuesta","Primaria propuesta",IF(AK29="Revisión para slot exploratorio","Revisión / posible primaria exploratoria",IF(AK29="No seleccionable","No seleccionable","Contexto no primario"))))</x:f>
      </x:c>
      <x:c r="AN29" s="69" t="str">
        <x:f>IF(A29="","",IF(AM29="Primaria propuesta",IF(AH29&gt;=75,"40+20 probable",IF(AH29&gt;=55,"40 base + causales selectivas","40 base + probes mínimos")),IF(AM29="Revisión / posible primaria exploratoria","B0/B0.5 reconstrucción antes de Runtime","No abre Runtime profundo")))</x:f>
      </x:c>
      <x:c r="AO29" s="69" t="str">
        <x:f>IF(A29="","",IF(Z29="BLOQUEADA","No probe",IF(AH29&gt;=75,"Alta",IF(AH29&gt;=55,"Media",IF(Z29="REVISIÓN","Exploratoria","Baja")))))</x:f>
      </x:c>
      <x:c r="AP29" s="69" t="str">
        <x:f>IF(A29="","",IF(M29="","unknown",IF(M29&gt;=2,"Prometedora","Débil / validar en B0.5-B1")))</x:f>
      </x:c>
      <x:c r="AQ29" s="69" t="str">
        <x:f>IF(A29="","",IF(N29="","unknown",IF(N29&gt;=2,"Prometedora","Débil / validar en B2")))</x:f>
      </x:c>
      <x:c r="AR29" s="69" t="str">
        <x:f>IF(A29="","",IF(O29="","unknown",IF(O29&gt;=2,"Prometedora","Débil / validar en B3-B4")))</x:f>
      </x:c>
      <x:c r="AS29" s="69" t="str">
        <x:f>IF(A29="","",IF(P29="","unknown",IF(P29&gt;=2,"Prometedora","Débil / validar en B2-B4")))</x:f>
      </x:c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 t="str">
        <x:f>IF(A30="","",COUNTBLANK(M30:P30))</x:f>
      </x:c>
      <x:c r="Z30" s="69" t="str">
        <x:f>IF(A30="","",IF(OR(E30="",G30="No",H30="No",I30="Responsabilidad genérica",I30="Demasiado amplia",I30="Microtarea",J30="Duplicado evidente"),"BLOQUEADA",IF(OR(I30="Ambigua",L30&lt;1,K30&lt;1),"REVISIÓN","ELEGIBLE")))</x:f>
      </x:c>
      <x:c r="AA30" s="69" t="str">
        <x:f>IF(A30="","",IF(Z30="BLOQUEADA",0,ROUND(100*(IF(M30="",1.5,M30)+IF(N30="",1.5,N30)+IF(O30="",1.5,O30)+IF(P30="",1.5,P30))/12,1)))</x:f>
      </x:c>
      <x:c r="AB30" s="69" t="str">
        <x:f>IF(A30="","",IF(Z30="BLOQUEADA",0,ROUND(100*IF(Q30="",1.5,Q30)/3,1)))</x:f>
      </x:c>
      <x:c r="AC30" s="69" t="str">
        <x:f>IF(A30="","",IF(Z30="BLOQUEADA",0,ROUND(100*IF(R30="",1.5,R30)/3,1)))</x:f>
      </x:c>
      <x:c r="AD30" s="69" t="str">
        <x:f>IF(A30="","",IF(Z30="BLOQUEADA",0,ROUND(100*IF(S30="",1.5,S30)/3,1)))</x:f>
      </x:c>
      <x:c r="AE30" s="69" t="str">
        <x:f>IF(A30="","",IF(Z30="BLOQUEADA",0,ROUND(100*IF(T30="",1.5,T30)/3,1)))</x:f>
      </x:c>
      <x:c r="AF30" s="69" t="str">
        <x:f>IF(A30="","",IF(Z30="BLOQUEADA",0,ROUND(100*IF(U30="",1.5,U30)/3,1)))</x:f>
      </x:c>
      <x:c r="AG30" s="69" t="str">
        <x:f>IF(A30="","",ROUND(IF(Z30="BLOQUEADA",100,(X30*10)+(V30*8)+(W30*8)),1))</x:f>
      </x:c>
      <x:c r="AH30" s="69" t="str">
        <x:f>IF(A30="","",IF(Z30="BLOQUEADA",0,MAX(0,ROUND(0.30*AA30+0.20*AB30+0.15*AC30+0.15*AD30+0.10*AE30+0.10*AF30-AG30,1))))</x:f>
      </x:c>
      <x:c r="AI30" s="69" t="str">
        <x:f>IF(A30="","",IF(Z30="ELEGIBLE",RANK.EQ(AH30,$AH$2:$AH$201,0),""))</x:f>
      </x:c>
      <x:c r="AJ30" s="69" t="str">
        <x:f>IF(A30="","",IF(Z30="BLOQUEADA","No aplica",IF(Z30="REVISIÓN","Slot 8 posible: exploratorio",IF(AI30&lt;=5,"Slot 1-5: alto potencial",IF(R30&gt;=2.5,"Slot 6: handoff/dependencia",IF(S30&gt;=2.5,"Slot 7: transformación/objeto",IF(AND(K30&gt;=1,U30&gt;=2),"Slot 8 posible: exploratorio","Backlog/contexto")))))))</x:f>
      </x:c>
      <x:c r="AK30" s="69" t="str">
        <x:f>IF(A30="","",IF(Z30="BLOQUEADA","No seleccionable",IF(Z30="REVISIÓN","Revisión para slot exploratorio",IF(AI30&lt;=8,"Primaria propuesta","Contexto no primario"))))</x:f>
      </x:c>
      <x:c r="AL30" s="69" t="str">
        <x:f>IF(A30="","",IF(OR(Z30="REVISIÓN",Y30&gt;=3,V30&gt;=2),"Sí","No"))</x:f>
      </x:c>
      <x:c r="AM30" s="69" t="str">
        <x:f>IF(A30="","",IF(AK30="Primaria propuesta","Primaria propuesta",IF(AK30="Revisión para slot exploratorio","Revisión / posible primaria exploratoria",IF(AK30="No seleccionable","No seleccionable","Contexto no primario"))))</x:f>
      </x:c>
      <x:c r="AN30" s="69" t="str">
        <x:f>IF(A30="","",IF(AM30="Primaria propuesta",IF(AH30&gt;=75,"40+20 probable",IF(AH30&gt;=55,"40 base + causales selectivas","40 base + probes mínimos")),IF(AM30="Revisión / posible primaria exploratoria","B0/B0.5 reconstrucción antes de Runtime","No abre Runtime profundo")))</x:f>
      </x:c>
      <x:c r="AO30" s="69" t="str">
        <x:f>IF(A30="","",IF(Z30="BLOQUEADA","No probe",IF(AH30&gt;=75,"Alta",IF(AH30&gt;=55,"Media",IF(Z30="REVISIÓN","Exploratoria","Baja")))))</x:f>
      </x:c>
      <x:c r="AP30" s="69" t="str">
        <x:f>IF(A30="","",IF(M30="","unknown",IF(M30&gt;=2,"Prometedora","Débil / validar en B0.5-B1")))</x:f>
      </x:c>
      <x:c r="AQ30" s="69" t="str">
        <x:f>IF(A30="","",IF(N30="","unknown",IF(N30&gt;=2,"Prometedora","Débil / validar en B2")))</x:f>
      </x:c>
      <x:c r="AR30" s="69" t="str">
        <x:f>IF(A30="","",IF(O30="","unknown",IF(O30&gt;=2,"Prometedora","Débil / validar en B3-B4")))</x:f>
      </x:c>
      <x:c r="AS30" s="69" t="str">
        <x:f>IF(A30="","",IF(P30="","unknown",IF(P30&gt;=2,"Prometedora","Débil / validar en B2-B4")))</x:f>
      </x:c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 t="str">
        <x:f>IF(A31="","",COUNTBLANK(M31:P31))</x:f>
      </x:c>
      <x:c r="Z31" s="69" t="str">
        <x:f>IF(A31="","",IF(OR(E31="",G31="No",H31="No",I31="Responsabilidad genérica",I31="Demasiado amplia",I31="Microtarea",J31="Duplicado evidente"),"BLOQUEADA",IF(OR(I31="Ambigua",L31&lt;1,K31&lt;1),"REVISIÓN","ELEGIBLE")))</x:f>
      </x:c>
      <x:c r="AA31" s="69" t="str">
        <x:f>IF(A31="","",IF(Z31="BLOQUEADA",0,ROUND(100*(IF(M31="",1.5,M31)+IF(N31="",1.5,N31)+IF(O31="",1.5,O31)+IF(P31="",1.5,P31))/12,1)))</x:f>
      </x:c>
      <x:c r="AB31" s="69" t="str">
        <x:f>IF(A31="","",IF(Z31="BLOQUEADA",0,ROUND(100*IF(Q31="",1.5,Q31)/3,1)))</x:f>
      </x:c>
      <x:c r="AC31" s="69" t="str">
        <x:f>IF(A31="","",IF(Z31="BLOQUEADA",0,ROUND(100*IF(R31="",1.5,R31)/3,1)))</x:f>
      </x:c>
      <x:c r="AD31" s="69" t="str">
        <x:f>IF(A31="","",IF(Z31="BLOQUEADA",0,ROUND(100*IF(S31="",1.5,S31)/3,1)))</x:f>
      </x:c>
      <x:c r="AE31" s="69" t="str">
        <x:f>IF(A31="","",IF(Z31="BLOQUEADA",0,ROUND(100*IF(T31="",1.5,T31)/3,1)))</x:f>
      </x:c>
      <x:c r="AF31" s="69" t="str">
        <x:f>IF(A31="","",IF(Z31="BLOQUEADA",0,ROUND(100*IF(U31="",1.5,U31)/3,1)))</x:f>
      </x:c>
      <x:c r="AG31" s="69" t="str">
        <x:f>IF(A31="","",ROUND(IF(Z31="BLOQUEADA",100,(X31*10)+(V31*8)+(W31*8)),1))</x:f>
      </x:c>
      <x:c r="AH31" s="69" t="str">
        <x:f>IF(A31="","",IF(Z31="BLOQUEADA",0,MAX(0,ROUND(0.30*AA31+0.20*AB31+0.15*AC31+0.15*AD31+0.10*AE31+0.10*AF31-AG31,1))))</x:f>
      </x:c>
      <x:c r="AI31" s="69" t="str">
        <x:f>IF(A31="","",IF(Z31="ELEGIBLE",RANK.EQ(AH31,$AH$2:$AH$201,0),""))</x:f>
      </x:c>
      <x:c r="AJ31" s="69" t="str">
        <x:f>IF(A31="","",IF(Z31="BLOQUEADA","No aplica",IF(Z31="REVISIÓN","Slot 8 posible: exploratorio",IF(AI31&lt;=5,"Slot 1-5: alto potencial",IF(R31&gt;=2.5,"Slot 6: handoff/dependencia",IF(S31&gt;=2.5,"Slot 7: transformación/objeto",IF(AND(K31&gt;=1,U31&gt;=2),"Slot 8 posible: exploratorio","Backlog/contexto")))))))</x:f>
      </x:c>
      <x:c r="AK31" s="69" t="str">
        <x:f>IF(A31="","",IF(Z31="BLOQUEADA","No seleccionable",IF(Z31="REVISIÓN","Revisión para slot exploratorio",IF(AI31&lt;=8,"Primaria propuesta","Contexto no primario"))))</x:f>
      </x:c>
      <x:c r="AL31" s="69" t="str">
        <x:f>IF(A31="","",IF(OR(Z31="REVISIÓN",Y31&gt;=3,V31&gt;=2),"Sí","No"))</x:f>
      </x:c>
      <x:c r="AM31" s="69" t="str">
        <x:f>IF(A31="","",IF(AK31="Primaria propuesta","Primaria propuesta",IF(AK31="Revisión para slot exploratorio","Revisión / posible primaria exploratoria",IF(AK31="No seleccionable","No seleccionable","Contexto no primario"))))</x:f>
      </x:c>
      <x:c r="AN31" s="69" t="str">
        <x:f>IF(A31="","",IF(AM31="Primaria propuesta",IF(AH31&gt;=75,"40+20 probable",IF(AH31&gt;=55,"40 base + causales selectivas","40 base + probes mínimos")),IF(AM31="Revisión / posible primaria exploratoria","B0/B0.5 reconstrucción antes de Runtime","No abre Runtime profundo")))</x:f>
      </x:c>
      <x:c r="AO31" s="69" t="str">
        <x:f>IF(A31="","",IF(Z31="BLOQUEADA","No probe",IF(AH31&gt;=75,"Alta",IF(AH31&gt;=55,"Media",IF(Z31="REVISIÓN","Exploratoria","Baja")))))</x:f>
      </x:c>
      <x:c r="AP31" s="69" t="str">
        <x:f>IF(A31="","",IF(M31="","unknown",IF(M31&gt;=2,"Prometedora","Débil / validar en B0.5-B1")))</x:f>
      </x:c>
      <x:c r="AQ31" s="69" t="str">
        <x:f>IF(A31="","",IF(N31="","unknown",IF(N31&gt;=2,"Prometedora","Débil / validar en B2")))</x:f>
      </x:c>
      <x:c r="AR31" s="69" t="str">
        <x:f>IF(A31="","",IF(O31="","unknown",IF(O31&gt;=2,"Prometedora","Débil / validar en B3-B4")))</x:f>
      </x:c>
      <x:c r="AS31" s="69" t="str">
        <x:f>IF(A31="","",IF(P31="","unknown",IF(P31&gt;=2,"Prometedora","Débil / validar en B2-B4")))</x:f>
      </x:c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 t="str">
        <x:f>IF(A32="","",COUNTBLANK(M32:P32))</x:f>
      </x:c>
      <x:c r="Z32" s="69" t="str">
        <x:f>IF(A32="","",IF(OR(E32="",G32="No",H32="No",I32="Responsabilidad genérica",I32="Demasiado amplia",I32="Microtarea",J32="Duplicado evidente"),"BLOQUEADA",IF(OR(I32="Ambigua",L32&lt;1,K32&lt;1),"REVISIÓN","ELEGIBLE")))</x:f>
      </x:c>
      <x:c r="AA32" s="69" t="str">
        <x:f>IF(A32="","",IF(Z32="BLOQUEADA",0,ROUND(100*(IF(M32="",1.5,M32)+IF(N32="",1.5,N32)+IF(O32="",1.5,O32)+IF(P32="",1.5,P32))/12,1)))</x:f>
      </x:c>
      <x:c r="AB32" s="69" t="str">
        <x:f>IF(A32="","",IF(Z32="BLOQUEADA",0,ROUND(100*IF(Q32="",1.5,Q32)/3,1)))</x:f>
      </x:c>
      <x:c r="AC32" s="69" t="str">
        <x:f>IF(A32="","",IF(Z32="BLOQUEADA",0,ROUND(100*IF(R32="",1.5,R32)/3,1)))</x:f>
      </x:c>
      <x:c r="AD32" s="69" t="str">
        <x:f>IF(A32="","",IF(Z32="BLOQUEADA",0,ROUND(100*IF(S32="",1.5,S32)/3,1)))</x:f>
      </x:c>
      <x:c r="AE32" s="69" t="str">
        <x:f>IF(A32="","",IF(Z32="BLOQUEADA",0,ROUND(100*IF(T32="",1.5,T32)/3,1)))</x:f>
      </x:c>
      <x:c r="AF32" s="69" t="str">
        <x:f>IF(A32="","",IF(Z32="BLOQUEADA",0,ROUND(100*IF(U32="",1.5,U32)/3,1)))</x:f>
      </x:c>
      <x:c r="AG32" s="69" t="str">
        <x:f>IF(A32="","",ROUND(IF(Z32="BLOQUEADA",100,(X32*10)+(V32*8)+(W32*8)),1))</x:f>
      </x:c>
      <x:c r="AH32" s="69" t="str">
        <x:f>IF(A32="","",IF(Z32="BLOQUEADA",0,MAX(0,ROUND(0.30*AA32+0.20*AB32+0.15*AC32+0.15*AD32+0.10*AE32+0.10*AF32-AG32,1))))</x:f>
      </x:c>
      <x:c r="AI32" s="69" t="str">
        <x:f>IF(A32="","",IF(Z32="ELEGIBLE",RANK.EQ(AH32,$AH$2:$AH$201,0),""))</x:f>
      </x:c>
      <x:c r="AJ32" s="69" t="str">
        <x:f>IF(A32="","",IF(Z32="BLOQUEADA","No aplica",IF(Z32="REVISIÓN","Slot 8 posible: exploratorio",IF(AI32&lt;=5,"Slot 1-5: alto potencial",IF(R32&gt;=2.5,"Slot 6: handoff/dependencia",IF(S32&gt;=2.5,"Slot 7: transformación/objeto",IF(AND(K32&gt;=1,U32&gt;=2),"Slot 8 posible: exploratorio","Backlog/contexto")))))))</x:f>
      </x:c>
      <x:c r="AK32" s="69" t="str">
        <x:f>IF(A32="","",IF(Z32="BLOQUEADA","No seleccionable",IF(Z32="REVISIÓN","Revisión para slot exploratorio",IF(AI32&lt;=8,"Primaria propuesta","Contexto no primario"))))</x:f>
      </x:c>
      <x:c r="AL32" s="69" t="str">
        <x:f>IF(A32="","",IF(OR(Z32="REVISIÓN",Y32&gt;=3,V32&gt;=2),"Sí","No"))</x:f>
      </x:c>
      <x:c r="AM32" s="69" t="str">
        <x:f>IF(A32="","",IF(AK32="Primaria propuesta","Primaria propuesta",IF(AK32="Revisión para slot exploratorio","Revisión / posible primaria exploratoria",IF(AK32="No seleccionable","No seleccionable","Contexto no primario"))))</x:f>
      </x:c>
      <x:c r="AN32" s="69" t="str">
        <x:f>IF(A32="","",IF(AM32="Primaria propuesta",IF(AH32&gt;=75,"40+20 probable",IF(AH32&gt;=55,"40 base + causales selectivas","40 base + probes mínimos")),IF(AM32="Revisión / posible primaria exploratoria","B0/B0.5 reconstrucción antes de Runtime","No abre Runtime profundo")))</x:f>
      </x:c>
      <x:c r="AO32" s="69" t="str">
        <x:f>IF(A32="","",IF(Z32="BLOQUEADA","No probe",IF(AH32&gt;=75,"Alta",IF(AH32&gt;=55,"Media",IF(Z32="REVISIÓN","Exploratoria","Baja")))))</x:f>
      </x:c>
      <x:c r="AP32" s="69" t="str">
        <x:f>IF(A32="","",IF(M32="","unknown",IF(M32&gt;=2,"Prometedora","Débil / validar en B0.5-B1")))</x:f>
      </x:c>
      <x:c r="AQ32" s="69" t="str">
        <x:f>IF(A32="","",IF(N32="","unknown",IF(N32&gt;=2,"Prometedora","Débil / validar en B2")))</x:f>
      </x:c>
      <x:c r="AR32" s="69" t="str">
        <x:f>IF(A32="","",IF(O32="","unknown",IF(O32&gt;=2,"Prometedora","Débil / validar en B3-B4")))</x:f>
      </x:c>
      <x:c r="AS32" s="69" t="str">
        <x:f>IF(A32="","",IF(P32="","unknown",IF(P32&gt;=2,"Prometedora","Débil / validar en B2-B4")))</x:f>
      </x:c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 t="str">
        <x:f>IF(A33="","",COUNTBLANK(M33:P33))</x:f>
      </x:c>
      <x:c r="Z33" s="69" t="str">
        <x:f>IF(A33="","",IF(OR(E33="",G33="No",H33="No",I33="Responsabilidad genérica",I33="Demasiado amplia",I33="Microtarea",J33="Duplicado evidente"),"BLOQUEADA",IF(OR(I33="Ambigua",L33&lt;1,K33&lt;1),"REVISIÓN","ELEGIBLE")))</x:f>
      </x:c>
      <x:c r="AA33" s="69" t="str">
        <x:f>IF(A33="","",IF(Z33="BLOQUEADA",0,ROUND(100*(IF(M33="",1.5,M33)+IF(N33="",1.5,N33)+IF(O33="",1.5,O33)+IF(P33="",1.5,P33))/12,1)))</x:f>
      </x:c>
      <x:c r="AB33" s="69" t="str">
        <x:f>IF(A33="","",IF(Z33="BLOQUEADA",0,ROUND(100*IF(Q33="",1.5,Q33)/3,1)))</x:f>
      </x:c>
      <x:c r="AC33" s="69" t="str">
        <x:f>IF(A33="","",IF(Z33="BLOQUEADA",0,ROUND(100*IF(R33="",1.5,R33)/3,1)))</x:f>
      </x:c>
      <x:c r="AD33" s="69" t="str">
        <x:f>IF(A33="","",IF(Z33="BLOQUEADA",0,ROUND(100*IF(S33="",1.5,S33)/3,1)))</x:f>
      </x:c>
      <x:c r="AE33" s="69" t="str">
        <x:f>IF(A33="","",IF(Z33="BLOQUEADA",0,ROUND(100*IF(T33="",1.5,T33)/3,1)))</x:f>
      </x:c>
      <x:c r="AF33" s="69" t="str">
        <x:f>IF(A33="","",IF(Z33="BLOQUEADA",0,ROUND(100*IF(U33="",1.5,U33)/3,1)))</x:f>
      </x:c>
      <x:c r="AG33" s="69" t="str">
        <x:f>IF(A33="","",ROUND(IF(Z33="BLOQUEADA",100,(X33*10)+(V33*8)+(W33*8)),1))</x:f>
      </x:c>
      <x:c r="AH33" s="69" t="str">
        <x:f>IF(A33="","",IF(Z33="BLOQUEADA",0,MAX(0,ROUND(0.30*AA33+0.20*AB33+0.15*AC33+0.15*AD33+0.10*AE33+0.10*AF33-AG33,1))))</x:f>
      </x:c>
      <x:c r="AI33" s="69" t="str">
        <x:f>IF(A33="","",IF(Z33="ELEGIBLE",RANK.EQ(AH33,$AH$2:$AH$201,0),""))</x:f>
      </x:c>
      <x:c r="AJ33" s="69" t="str">
        <x:f>IF(A33="","",IF(Z33="BLOQUEADA","No aplica",IF(Z33="REVISIÓN","Slot 8 posible: exploratorio",IF(AI33&lt;=5,"Slot 1-5: alto potencial",IF(R33&gt;=2.5,"Slot 6: handoff/dependencia",IF(S33&gt;=2.5,"Slot 7: transformación/objeto",IF(AND(K33&gt;=1,U33&gt;=2),"Slot 8 posible: exploratorio","Backlog/contexto")))))))</x:f>
      </x:c>
      <x:c r="AK33" s="69" t="str">
        <x:f>IF(A33="","",IF(Z33="BLOQUEADA","No seleccionable",IF(Z33="REVISIÓN","Revisión para slot exploratorio",IF(AI33&lt;=8,"Primaria propuesta","Contexto no primario"))))</x:f>
      </x:c>
      <x:c r="AL33" s="69" t="str">
        <x:f>IF(A33="","",IF(OR(Z33="REVISIÓN",Y33&gt;=3,V33&gt;=2),"Sí","No"))</x:f>
      </x:c>
      <x:c r="AM33" s="69" t="str">
        <x:f>IF(A33="","",IF(AK33="Primaria propuesta","Primaria propuesta",IF(AK33="Revisión para slot exploratorio","Revisión / posible primaria exploratoria",IF(AK33="No seleccionable","No seleccionable","Contexto no primario"))))</x:f>
      </x:c>
      <x:c r="AN33" s="69" t="str">
        <x:f>IF(A33="","",IF(AM33="Primaria propuesta",IF(AH33&gt;=75,"40+20 probable",IF(AH33&gt;=55,"40 base + causales selectivas","40 base + probes mínimos")),IF(AM33="Revisión / posible primaria exploratoria","B0/B0.5 reconstrucción antes de Runtime","No abre Runtime profundo")))</x:f>
      </x:c>
      <x:c r="AO33" s="69" t="str">
        <x:f>IF(A33="","",IF(Z33="BLOQUEADA","No probe",IF(AH33&gt;=75,"Alta",IF(AH33&gt;=55,"Media",IF(Z33="REVISIÓN","Exploratoria","Baja")))))</x:f>
      </x:c>
      <x:c r="AP33" s="69" t="str">
        <x:f>IF(A33="","",IF(M33="","unknown",IF(M33&gt;=2,"Prometedora","Débil / validar en B0.5-B1")))</x:f>
      </x:c>
      <x:c r="AQ33" s="69" t="str">
        <x:f>IF(A33="","",IF(N33="","unknown",IF(N33&gt;=2,"Prometedora","Débil / validar en B2")))</x:f>
      </x:c>
      <x:c r="AR33" s="69" t="str">
        <x:f>IF(A33="","",IF(O33="","unknown",IF(O33&gt;=2,"Prometedora","Débil / validar en B3-B4")))</x:f>
      </x:c>
      <x:c r="AS33" s="69" t="str">
        <x:f>IF(A33="","",IF(P33="","unknown",IF(P33&gt;=2,"Prometedora","Débil / validar en B2-B4")))</x:f>
      </x:c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 t="str">
        <x:f>IF(A34="","",COUNTBLANK(M34:P34))</x:f>
      </x:c>
      <x:c r="Z34" s="69" t="str">
        <x:f>IF(A34="","",IF(OR(E34="",G34="No",H34="No",I34="Responsabilidad genérica",I34="Demasiado amplia",I34="Microtarea",J34="Duplicado evidente"),"BLOQUEADA",IF(OR(I34="Ambigua",L34&lt;1,K34&lt;1),"REVISIÓN","ELEGIBLE")))</x:f>
      </x:c>
      <x:c r="AA34" s="69" t="str">
        <x:f>IF(A34="","",IF(Z34="BLOQUEADA",0,ROUND(100*(IF(M34="",1.5,M34)+IF(N34="",1.5,N34)+IF(O34="",1.5,O34)+IF(P34="",1.5,P34))/12,1)))</x:f>
      </x:c>
      <x:c r="AB34" s="69" t="str">
        <x:f>IF(A34="","",IF(Z34="BLOQUEADA",0,ROUND(100*IF(Q34="",1.5,Q34)/3,1)))</x:f>
      </x:c>
      <x:c r="AC34" s="69" t="str">
        <x:f>IF(A34="","",IF(Z34="BLOQUEADA",0,ROUND(100*IF(R34="",1.5,R34)/3,1)))</x:f>
      </x:c>
      <x:c r="AD34" s="69" t="str">
        <x:f>IF(A34="","",IF(Z34="BLOQUEADA",0,ROUND(100*IF(S34="",1.5,S34)/3,1)))</x:f>
      </x:c>
      <x:c r="AE34" s="69" t="str">
        <x:f>IF(A34="","",IF(Z34="BLOQUEADA",0,ROUND(100*IF(T34="",1.5,T34)/3,1)))</x:f>
      </x:c>
      <x:c r="AF34" s="69" t="str">
        <x:f>IF(A34="","",IF(Z34="BLOQUEADA",0,ROUND(100*IF(U34="",1.5,U34)/3,1)))</x:f>
      </x:c>
      <x:c r="AG34" s="69" t="str">
        <x:f>IF(A34="","",ROUND(IF(Z34="BLOQUEADA",100,(X34*10)+(V34*8)+(W34*8)),1))</x:f>
      </x:c>
      <x:c r="AH34" s="69" t="str">
        <x:f>IF(A34="","",IF(Z34="BLOQUEADA",0,MAX(0,ROUND(0.30*AA34+0.20*AB34+0.15*AC34+0.15*AD34+0.10*AE34+0.10*AF34-AG34,1))))</x:f>
      </x:c>
      <x:c r="AI34" s="69" t="str">
        <x:f>IF(A34="","",IF(Z34="ELEGIBLE",RANK.EQ(AH34,$AH$2:$AH$201,0),""))</x:f>
      </x:c>
      <x:c r="AJ34" s="69" t="str">
        <x:f>IF(A34="","",IF(Z34="BLOQUEADA","No aplica",IF(Z34="REVISIÓN","Slot 8 posible: exploratorio",IF(AI34&lt;=5,"Slot 1-5: alto potencial",IF(R34&gt;=2.5,"Slot 6: handoff/dependencia",IF(S34&gt;=2.5,"Slot 7: transformación/objeto",IF(AND(K34&gt;=1,U34&gt;=2),"Slot 8 posible: exploratorio","Backlog/contexto")))))))</x:f>
      </x:c>
      <x:c r="AK34" s="69" t="str">
        <x:f>IF(A34="","",IF(Z34="BLOQUEADA","No seleccionable",IF(Z34="REVISIÓN","Revisión para slot exploratorio",IF(AI34&lt;=8,"Primaria propuesta","Contexto no primario"))))</x:f>
      </x:c>
      <x:c r="AL34" s="69" t="str">
        <x:f>IF(A34="","",IF(OR(Z34="REVISIÓN",Y34&gt;=3,V34&gt;=2),"Sí","No"))</x:f>
      </x:c>
      <x:c r="AM34" s="69" t="str">
        <x:f>IF(A34="","",IF(AK34="Primaria propuesta","Primaria propuesta",IF(AK34="Revisión para slot exploratorio","Revisión / posible primaria exploratoria",IF(AK34="No seleccionable","No seleccionable","Contexto no primario"))))</x:f>
      </x:c>
      <x:c r="AN34" s="69" t="str">
        <x:f>IF(A34="","",IF(AM34="Primaria propuesta",IF(AH34&gt;=75,"40+20 probable",IF(AH34&gt;=55,"40 base + causales selectivas","40 base + probes mínimos")),IF(AM34="Revisión / posible primaria exploratoria","B0/B0.5 reconstrucción antes de Runtime","No abre Runtime profundo")))</x:f>
      </x:c>
      <x:c r="AO34" s="69" t="str">
        <x:f>IF(A34="","",IF(Z34="BLOQUEADA","No probe",IF(AH34&gt;=75,"Alta",IF(AH34&gt;=55,"Media",IF(Z34="REVISIÓN","Exploratoria","Baja")))))</x:f>
      </x:c>
      <x:c r="AP34" s="69" t="str">
        <x:f>IF(A34="","",IF(M34="","unknown",IF(M34&gt;=2,"Prometedora","Débil / validar en B0.5-B1")))</x:f>
      </x:c>
      <x:c r="AQ34" s="69" t="str">
        <x:f>IF(A34="","",IF(N34="","unknown",IF(N34&gt;=2,"Prometedora","Débil / validar en B2")))</x:f>
      </x:c>
      <x:c r="AR34" s="69" t="str">
        <x:f>IF(A34="","",IF(O34="","unknown",IF(O34&gt;=2,"Prometedora","Débil / validar en B3-B4")))</x:f>
      </x:c>
      <x:c r="AS34" s="69" t="str">
        <x:f>IF(A34="","",IF(P34="","unknown",IF(P34&gt;=2,"Prometedora","Débil / validar en B2-B4")))</x:f>
      </x:c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 t="str">
        <x:f>IF(A35="","",COUNTBLANK(M35:P35))</x:f>
      </x:c>
      <x:c r="Z35" s="69" t="str">
        <x:f>IF(A35="","",IF(OR(E35="",G35="No",H35="No",I35="Responsabilidad genérica",I35="Demasiado amplia",I35="Microtarea",J35="Duplicado evidente"),"BLOQUEADA",IF(OR(I35="Ambigua",L35&lt;1,K35&lt;1),"REVISIÓN","ELEGIBLE")))</x:f>
      </x:c>
      <x:c r="AA35" s="69" t="str">
        <x:f>IF(A35="","",IF(Z35="BLOQUEADA",0,ROUND(100*(IF(M35="",1.5,M35)+IF(N35="",1.5,N35)+IF(O35="",1.5,O35)+IF(P35="",1.5,P35))/12,1)))</x:f>
      </x:c>
      <x:c r="AB35" s="69" t="str">
        <x:f>IF(A35="","",IF(Z35="BLOQUEADA",0,ROUND(100*IF(Q35="",1.5,Q35)/3,1)))</x:f>
      </x:c>
      <x:c r="AC35" s="69" t="str">
        <x:f>IF(A35="","",IF(Z35="BLOQUEADA",0,ROUND(100*IF(R35="",1.5,R35)/3,1)))</x:f>
      </x:c>
      <x:c r="AD35" s="69" t="str">
        <x:f>IF(A35="","",IF(Z35="BLOQUEADA",0,ROUND(100*IF(S35="",1.5,S35)/3,1)))</x:f>
      </x:c>
      <x:c r="AE35" s="69" t="str">
        <x:f>IF(A35="","",IF(Z35="BLOQUEADA",0,ROUND(100*IF(T35="",1.5,T35)/3,1)))</x:f>
      </x:c>
      <x:c r="AF35" s="69" t="str">
        <x:f>IF(A35="","",IF(Z35="BLOQUEADA",0,ROUND(100*IF(U35="",1.5,U35)/3,1)))</x:f>
      </x:c>
      <x:c r="AG35" s="69" t="str">
        <x:f>IF(A35="","",ROUND(IF(Z35="BLOQUEADA",100,(X35*10)+(V35*8)+(W35*8)),1))</x:f>
      </x:c>
      <x:c r="AH35" s="69" t="str">
        <x:f>IF(A35="","",IF(Z35="BLOQUEADA",0,MAX(0,ROUND(0.30*AA35+0.20*AB35+0.15*AC35+0.15*AD35+0.10*AE35+0.10*AF35-AG35,1))))</x:f>
      </x:c>
      <x:c r="AI35" s="69" t="str">
        <x:f>IF(A35="","",IF(Z35="ELEGIBLE",RANK.EQ(AH35,$AH$2:$AH$201,0),""))</x:f>
      </x:c>
      <x:c r="AJ35" s="69" t="str">
        <x:f>IF(A35="","",IF(Z35="BLOQUEADA","No aplica",IF(Z35="REVISIÓN","Slot 8 posible: exploratorio",IF(AI35&lt;=5,"Slot 1-5: alto potencial",IF(R35&gt;=2.5,"Slot 6: handoff/dependencia",IF(S35&gt;=2.5,"Slot 7: transformación/objeto",IF(AND(K35&gt;=1,U35&gt;=2),"Slot 8 posible: exploratorio","Backlog/contexto")))))))</x:f>
      </x:c>
      <x:c r="AK35" s="69" t="str">
        <x:f>IF(A35="","",IF(Z35="BLOQUEADA","No seleccionable",IF(Z35="REVISIÓN","Revisión para slot exploratorio",IF(AI35&lt;=8,"Primaria propuesta","Contexto no primario"))))</x:f>
      </x:c>
      <x:c r="AL35" s="69" t="str">
        <x:f>IF(A35="","",IF(OR(Z35="REVISIÓN",Y35&gt;=3,V35&gt;=2),"Sí","No"))</x:f>
      </x:c>
      <x:c r="AM35" s="69" t="str">
        <x:f>IF(A35="","",IF(AK35="Primaria propuesta","Primaria propuesta",IF(AK35="Revisión para slot exploratorio","Revisión / posible primaria exploratoria",IF(AK35="No seleccionable","No seleccionable","Contexto no primario"))))</x:f>
      </x:c>
      <x:c r="AN35" s="69" t="str">
        <x:f>IF(A35="","",IF(AM35="Primaria propuesta",IF(AH35&gt;=75,"40+20 probable",IF(AH35&gt;=55,"40 base + causales selectivas","40 base + probes mínimos")),IF(AM35="Revisión / posible primaria exploratoria","B0/B0.5 reconstrucción antes de Runtime","No abre Runtime profundo")))</x:f>
      </x:c>
      <x:c r="AO35" s="69" t="str">
        <x:f>IF(A35="","",IF(Z35="BLOQUEADA","No probe",IF(AH35&gt;=75,"Alta",IF(AH35&gt;=55,"Media",IF(Z35="REVISIÓN","Exploratoria","Baja")))))</x:f>
      </x:c>
      <x:c r="AP35" s="69" t="str">
        <x:f>IF(A35="","",IF(M35="","unknown",IF(M35&gt;=2,"Prometedora","Débil / validar en B0.5-B1")))</x:f>
      </x:c>
      <x:c r="AQ35" s="69" t="str">
        <x:f>IF(A35="","",IF(N35="","unknown",IF(N35&gt;=2,"Prometedora","Débil / validar en B2")))</x:f>
      </x:c>
      <x:c r="AR35" s="69" t="str">
        <x:f>IF(A35="","",IF(O35="","unknown",IF(O35&gt;=2,"Prometedora","Débil / validar en B3-B4")))</x:f>
      </x:c>
      <x:c r="AS35" s="69" t="str">
        <x:f>IF(A35="","",IF(P35="","unknown",IF(P35&gt;=2,"Prometedora","Débil / validar en B2-B4")))</x:f>
      </x:c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 t="str">
        <x:f>IF(A36="","",COUNTBLANK(M36:P36))</x:f>
      </x:c>
      <x:c r="Z36" s="69" t="str">
        <x:f>IF(A36="","",IF(OR(E36="",G36="No",H36="No",I36="Responsabilidad genérica",I36="Demasiado amplia",I36="Microtarea",J36="Duplicado evidente"),"BLOQUEADA",IF(OR(I36="Ambigua",L36&lt;1,K36&lt;1),"REVISIÓN","ELEGIBLE")))</x:f>
      </x:c>
      <x:c r="AA36" s="69" t="str">
        <x:f>IF(A36="","",IF(Z36="BLOQUEADA",0,ROUND(100*(IF(M36="",1.5,M36)+IF(N36="",1.5,N36)+IF(O36="",1.5,O36)+IF(P36="",1.5,P36))/12,1)))</x:f>
      </x:c>
      <x:c r="AB36" s="69" t="str">
        <x:f>IF(A36="","",IF(Z36="BLOQUEADA",0,ROUND(100*IF(Q36="",1.5,Q36)/3,1)))</x:f>
      </x:c>
      <x:c r="AC36" s="69" t="str">
        <x:f>IF(A36="","",IF(Z36="BLOQUEADA",0,ROUND(100*IF(R36="",1.5,R36)/3,1)))</x:f>
      </x:c>
      <x:c r="AD36" s="69" t="str">
        <x:f>IF(A36="","",IF(Z36="BLOQUEADA",0,ROUND(100*IF(S36="",1.5,S36)/3,1)))</x:f>
      </x:c>
      <x:c r="AE36" s="69" t="str">
        <x:f>IF(A36="","",IF(Z36="BLOQUEADA",0,ROUND(100*IF(T36="",1.5,T36)/3,1)))</x:f>
      </x:c>
      <x:c r="AF36" s="69" t="str">
        <x:f>IF(A36="","",IF(Z36="BLOQUEADA",0,ROUND(100*IF(U36="",1.5,U36)/3,1)))</x:f>
      </x:c>
      <x:c r="AG36" s="69" t="str">
        <x:f>IF(A36="","",ROUND(IF(Z36="BLOQUEADA",100,(X36*10)+(V36*8)+(W36*8)),1))</x:f>
      </x:c>
      <x:c r="AH36" s="69" t="str">
        <x:f>IF(A36="","",IF(Z36="BLOQUEADA",0,MAX(0,ROUND(0.30*AA36+0.20*AB36+0.15*AC36+0.15*AD36+0.10*AE36+0.10*AF36-AG36,1))))</x:f>
      </x:c>
      <x:c r="AI36" s="69" t="str">
        <x:f>IF(A36="","",IF(Z36="ELEGIBLE",RANK.EQ(AH36,$AH$2:$AH$201,0),""))</x:f>
      </x:c>
      <x:c r="AJ36" s="69" t="str">
        <x:f>IF(A36="","",IF(Z36="BLOQUEADA","No aplica",IF(Z36="REVISIÓN","Slot 8 posible: exploratorio",IF(AI36&lt;=5,"Slot 1-5: alto potencial",IF(R36&gt;=2.5,"Slot 6: handoff/dependencia",IF(S36&gt;=2.5,"Slot 7: transformación/objeto",IF(AND(K36&gt;=1,U36&gt;=2),"Slot 8 posible: exploratorio","Backlog/contexto")))))))</x:f>
      </x:c>
      <x:c r="AK36" s="69" t="str">
        <x:f>IF(A36="","",IF(Z36="BLOQUEADA","No seleccionable",IF(Z36="REVISIÓN","Revisión para slot exploratorio",IF(AI36&lt;=8,"Primaria propuesta","Contexto no primario"))))</x:f>
      </x:c>
      <x:c r="AL36" s="69" t="str">
        <x:f>IF(A36="","",IF(OR(Z36="REVISIÓN",Y36&gt;=3,V36&gt;=2),"Sí","No"))</x:f>
      </x:c>
      <x:c r="AM36" s="69" t="str">
        <x:f>IF(A36="","",IF(AK36="Primaria propuesta","Primaria propuesta",IF(AK36="Revisión para slot exploratorio","Revisión / posible primaria exploratoria",IF(AK36="No seleccionable","No seleccionable","Contexto no primario"))))</x:f>
      </x:c>
      <x:c r="AN36" s="69" t="str">
        <x:f>IF(A36="","",IF(AM36="Primaria propuesta",IF(AH36&gt;=75,"40+20 probable",IF(AH36&gt;=55,"40 base + causales selectivas","40 base + probes mínimos")),IF(AM36="Revisión / posible primaria exploratoria","B0/B0.5 reconstrucción antes de Runtime","No abre Runtime profundo")))</x:f>
      </x:c>
      <x:c r="AO36" s="69" t="str">
        <x:f>IF(A36="","",IF(Z36="BLOQUEADA","No probe",IF(AH36&gt;=75,"Alta",IF(AH36&gt;=55,"Media",IF(Z36="REVISIÓN","Exploratoria","Baja")))))</x:f>
      </x:c>
      <x:c r="AP36" s="69" t="str">
        <x:f>IF(A36="","",IF(M36="","unknown",IF(M36&gt;=2,"Prometedora","Débil / validar en B0.5-B1")))</x:f>
      </x:c>
      <x:c r="AQ36" s="69" t="str">
        <x:f>IF(A36="","",IF(N36="","unknown",IF(N36&gt;=2,"Prometedora","Débil / validar en B2")))</x:f>
      </x:c>
      <x:c r="AR36" s="69" t="str">
        <x:f>IF(A36="","",IF(O36="","unknown",IF(O36&gt;=2,"Prometedora","Débil / validar en B3-B4")))</x:f>
      </x:c>
      <x:c r="AS36" s="69" t="str">
        <x:f>IF(A36="","",IF(P36="","unknown",IF(P36&gt;=2,"Prometedora","Débil / validar en B2-B4")))</x:f>
      </x:c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 t="str">
        <x:f>IF(A37="","",COUNTBLANK(M37:P37))</x:f>
      </x:c>
      <x:c r="Z37" s="69" t="str">
        <x:f>IF(A37="","",IF(OR(E37="",G37="No",H37="No",I37="Responsabilidad genérica",I37="Demasiado amplia",I37="Microtarea",J37="Duplicado evidente"),"BLOQUEADA",IF(OR(I37="Ambigua",L37&lt;1,K37&lt;1),"REVISIÓN","ELEGIBLE")))</x:f>
      </x:c>
      <x:c r="AA37" s="69" t="str">
        <x:f>IF(A37="","",IF(Z37="BLOQUEADA",0,ROUND(100*(IF(M37="",1.5,M37)+IF(N37="",1.5,N37)+IF(O37="",1.5,O37)+IF(P37="",1.5,P37))/12,1)))</x:f>
      </x:c>
      <x:c r="AB37" s="69" t="str">
        <x:f>IF(A37="","",IF(Z37="BLOQUEADA",0,ROUND(100*IF(Q37="",1.5,Q37)/3,1)))</x:f>
      </x:c>
      <x:c r="AC37" s="69" t="str">
        <x:f>IF(A37="","",IF(Z37="BLOQUEADA",0,ROUND(100*IF(R37="",1.5,R37)/3,1)))</x:f>
      </x:c>
      <x:c r="AD37" s="69" t="str">
        <x:f>IF(A37="","",IF(Z37="BLOQUEADA",0,ROUND(100*IF(S37="",1.5,S37)/3,1)))</x:f>
      </x:c>
      <x:c r="AE37" s="69" t="str">
        <x:f>IF(A37="","",IF(Z37="BLOQUEADA",0,ROUND(100*IF(T37="",1.5,T37)/3,1)))</x:f>
      </x:c>
      <x:c r="AF37" s="69" t="str">
        <x:f>IF(A37="","",IF(Z37="BLOQUEADA",0,ROUND(100*IF(U37="",1.5,U37)/3,1)))</x:f>
      </x:c>
      <x:c r="AG37" s="69" t="str">
        <x:f>IF(A37="","",ROUND(IF(Z37="BLOQUEADA",100,(X37*10)+(V37*8)+(W37*8)),1))</x:f>
      </x:c>
      <x:c r="AH37" s="69" t="str">
        <x:f>IF(A37="","",IF(Z37="BLOQUEADA",0,MAX(0,ROUND(0.30*AA37+0.20*AB37+0.15*AC37+0.15*AD37+0.10*AE37+0.10*AF37-AG37,1))))</x:f>
      </x:c>
      <x:c r="AI37" s="69" t="str">
        <x:f>IF(A37="","",IF(Z37="ELEGIBLE",RANK.EQ(AH37,$AH$2:$AH$201,0),""))</x:f>
      </x:c>
      <x:c r="AJ37" s="69" t="str">
        <x:f>IF(A37="","",IF(Z37="BLOQUEADA","No aplica",IF(Z37="REVISIÓN","Slot 8 posible: exploratorio",IF(AI37&lt;=5,"Slot 1-5: alto potencial",IF(R37&gt;=2.5,"Slot 6: handoff/dependencia",IF(S37&gt;=2.5,"Slot 7: transformación/objeto",IF(AND(K37&gt;=1,U37&gt;=2),"Slot 8 posible: exploratorio","Backlog/contexto")))))))</x:f>
      </x:c>
      <x:c r="AK37" s="69" t="str">
        <x:f>IF(A37="","",IF(Z37="BLOQUEADA","No seleccionable",IF(Z37="REVISIÓN","Revisión para slot exploratorio",IF(AI37&lt;=8,"Primaria propuesta","Contexto no primario"))))</x:f>
      </x:c>
      <x:c r="AL37" s="69" t="str">
        <x:f>IF(A37="","",IF(OR(Z37="REVISIÓN",Y37&gt;=3,V37&gt;=2),"Sí","No"))</x:f>
      </x:c>
      <x:c r="AM37" s="69" t="str">
        <x:f>IF(A37="","",IF(AK37="Primaria propuesta","Primaria propuesta",IF(AK37="Revisión para slot exploratorio","Revisión / posible primaria exploratoria",IF(AK37="No seleccionable","No seleccionable","Contexto no primario"))))</x:f>
      </x:c>
      <x:c r="AN37" s="69" t="str">
        <x:f>IF(A37="","",IF(AM37="Primaria propuesta",IF(AH37&gt;=75,"40+20 probable",IF(AH37&gt;=55,"40 base + causales selectivas","40 base + probes mínimos")),IF(AM37="Revisión / posible primaria exploratoria","B0/B0.5 reconstrucción antes de Runtime","No abre Runtime profundo")))</x:f>
      </x:c>
      <x:c r="AO37" s="69" t="str">
        <x:f>IF(A37="","",IF(Z37="BLOQUEADA","No probe",IF(AH37&gt;=75,"Alta",IF(AH37&gt;=55,"Media",IF(Z37="REVISIÓN","Exploratoria","Baja")))))</x:f>
      </x:c>
      <x:c r="AP37" s="69" t="str">
        <x:f>IF(A37="","",IF(M37="","unknown",IF(M37&gt;=2,"Prometedora","Débil / validar en B0.5-B1")))</x:f>
      </x:c>
      <x:c r="AQ37" s="69" t="str">
        <x:f>IF(A37="","",IF(N37="","unknown",IF(N37&gt;=2,"Prometedora","Débil / validar en B2")))</x:f>
      </x:c>
      <x:c r="AR37" s="69" t="str">
        <x:f>IF(A37="","",IF(O37="","unknown",IF(O37&gt;=2,"Prometedora","Débil / validar en B3-B4")))</x:f>
      </x:c>
      <x:c r="AS37" s="69" t="str">
        <x:f>IF(A37="","",IF(P37="","unknown",IF(P37&gt;=2,"Prometedora","Débil / validar en B2-B4")))</x:f>
      </x:c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 t="str">
        <x:f>IF(A38="","",COUNTBLANK(M38:P38))</x:f>
      </x:c>
      <x:c r="Z38" s="69" t="str">
        <x:f>IF(A38="","",IF(OR(E38="",G38="No",H38="No",I38="Responsabilidad genérica",I38="Demasiado amplia",I38="Microtarea",J38="Duplicado evidente"),"BLOQUEADA",IF(OR(I38="Ambigua",L38&lt;1,K38&lt;1),"REVISIÓN","ELEGIBLE")))</x:f>
      </x:c>
      <x:c r="AA38" s="69" t="str">
        <x:f>IF(A38="","",IF(Z38="BLOQUEADA",0,ROUND(100*(IF(M38="",1.5,M38)+IF(N38="",1.5,N38)+IF(O38="",1.5,O38)+IF(P38="",1.5,P38))/12,1)))</x:f>
      </x:c>
      <x:c r="AB38" s="69" t="str">
        <x:f>IF(A38="","",IF(Z38="BLOQUEADA",0,ROUND(100*IF(Q38="",1.5,Q38)/3,1)))</x:f>
      </x:c>
      <x:c r="AC38" s="69" t="str">
        <x:f>IF(A38="","",IF(Z38="BLOQUEADA",0,ROUND(100*IF(R38="",1.5,R38)/3,1)))</x:f>
      </x:c>
      <x:c r="AD38" s="69" t="str">
        <x:f>IF(A38="","",IF(Z38="BLOQUEADA",0,ROUND(100*IF(S38="",1.5,S38)/3,1)))</x:f>
      </x:c>
      <x:c r="AE38" s="69" t="str">
        <x:f>IF(A38="","",IF(Z38="BLOQUEADA",0,ROUND(100*IF(T38="",1.5,T38)/3,1)))</x:f>
      </x:c>
      <x:c r="AF38" s="69" t="str">
        <x:f>IF(A38="","",IF(Z38="BLOQUEADA",0,ROUND(100*IF(U38="",1.5,U38)/3,1)))</x:f>
      </x:c>
      <x:c r="AG38" s="69" t="str">
        <x:f>IF(A38="","",ROUND(IF(Z38="BLOQUEADA",100,(X38*10)+(V38*8)+(W38*8)),1))</x:f>
      </x:c>
      <x:c r="AH38" s="69" t="str">
        <x:f>IF(A38="","",IF(Z38="BLOQUEADA",0,MAX(0,ROUND(0.30*AA38+0.20*AB38+0.15*AC38+0.15*AD38+0.10*AE38+0.10*AF38-AG38,1))))</x:f>
      </x:c>
      <x:c r="AI38" s="69" t="str">
        <x:f>IF(A38="","",IF(Z38="ELEGIBLE",RANK.EQ(AH38,$AH$2:$AH$201,0),""))</x:f>
      </x:c>
      <x:c r="AJ38" s="69" t="str">
        <x:f>IF(A38="","",IF(Z38="BLOQUEADA","No aplica",IF(Z38="REVISIÓN","Slot 8 posible: exploratorio",IF(AI38&lt;=5,"Slot 1-5: alto potencial",IF(R38&gt;=2.5,"Slot 6: handoff/dependencia",IF(S38&gt;=2.5,"Slot 7: transformación/objeto",IF(AND(K38&gt;=1,U38&gt;=2),"Slot 8 posible: exploratorio","Backlog/contexto")))))))</x:f>
      </x:c>
      <x:c r="AK38" s="69" t="str">
        <x:f>IF(A38="","",IF(Z38="BLOQUEADA","No seleccionable",IF(Z38="REVISIÓN","Revisión para slot exploratorio",IF(AI38&lt;=8,"Primaria propuesta","Contexto no primario"))))</x:f>
      </x:c>
      <x:c r="AL38" s="69" t="str">
        <x:f>IF(A38="","",IF(OR(Z38="REVISIÓN",Y38&gt;=3,V38&gt;=2),"Sí","No"))</x:f>
      </x:c>
      <x:c r="AM38" s="69" t="str">
        <x:f>IF(A38="","",IF(AK38="Primaria propuesta","Primaria propuesta",IF(AK38="Revisión para slot exploratorio","Revisión / posible primaria exploratoria",IF(AK38="No seleccionable","No seleccionable","Contexto no primario"))))</x:f>
      </x:c>
      <x:c r="AN38" s="69" t="str">
        <x:f>IF(A38="","",IF(AM38="Primaria propuesta",IF(AH38&gt;=75,"40+20 probable",IF(AH38&gt;=55,"40 base + causales selectivas","40 base + probes mínimos")),IF(AM38="Revisión / posible primaria exploratoria","B0/B0.5 reconstrucción antes de Runtime","No abre Runtime profundo")))</x:f>
      </x:c>
      <x:c r="AO38" s="69" t="str">
        <x:f>IF(A38="","",IF(Z38="BLOQUEADA","No probe",IF(AH38&gt;=75,"Alta",IF(AH38&gt;=55,"Media",IF(Z38="REVISIÓN","Exploratoria","Baja")))))</x:f>
      </x:c>
      <x:c r="AP38" s="69" t="str">
        <x:f>IF(A38="","",IF(M38="","unknown",IF(M38&gt;=2,"Prometedora","Débil / validar en B0.5-B1")))</x:f>
      </x:c>
      <x:c r="AQ38" s="69" t="str">
        <x:f>IF(A38="","",IF(N38="","unknown",IF(N38&gt;=2,"Prometedora","Débil / validar en B2")))</x:f>
      </x:c>
      <x:c r="AR38" s="69" t="str">
        <x:f>IF(A38="","",IF(O38="","unknown",IF(O38&gt;=2,"Prometedora","Débil / validar en B3-B4")))</x:f>
      </x:c>
      <x:c r="AS38" s="69" t="str">
        <x:f>IF(A38="","",IF(P38="","unknown",IF(P38&gt;=2,"Prometedora","Débil / validar en B2-B4")))</x:f>
      </x:c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 t="str">
        <x:f>IF(A39="","",COUNTBLANK(M39:P39))</x:f>
      </x:c>
      <x:c r="Z39" s="69" t="str">
        <x:f>IF(A39="","",IF(OR(E39="",G39="No",H39="No",I39="Responsabilidad genérica",I39="Demasiado amplia",I39="Microtarea",J39="Duplicado evidente"),"BLOQUEADA",IF(OR(I39="Ambigua",L39&lt;1,K39&lt;1),"REVISIÓN","ELEGIBLE")))</x:f>
      </x:c>
      <x:c r="AA39" s="69" t="str">
        <x:f>IF(A39="","",IF(Z39="BLOQUEADA",0,ROUND(100*(IF(M39="",1.5,M39)+IF(N39="",1.5,N39)+IF(O39="",1.5,O39)+IF(P39="",1.5,P39))/12,1)))</x:f>
      </x:c>
      <x:c r="AB39" s="69" t="str">
        <x:f>IF(A39="","",IF(Z39="BLOQUEADA",0,ROUND(100*IF(Q39="",1.5,Q39)/3,1)))</x:f>
      </x:c>
      <x:c r="AC39" s="69" t="str">
        <x:f>IF(A39="","",IF(Z39="BLOQUEADA",0,ROUND(100*IF(R39="",1.5,R39)/3,1)))</x:f>
      </x:c>
      <x:c r="AD39" s="69" t="str">
        <x:f>IF(A39="","",IF(Z39="BLOQUEADA",0,ROUND(100*IF(S39="",1.5,S39)/3,1)))</x:f>
      </x:c>
      <x:c r="AE39" s="69" t="str">
        <x:f>IF(A39="","",IF(Z39="BLOQUEADA",0,ROUND(100*IF(T39="",1.5,T39)/3,1)))</x:f>
      </x:c>
      <x:c r="AF39" s="69" t="str">
        <x:f>IF(A39="","",IF(Z39="BLOQUEADA",0,ROUND(100*IF(U39="",1.5,U39)/3,1)))</x:f>
      </x:c>
      <x:c r="AG39" s="69" t="str">
        <x:f>IF(A39="","",ROUND(IF(Z39="BLOQUEADA",100,(X39*10)+(V39*8)+(W39*8)),1))</x:f>
      </x:c>
      <x:c r="AH39" s="69" t="str">
        <x:f>IF(A39="","",IF(Z39="BLOQUEADA",0,MAX(0,ROUND(0.30*AA39+0.20*AB39+0.15*AC39+0.15*AD39+0.10*AE39+0.10*AF39-AG39,1))))</x:f>
      </x:c>
      <x:c r="AI39" s="69" t="str">
        <x:f>IF(A39="","",IF(Z39="ELEGIBLE",RANK.EQ(AH39,$AH$2:$AH$201,0),""))</x:f>
      </x:c>
      <x:c r="AJ39" s="69" t="str">
        <x:f>IF(A39="","",IF(Z39="BLOQUEADA","No aplica",IF(Z39="REVISIÓN","Slot 8 posible: exploratorio",IF(AI39&lt;=5,"Slot 1-5: alto potencial",IF(R39&gt;=2.5,"Slot 6: handoff/dependencia",IF(S39&gt;=2.5,"Slot 7: transformación/objeto",IF(AND(K39&gt;=1,U39&gt;=2),"Slot 8 posible: exploratorio","Backlog/contexto")))))))</x:f>
      </x:c>
      <x:c r="AK39" s="69" t="str">
        <x:f>IF(A39="","",IF(Z39="BLOQUEADA","No seleccionable",IF(Z39="REVISIÓN","Revisión para slot exploratorio",IF(AI39&lt;=8,"Primaria propuesta","Contexto no primario"))))</x:f>
      </x:c>
      <x:c r="AL39" s="69" t="str">
        <x:f>IF(A39="","",IF(OR(Z39="REVISIÓN",Y39&gt;=3,V39&gt;=2),"Sí","No"))</x:f>
      </x:c>
      <x:c r="AM39" s="69" t="str">
        <x:f>IF(A39="","",IF(AK39="Primaria propuesta","Primaria propuesta",IF(AK39="Revisión para slot exploratorio","Revisión / posible primaria exploratoria",IF(AK39="No seleccionable","No seleccionable","Contexto no primario"))))</x:f>
      </x:c>
      <x:c r="AN39" s="69" t="str">
        <x:f>IF(A39="","",IF(AM39="Primaria propuesta",IF(AH39&gt;=75,"40+20 probable",IF(AH39&gt;=55,"40 base + causales selectivas","40 base + probes mínimos")),IF(AM39="Revisión / posible primaria exploratoria","B0/B0.5 reconstrucción antes de Runtime","No abre Runtime profundo")))</x:f>
      </x:c>
      <x:c r="AO39" s="69" t="str">
        <x:f>IF(A39="","",IF(Z39="BLOQUEADA","No probe",IF(AH39&gt;=75,"Alta",IF(AH39&gt;=55,"Media",IF(Z39="REVISIÓN","Exploratoria","Baja")))))</x:f>
      </x:c>
      <x:c r="AP39" s="69" t="str">
        <x:f>IF(A39="","",IF(M39="","unknown",IF(M39&gt;=2,"Prometedora","Débil / validar en B0.5-B1")))</x:f>
      </x:c>
      <x:c r="AQ39" s="69" t="str">
        <x:f>IF(A39="","",IF(N39="","unknown",IF(N39&gt;=2,"Prometedora","Débil / validar en B2")))</x:f>
      </x:c>
      <x:c r="AR39" s="69" t="str">
        <x:f>IF(A39="","",IF(O39="","unknown",IF(O39&gt;=2,"Prometedora","Débil / validar en B3-B4")))</x:f>
      </x:c>
      <x:c r="AS39" s="69" t="str">
        <x:f>IF(A39="","",IF(P39="","unknown",IF(P39&gt;=2,"Prometedora","Débil / validar en B2-B4")))</x:f>
      </x:c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 t="str">
        <x:f>IF(A40="","",COUNTBLANK(M40:P40))</x:f>
      </x:c>
      <x:c r="Z40" s="69" t="str">
        <x:f>IF(A40="","",IF(OR(E40="",G40="No",H40="No",I40="Responsabilidad genérica",I40="Demasiado amplia",I40="Microtarea",J40="Duplicado evidente"),"BLOQUEADA",IF(OR(I40="Ambigua",L40&lt;1,K40&lt;1),"REVISIÓN","ELEGIBLE")))</x:f>
      </x:c>
      <x:c r="AA40" s="69" t="str">
        <x:f>IF(A40="","",IF(Z40="BLOQUEADA",0,ROUND(100*(IF(M40="",1.5,M40)+IF(N40="",1.5,N40)+IF(O40="",1.5,O40)+IF(P40="",1.5,P40))/12,1)))</x:f>
      </x:c>
      <x:c r="AB40" s="69" t="str">
        <x:f>IF(A40="","",IF(Z40="BLOQUEADA",0,ROUND(100*IF(Q40="",1.5,Q40)/3,1)))</x:f>
      </x:c>
      <x:c r="AC40" s="69" t="str">
        <x:f>IF(A40="","",IF(Z40="BLOQUEADA",0,ROUND(100*IF(R40="",1.5,R40)/3,1)))</x:f>
      </x:c>
      <x:c r="AD40" s="69" t="str">
        <x:f>IF(A40="","",IF(Z40="BLOQUEADA",0,ROUND(100*IF(S40="",1.5,S40)/3,1)))</x:f>
      </x:c>
      <x:c r="AE40" s="69" t="str">
        <x:f>IF(A40="","",IF(Z40="BLOQUEADA",0,ROUND(100*IF(T40="",1.5,T40)/3,1)))</x:f>
      </x:c>
      <x:c r="AF40" s="69" t="str">
        <x:f>IF(A40="","",IF(Z40="BLOQUEADA",0,ROUND(100*IF(U40="",1.5,U40)/3,1)))</x:f>
      </x:c>
      <x:c r="AG40" s="69" t="str">
        <x:f>IF(A40="","",ROUND(IF(Z40="BLOQUEADA",100,(X40*10)+(V40*8)+(W40*8)),1))</x:f>
      </x:c>
      <x:c r="AH40" s="69" t="str">
        <x:f>IF(A40="","",IF(Z40="BLOQUEADA",0,MAX(0,ROUND(0.30*AA40+0.20*AB40+0.15*AC40+0.15*AD40+0.10*AE40+0.10*AF40-AG40,1))))</x:f>
      </x:c>
      <x:c r="AI40" s="69" t="str">
        <x:f>IF(A40="","",IF(Z40="ELEGIBLE",RANK.EQ(AH40,$AH$2:$AH$201,0),""))</x:f>
      </x:c>
      <x:c r="AJ40" s="69" t="str">
        <x:f>IF(A40="","",IF(Z40="BLOQUEADA","No aplica",IF(Z40="REVISIÓN","Slot 8 posible: exploratorio",IF(AI40&lt;=5,"Slot 1-5: alto potencial",IF(R40&gt;=2.5,"Slot 6: handoff/dependencia",IF(S40&gt;=2.5,"Slot 7: transformación/objeto",IF(AND(K40&gt;=1,U40&gt;=2),"Slot 8 posible: exploratorio","Backlog/contexto")))))))</x:f>
      </x:c>
      <x:c r="AK40" s="69" t="str">
        <x:f>IF(A40="","",IF(Z40="BLOQUEADA","No seleccionable",IF(Z40="REVISIÓN","Revisión para slot exploratorio",IF(AI40&lt;=8,"Primaria propuesta","Contexto no primario"))))</x:f>
      </x:c>
      <x:c r="AL40" s="69" t="str">
        <x:f>IF(A40="","",IF(OR(Z40="REVISIÓN",Y40&gt;=3,V40&gt;=2),"Sí","No"))</x:f>
      </x:c>
      <x:c r="AM40" s="69" t="str">
        <x:f>IF(A40="","",IF(AK40="Primaria propuesta","Primaria propuesta",IF(AK40="Revisión para slot exploratorio","Revisión / posible primaria exploratoria",IF(AK40="No seleccionable","No seleccionable","Contexto no primario"))))</x:f>
      </x:c>
      <x:c r="AN40" s="69" t="str">
        <x:f>IF(A40="","",IF(AM40="Primaria propuesta",IF(AH40&gt;=75,"40+20 probable",IF(AH40&gt;=55,"40 base + causales selectivas","40 base + probes mínimos")),IF(AM40="Revisión / posible primaria exploratoria","B0/B0.5 reconstrucción antes de Runtime","No abre Runtime profundo")))</x:f>
      </x:c>
      <x:c r="AO40" s="69" t="str">
        <x:f>IF(A40="","",IF(Z40="BLOQUEADA","No probe",IF(AH40&gt;=75,"Alta",IF(AH40&gt;=55,"Media",IF(Z40="REVISIÓN","Exploratoria","Baja")))))</x:f>
      </x:c>
      <x:c r="AP40" s="69" t="str">
        <x:f>IF(A40="","",IF(M40="","unknown",IF(M40&gt;=2,"Prometedora","Débil / validar en B0.5-B1")))</x:f>
      </x:c>
      <x:c r="AQ40" s="69" t="str">
        <x:f>IF(A40="","",IF(N40="","unknown",IF(N40&gt;=2,"Prometedora","Débil / validar en B2")))</x:f>
      </x:c>
      <x:c r="AR40" s="69" t="str">
        <x:f>IF(A40="","",IF(O40="","unknown",IF(O40&gt;=2,"Prometedora","Débil / validar en B3-B4")))</x:f>
      </x:c>
      <x:c r="AS40" s="69" t="str">
        <x:f>IF(A40="","",IF(P40="","unknown",IF(P40&gt;=2,"Prometedora","Débil / validar en B2-B4")))</x:f>
      </x:c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 t="str">
        <x:f>IF(A41="","",COUNTBLANK(M41:P41))</x:f>
      </x:c>
      <x:c r="Z41" s="69" t="str">
        <x:f>IF(A41="","",IF(OR(E41="",G41="No",H41="No",I41="Responsabilidad genérica",I41="Demasiado amplia",I41="Microtarea",J41="Duplicado evidente"),"BLOQUEADA",IF(OR(I41="Ambigua",L41&lt;1,K41&lt;1),"REVISIÓN","ELEGIBLE")))</x:f>
      </x:c>
      <x:c r="AA41" s="69" t="str">
        <x:f>IF(A41="","",IF(Z41="BLOQUEADA",0,ROUND(100*(IF(M41="",1.5,M41)+IF(N41="",1.5,N41)+IF(O41="",1.5,O41)+IF(P41="",1.5,P41))/12,1)))</x:f>
      </x:c>
      <x:c r="AB41" s="69" t="str">
        <x:f>IF(A41="","",IF(Z41="BLOQUEADA",0,ROUND(100*IF(Q41="",1.5,Q41)/3,1)))</x:f>
      </x:c>
      <x:c r="AC41" s="69" t="str">
        <x:f>IF(A41="","",IF(Z41="BLOQUEADA",0,ROUND(100*IF(R41="",1.5,R41)/3,1)))</x:f>
      </x:c>
      <x:c r="AD41" s="69" t="str">
        <x:f>IF(A41="","",IF(Z41="BLOQUEADA",0,ROUND(100*IF(S41="",1.5,S41)/3,1)))</x:f>
      </x:c>
      <x:c r="AE41" s="69" t="str">
        <x:f>IF(A41="","",IF(Z41="BLOQUEADA",0,ROUND(100*IF(T41="",1.5,T41)/3,1)))</x:f>
      </x:c>
      <x:c r="AF41" s="69" t="str">
        <x:f>IF(A41="","",IF(Z41="BLOQUEADA",0,ROUND(100*IF(U41="",1.5,U41)/3,1)))</x:f>
      </x:c>
      <x:c r="AG41" s="69" t="str">
        <x:f>IF(A41="","",ROUND(IF(Z41="BLOQUEADA",100,(X41*10)+(V41*8)+(W41*8)),1))</x:f>
      </x:c>
      <x:c r="AH41" s="69" t="str">
        <x:f>IF(A41="","",IF(Z41="BLOQUEADA",0,MAX(0,ROUND(0.30*AA41+0.20*AB41+0.15*AC41+0.15*AD41+0.10*AE41+0.10*AF41-AG41,1))))</x:f>
      </x:c>
      <x:c r="AI41" s="69" t="str">
        <x:f>IF(A41="","",IF(Z41="ELEGIBLE",RANK.EQ(AH41,$AH$2:$AH$201,0),""))</x:f>
      </x:c>
      <x:c r="AJ41" s="69" t="str">
        <x:f>IF(A41="","",IF(Z41="BLOQUEADA","No aplica",IF(Z41="REVISIÓN","Slot 8 posible: exploratorio",IF(AI41&lt;=5,"Slot 1-5: alto potencial",IF(R41&gt;=2.5,"Slot 6: handoff/dependencia",IF(S41&gt;=2.5,"Slot 7: transformación/objeto",IF(AND(K41&gt;=1,U41&gt;=2),"Slot 8 posible: exploratorio","Backlog/contexto")))))))</x:f>
      </x:c>
      <x:c r="AK41" s="69" t="str">
        <x:f>IF(A41="","",IF(Z41="BLOQUEADA","No seleccionable",IF(Z41="REVISIÓN","Revisión para slot exploratorio",IF(AI41&lt;=8,"Primaria propuesta","Contexto no primario"))))</x:f>
      </x:c>
      <x:c r="AL41" s="69" t="str">
        <x:f>IF(A41="","",IF(OR(Z41="REVISIÓN",Y41&gt;=3,V41&gt;=2),"Sí","No"))</x:f>
      </x:c>
      <x:c r="AM41" s="69" t="str">
        <x:f>IF(A41="","",IF(AK41="Primaria propuesta","Primaria propuesta",IF(AK41="Revisión para slot exploratorio","Revisión / posible primaria exploratoria",IF(AK41="No seleccionable","No seleccionable","Contexto no primario"))))</x:f>
      </x:c>
      <x:c r="AN41" s="69" t="str">
        <x:f>IF(A41="","",IF(AM41="Primaria propuesta",IF(AH41&gt;=75,"40+20 probable",IF(AH41&gt;=55,"40 base + causales selectivas","40 base + probes mínimos")),IF(AM41="Revisión / posible primaria exploratoria","B0/B0.5 reconstrucción antes de Runtime","No abre Runtime profundo")))</x:f>
      </x:c>
      <x:c r="AO41" s="69" t="str">
        <x:f>IF(A41="","",IF(Z41="BLOQUEADA","No probe",IF(AH41&gt;=75,"Alta",IF(AH41&gt;=55,"Media",IF(Z41="REVISIÓN","Exploratoria","Baja")))))</x:f>
      </x:c>
      <x:c r="AP41" s="69" t="str">
        <x:f>IF(A41="","",IF(M41="","unknown",IF(M41&gt;=2,"Prometedora","Débil / validar en B0.5-B1")))</x:f>
      </x:c>
      <x:c r="AQ41" s="69" t="str">
        <x:f>IF(A41="","",IF(N41="","unknown",IF(N41&gt;=2,"Prometedora","Débil / validar en B2")))</x:f>
      </x:c>
      <x:c r="AR41" s="69" t="str">
        <x:f>IF(A41="","",IF(O41="","unknown",IF(O41&gt;=2,"Prometedora","Débil / validar en B3-B4")))</x:f>
      </x:c>
      <x:c r="AS41" s="69" t="str">
        <x:f>IF(A41="","",IF(P41="","unknown",IF(P41&gt;=2,"Prometedora","Débil / validar en B2-B4")))</x:f>
      </x:c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 t="str">
        <x:f>IF(A42="","",COUNTBLANK(M42:P42))</x:f>
      </x:c>
      <x:c r="Z42" s="69" t="str">
        <x:f>IF(A42="","",IF(OR(E42="",G42="No",H42="No",I42="Responsabilidad genérica",I42="Demasiado amplia",I42="Microtarea",J42="Duplicado evidente"),"BLOQUEADA",IF(OR(I42="Ambigua",L42&lt;1,K42&lt;1),"REVISIÓN","ELEGIBLE")))</x:f>
      </x:c>
      <x:c r="AA42" s="69" t="str">
        <x:f>IF(A42="","",IF(Z42="BLOQUEADA",0,ROUND(100*(IF(M42="",1.5,M42)+IF(N42="",1.5,N42)+IF(O42="",1.5,O42)+IF(P42="",1.5,P42))/12,1)))</x:f>
      </x:c>
      <x:c r="AB42" s="69" t="str">
        <x:f>IF(A42="","",IF(Z42="BLOQUEADA",0,ROUND(100*IF(Q42="",1.5,Q42)/3,1)))</x:f>
      </x:c>
      <x:c r="AC42" s="69" t="str">
        <x:f>IF(A42="","",IF(Z42="BLOQUEADA",0,ROUND(100*IF(R42="",1.5,R42)/3,1)))</x:f>
      </x:c>
      <x:c r="AD42" s="69" t="str">
        <x:f>IF(A42="","",IF(Z42="BLOQUEADA",0,ROUND(100*IF(S42="",1.5,S42)/3,1)))</x:f>
      </x:c>
      <x:c r="AE42" s="69" t="str">
        <x:f>IF(A42="","",IF(Z42="BLOQUEADA",0,ROUND(100*IF(T42="",1.5,T42)/3,1)))</x:f>
      </x:c>
      <x:c r="AF42" s="69" t="str">
        <x:f>IF(A42="","",IF(Z42="BLOQUEADA",0,ROUND(100*IF(U42="",1.5,U42)/3,1)))</x:f>
      </x:c>
      <x:c r="AG42" s="69" t="str">
        <x:f>IF(A42="","",ROUND(IF(Z42="BLOQUEADA",100,(X42*10)+(V42*8)+(W42*8)),1))</x:f>
      </x:c>
      <x:c r="AH42" s="69" t="str">
        <x:f>IF(A42="","",IF(Z42="BLOQUEADA",0,MAX(0,ROUND(0.30*AA42+0.20*AB42+0.15*AC42+0.15*AD42+0.10*AE42+0.10*AF42-AG42,1))))</x:f>
      </x:c>
      <x:c r="AI42" s="69" t="str">
        <x:f>IF(A42="","",IF(Z42="ELEGIBLE",RANK.EQ(AH42,$AH$2:$AH$201,0),""))</x:f>
      </x:c>
      <x:c r="AJ42" s="69" t="str">
        <x:f>IF(A42="","",IF(Z42="BLOQUEADA","No aplica",IF(Z42="REVISIÓN","Slot 8 posible: exploratorio",IF(AI42&lt;=5,"Slot 1-5: alto potencial",IF(R42&gt;=2.5,"Slot 6: handoff/dependencia",IF(S42&gt;=2.5,"Slot 7: transformación/objeto",IF(AND(K42&gt;=1,U42&gt;=2),"Slot 8 posible: exploratorio","Backlog/contexto")))))))</x:f>
      </x:c>
      <x:c r="AK42" s="69" t="str">
        <x:f>IF(A42="","",IF(Z42="BLOQUEADA","No seleccionable",IF(Z42="REVISIÓN","Revisión para slot exploratorio",IF(AI42&lt;=8,"Primaria propuesta","Contexto no primario"))))</x:f>
      </x:c>
      <x:c r="AL42" s="69" t="str">
        <x:f>IF(A42="","",IF(OR(Z42="REVISIÓN",Y42&gt;=3,V42&gt;=2),"Sí","No"))</x:f>
      </x:c>
      <x:c r="AM42" s="69" t="str">
        <x:f>IF(A42="","",IF(AK42="Primaria propuesta","Primaria propuesta",IF(AK42="Revisión para slot exploratorio","Revisión / posible primaria exploratoria",IF(AK42="No seleccionable","No seleccionable","Contexto no primario"))))</x:f>
      </x:c>
      <x:c r="AN42" s="69" t="str">
        <x:f>IF(A42="","",IF(AM42="Primaria propuesta",IF(AH42&gt;=75,"40+20 probable",IF(AH42&gt;=55,"40 base + causales selectivas","40 base + probes mínimos")),IF(AM42="Revisión / posible primaria exploratoria","B0/B0.5 reconstrucción antes de Runtime","No abre Runtime profundo")))</x:f>
      </x:c>
      <x:c r="AO42" s="69" t="str">
        <x:f>IF(A42="","",IF(Z42="BLOQUEADA","No probe",IF(AH42&gt;=75,"Alta",IF(AH42&gt;=55,"Media",IF(Z42="REVISIÓN","Exploratoria","Baja")))))</x:f>
      </x:c>
      <x:c r="AP42" s="69" t="str">
        <x:f>IF(A42="","",IF(M42="","unknown",IF(M42&gt;=2,"Prometedora","Débil / validar en B0.5-B1")))</x:f>
      </x:c>
      <x:c r="AQ42" s="69" t="str">
        <x:f>IF(A42="","",IF(N42="","unknown",IF(N42&gt;=2,"Prometedora","Débil / validar en B2")))</x:f>
      </x:c>
      <x:c r="AR42" s="69" t="str">
        <x:f>IF(A42="","",IF(O42="","unknown",IF(O42&gt;=2,"Prometedora","Débil / validar en B3-B4")))</x:f>
      </x:c>
      <x:c r="AS42" s="69" t="str">
        <x:f>IF(A42="","",IF(P42="","unknown",IF(P42&gt;=2,"Prometedora","Débil / validar en B2-B4")))</x:f>
      </x:c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 t="str">
        <x:f>IF(A43="","",COUNTBLANK(M43:P43))</x:f>
      </x:c>
      <x:c r="Z43" s="69" t="str">
        <x:f>IF(A43="","",IF(OR(E43="",G43="No",H43="No",I43="Responsabilidad genérica",I43="Demasiado amplia",I43="Microtarea",J43="Duplicado evidente"),"BLOQUEADA",IF(OR(I43="Ambigua",L43&lt;1,K43&lt;1),"REVISIÓN","ELEGIBLE")))</x:f>
      </x:c>
      <x:c r="AA43" s="69" t="str">
        <x:f>IF(A43="","",IF(Z43="BLOQUEADA",0,ROUND(100*(IF(M43="",1.5,M43)+IF(N43="",1.5,N43)+IF(O43="",1.5,O43)+IF(P43="",1.5,P43))/12,1)))</x:f>
      </x:c>
      <x:c r="AB43" s="69" t="str">
        <x:f>IF(A43="","",IF(Z43="BLOQUEADA",0,ROUND(100*IF(Q43="",1.5,Q43)/3,1)))</x:f>
      </x:c>
      <x:c r="AC43" s="69" t="str">
        <x:f>IF(A43="","",IF(Z43="BLOQUEADA",0,ROUND(100*IF(R43="",1.5,R43)/3,1)))</x:f>
      </x:c>
      <x:c r="AD43" s="69" t="str">
        <x:f>IF(A43="","",IF(Z43="BLOQUEADA",0,ROUND(100*IF(S43="",1.5,S43)/3,1)))</x:f>
      </x:c>
      <x:c r="AE43" s="69" t="str">
        <x:f>IF(A43="","",IF(Z43="BLOQUEADA",0,ROUND(100*IF(T43="",1.5,T43)/3,1)))</x:f>
      </x:c>
      <x:c r="AF43" s="69" t="str">
        <x:f>IF(A43="","",IF(Z43="BLOQUEADA",0,ROUND(100*IF(U43="",1.5,U43)/3,1)))</x:f>
      </x:c>
      <x:c r="AG43" s="69" t="str">
        <x:f>IF(A43="","",ROUND(IF(Z43="BLOQUEADA",100,(X43*10)+(V43*8)+(W43*8)),1))</x:f>
      </x:c>
      <x:c r="AH43" s="69" t="str">
        <x:f>IF(A43="","",IF(Z43="BLOQUEADA",0,MAX(0,ROUND(0.30*AA43+0.20*AB43+0.15*AC43+0.15*AD43+0.10*AE43+0.10*AF43-AG43,1))))</x:f>
      </x:c>
      <x:c r="AI43" s="69" t="str">
        <x:f>IF(A43="","",IF(Z43="ELEGIBLE",RANK.EQ(AH43,$AH$2:$AH$201,0),""))</x:f>
      </x:c>
      <x:c r="AJ43" s="69" t="str">
        <x:f>IF(A43="","",IF(Z43="BLOQUEADA","No aplica",IF(Z43="REVISIÓN","Slot 8 posible: exploratorio",IF(AI43&lt;=5,"Slot 1-5: alto potencial",IF(R43&gt;=2.5,"Slot 6: handoff/dependencia",IF(S43&gt;=2.5,"Slot 7: transformación/objeto",IF(AND(K43&gt;=1,U43&gt;=2),"Slot 8 posible: exploratorio","Backlog/contexto")))))))</x:f>
      </x:c>
      <x:c r="AK43" s="69" t="str">
        <x:f>IF(A43="","",IF(Z43="BLOQUEADA","No seleccionable",IF(Z43="REVISIÓN","Revisión para slot exploratorio",IF(AI43&lt;=8,"Primaria propuesta","Contexto no primario"))))</x:f>
      </x:c>
      <x:c r="AL43" s="69" t="str">
        <x:f>IF(A43="","",IF(OR(Z43="REVISIÓN",Y43&gt;=3,V43&gt;=2),"Sí","No"))</x:f>
      </x:c>
      <x:c r="AM43" s="69" t="str">
        <x:f>IF(A43="","",IF(AK43="Primaria propuesta","Primaria propuesta",IF(AK43="Revisión para slot exploratorio","Revisión / posible primaria exploratoria",IF(AK43="No seleccionable","No seleccionable","Contexto no primario"))))</x:f>
      </x:c>
      <x:c r="AN43" s="69" t="str">
        <x:f>IF(A43="","",IF(AM43="Primaria propuesta",IF(AH43&gt;=75,"40+20 probable",IF(AH43&gt;=55,"40 base + causales selectivas","40 base + probes mínimos")),IF(AM43="Revisión / posible primaria exploratoria","B0/B0.5 reconstrucción antes de Runtime","No abre Runtime profundo")))</x:f>
      </x:c>
      <x:c r="AO43" s="69" t="str">
        <x:f>IF(A43="","",IF(Z43="BLOQUEADA","No probe",IF(AH43&gt;=75,"Alta",IF(AH43&gt;=55,"Media",IF(Z43="REVISIÓN","Exploratoria","Baja")))))</x:f>
      </x:c>
      <x:c r="AP43" s="69" t="str">
        <x:f>IF(A43="","",IF(M43="","unknown",IF(M43&gt;=2,"Prometedora","Débil / validar en B0.5-B1")))</x:f>
      </x:c>
      <x:c r="AQ43" s="69" t="str">
        <x:f>IF(A43="","",IF(N43="","unknown",IF(N43&gt;=2,"Prometedora","Débil / validar en B2")))</x:f>
      </x:c>
      <x:c r="AR43" s="69" t="str">
        <x:f>IF(A43="","",IF(O43="","unknown",IF(O43&gt;=2,"Prometedora","Débil / validar en B3-B4")))</x:f>
      </x:c>
      <x:c r="AS43" s="69" t="str">
        <x:f>IF(A43="","",IF(P43="","unknown",IF(P43&gt;=2,"Prometedora","Débil / validar en B2-B4")))</x:f>
      </x:c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 t="str">
        <x:f>IF(A44="","",COUNTBLANK(M44:P44))</x:f>
      </x:c>
      <x:c r="Z44" s="69" t="str">
        <x:f>IF(A44="","",IF(OR(E44="",G44="No",H44="No",I44="Responsabilidad genérica",I44="Demasiado amplia",I44="Microtarea",J44="Duplicado evidente"),"BLOQUEADA",IF(OR(I44="Ambigua",L44&lt;1,K44&lt;1),"REVISIÓN","ELEGIBLE")))</x:f>
      </x:c>
      <x:c r="AA44" s="69" t="str">
        <x:f>IF(A44="","",IF(Z44="BLOQUEADA",0,ROUND(100*(IF(M44="",1.5,M44)+IF(N44="",1.5,N44)+IF(O44="",1.5,O44)+IF(P44="",1.5,P44))/12,1)))</x:f>
      </x:c>
      <x:c r="AB44" s="69" t="str">
        <x:f>IF(A44="","",IF(Z44="BLOQUEADA",0,ROUND(100*IF(Q44="",1.5,Q44)/3,1)))</x:f>
      </x:c>
      <x:c r="AC44" s="69" t="str">
        <x:f>IF(A44="","",IF(Z44="BLOQUEADA",0,ROUND(100*IF(R44="",1.5,R44)/3,1)))</x:f>
      </x:c>
      <x:c r="AD44" s="69" t="str">
        <x:f>IF(A44="","",IF(Z44="BLOQUEADA",0,ROUND(100*IF(S44="",1.5,S44)/3,1)))</x:f>
      </x:c>
      <x:c r="AE44" s="69" t="str">
        <x:f>IF(A44="","",IF(Z44="BLOQUEADA",0,ROUND(100*IF(T44="",1.5,T44)/3,1)))</x:f>
      </x:c>
      <x:c r="AF44" s="69" t="str">
        <x:f>IF(A44="","",IF(Z44="BLOQUEADA",0,ROUND(100*IF(U44="",1.5,U44)/3,1)))</x:f>
      </x:c>
      <x:c r="AG44" s="69" t="str">
        <x:f>IF(A44="","",ROUND(IF(Z44="BLOQUEADA",100,(X44*10)+(V44*8)+(W44*8)),1))</x:f>
      </x:c>
      <x:c r="AH44" s="69" t="str">
        <x:f>IF(A44="","",IF(Z44="BLOQUEADA",0,MAX(0,ROUND(0.30*AA44+0.20*AB44+0.15*AC44+0.15*AD44+0.10*AE44+0.10*AF44-AG44,1))))</x:f>
      </x:c>
      <x:c r="AI44" s="69" t="str">
        <x:f>IF(A44="","",IF(Z44="ELEGIBLE",RANK.EQ(AH44,$AH$2:$AH$201,0),""))</x:f>
      </x:c>
      <x:c r="AJ44" s="69" t="str">
        <x:f>IF(A44="","",IF(Z44="BLOQUEADA","No aplica",IF(Z44="REVISIÓN","Slot 8 posible: exploratorio",IF(AI44&lt;=5,"Slot 1-5: alto potencial",IF(R44&gt;=2.5,"Slot 6: handoff/dependencia",IF(S44&gt;=2.5,"Slot 7: transformación/objeto",IF(AND(K44&gt;=1,U44&gt;=2),"Slot 8 posible: exploratorio","Backlog/contexto")))))))</x:f>
      </x:c>
      <x:c r="AK44" s="69" t="str">
        <x:f>IF(A44="","",IF(Z44="BLOQUEADA","No seleccionable",IF(Z44="REVISIÓN","Revisión para slot exploratorio",IF(AI44&lt;=8,"Primaria propuesta","Contexto no primario"))))</x:f>
      </x:c>
      <x:c r="AL44" s="69" t="str">
        <x:f>IF(A44="","",IF(OR(Z44="REVISIÓN",Y44&gt;=3,V44&gt;=2),"Sí","No"))</x:f>
      </x:c>
      <x:c r="AM44" s="69" t="str">
        <x:f>IF(A44="","",IF(AK44="Primaria propuesta","Primaria propuesta",IF(AK44="Revisión para slot exploratorio","Revisión / posible primaria exploratoria",IF(AK44="No seleccionable","No seleccionable","Contexto no primario"))))</x:f>
      </x:c>
      <x:c r="AN44" s="69" t="str">
        <x:f>IF(A44="","",IF(AM44="Primaria propuesta",IF(AH44&gt;=75,"40+20 probable",IF(AH44&gt;=55,"40 base + causales selectivas","40 base + probes mínimos")),IF(AM44="Revisión / posible primaria exploratoria","B0/B0.5 reconstrucción antes de Runtime","No abre Runtime profundo")))</x:f>
      </x:c>
      <x:c r="AO44" s="69" t="str">
        <x:f>IF(A44="","",IF(Z44="BLOQUEADA","No probe",IF(AH44&gt;=75,"Alta",IF(AH44&gt;=55,"Media",IF(Z44="REVISIÓN","Exploratoria","Baja")))))</x:f>
      </x:c>
      <x:c r="AP44" s="69" t="str">
        <x:f>IF(A44="","",IF(M44="","unknown",IF(M44&gt;=2,"Prometedora","Débil / validar en B0.5-B1")))</x:f>
      </x:c>
      <x:c r="AQ44" s="69" t="str">
        <x:f>IF(A44="","",IF(N44="","unknown",IF(N44&gt;=2,"Prometedora","Débil / validar en B2")))</x:f>
      </x:c>
      <x:c r="AR44" s="69" t="str">
        <x:f>IF(A44="","",IF(O44="","unknown",IF(O44&gt;=2,"Prometedora","Débil / validar en B3-B4")))</x:f>
      </x:c>
      <x:c r="AS44" s="69" t="str">
        <x:f>IF(A44="","",IF(P44="","unknown",IF(P44&gt;=2,"Prometedora","Débil / validar en B2-B4")))</x:f>
      </x:c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 t="str">
        <x:f>IF(A45="","",COUNTBLANK(M45:P45))</x:f>
      </x:c>
      <x:c r="Z45" s="69" t="str">
        <x:f>IF(A45="","",IF(OR(E45="",G45="No",H45="No",I45="Responsabilidad genérica",I45="Demasiado amplia",I45="Microtarea",J45="Duplicado evidente"),"BLOQUEADA",IF(OR(I45="Ambigua",L45&lt;1,K45&lt;1),"REVISIÓN","ELEGIBLE")))</x:f>
      </x:c>
      <x:c r="AA45" s="69" t="str">
        <x:f>IF(A45="","",IF(Z45="BLOQUEADA",0,ROUND(100*(IF(M45="",1.5,M45)+IF(N45="",1.5,N45)+IF(O45="",1.5,O45)+IF(P45="",1.5,P45))/12,1)))</x:f>
      </x:c>
      <x:c r="AB45" s="69" t="str">
        <x:f>IF(A45="","",IF(Z45="BLOQUEADA",0,ROUND(100*IF(Q45="",1.5,Q45)/3,1)))</x:f>
      </x:c>
      <x:c r="AC45" s="69" t="str">
        <x:f>IF(A45="","",IF(Z45="BLOQUEADA",0,ROUND(100*IF(R45="",1.5,R45)/3,1)))</x:f>
      </x:c>
      <x:c r="AD45" s="69" t="str">
        <x:f>IF(A45="","",IF(Z45="BLOQUEADA",0,ROUND(100*IF(S45="",1.5,S45)/3,1)))</x:f>
      </x:c>
      <x:c r="AE45" s="69" t="str">
        <x:f>IF(A45="","",IF(Z45="BLOQUEADA",0,ROUND(100*IF(T45="",1.5,T45)/3,1)))</x:f>
      </x:c>
      <x:c r="AF45" s="69" t="str">
        <x:f>IF(A45="","",IF(Z45="BLOQUEADA",0,ROUND(100*IF(U45="",1.5,U45)/3,1)))</x:f>
      </x:c>
      <x:c r="AG45" s="69" t="str">
        <x:f>IF(A45="","",ROUND(IF(Z45="BLOQUEADA",100,(X45*10)+(V45*8)+(W45*8)),1))</x:f>
      </x:c>
      <x:c r="AH45" s="69" t="str">
        <x:f>IF(A45="","",IF(Z45="BLOQUEADA",0,MAX(0,ROUND(0.30*AA45+0.20*AB45+0.15*AC45+0.15*AD45+0.10*AE45+0.10*AF45-AG45,1))))</x:f>
      </x:c>
      <x:c r="AI45" s="69" t="str">
        <x:f>IF(A45="","",IF(Z45="ELEGIBLE",RANK.EQ(AH45,$AH$2:$AH$201,0),""))</x:f>
      </x:c>
      <x:c r="AJ45" s="69" t="str">
        <x:f>IF(A45="","",IF(Z45="BLOQUEADA","No aplica",IF(Z45="REVISIÓN","Slot 8 posible: exploratorio",IF(AI45&lt;=5,"Slot 1-5: alto potencial",IF(R45&gt;=2.5,"Slot 6: handoff/dependencia",IF(S45&gt;=2.5,"Slot 7: transformación/objeto",IF(AND(K45&gt;=1,U45&gt;=2),"Slot 8 posible: exploratorio","Backlog/contexto")))))))</x:f>
      </x:c>
      <x:c r="AK45" s="69" t="str">
        <x:f>IF(A45="","",IF(Z45="BLOQUEADA","No seleccionable",IF(Z45="REVISIÓN","Revisión para slot exploratorio",IF(AI45&lt;=8,"Primaria propuesta","Contexto no primario"))))</x:f>
      </x:c>
      <x:c r="AL45" s="69" t="str">
        <x:f>IF(A45="","",IF(OR(Z45="REVISIÓN",Y45&gt;=3,V45&gt;=2),"Sí","No"))</x:f>
      </x:c>
      <x:c r="AM45" s="69" t="str">
        <x:f>IF(A45="","",IF(AK45="Primaria propuesta","Primaria propuesta",IF(AK45="Revisión para slot exploratorio","Revisión / posible primaria exploratoria",IF(AK45="No seleccionable","No seleccionable","Contexto no primario"))))</x:f>
      </x:c>
      <x:c r="AN45" s="69" t="str">
        <x:f>IF(A45="","",IF(AM45="Primaria propuesta",IF(AH45&gt;=75,"40+20 probable",IF(AH45&gt;=55,"40 base + causales selectivas","40 base + probes mínimos")),IF(AM45="Revisión / posible primaria exploratoria","B0/B0.5 reconstrucción antes de Runtime","No abre Runtime profundo")))</x:f>
      </x:c>
      <x:c r="AO45" s="69" t="str">
        <x:f>IF(A45="","",IF(Z45="BLOQUEADA","No probe",IF(AH45&gt;=75,"Alta",IF(AH45&gt;=55,"Media",IF(Z45="REVISIÓN","Exploratoria","Baja")))))</x:f>
      </x:c>
      <x:c r="AP45" s="69" t="str">
        <x:f>IF(A45="","",IF(M45="","unknown",IF(M45&gt;=2,"Prometedora","Débil / validar en B0.5-B1")))</x:f>
      </x:c>
      <x:c r="AQ45" s="69" t="str">
        <x:f>IF(A45="","",IF(N45="","unknown",IF(N45&gt;=2,"Prometedora","Débil / validar en B2")))</x:f>
      </x:c>
      <x:c r="AR45" s="69" t="str">
        <x:f>IF(A45="","",IF(O45="","unknown",IF(O45&gt;=2,"Prometedora","Débil / validar en B3-B4")))</x:f>
      </x:c>
      <x:c r="AS45" s="69" t="str">
        <x:f>IF(A45="","",IF(P45="","unknown",IF(P45&gt;=2,"Prometedora","Débil / validar en B2-B4")))</x:f>
      </x:c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 t="str">
        <x:f>IF(A46="","",COUNTBLANK(M46:P46))</x:f>
      </x:c>
      <x:c r="Z46" s="69" t="str">
        <x:f>IF(A46="","",IF(OR(E46="",G46="No",H46="No",I46="Responsabilidad genérica",I46="Demasiado amplia",I46="Microtarea",J46="Duplicado evidente"),"BLOQUEADA",IF(OR(I46="Ambigua",L46&lt;1,K46&lt;1),"REVISIÓN","ELEGIBLE")))</x:f>
      </x:c>
      <x:c r="AA46" s="69" t="str">
        <x:f>IF(A46="","",IF(Z46="BLOQUEADA",0,ROUND(100*(IF(M46="",1.5,M46)+IF(N46="",1.5,N46)+IF(O46="",1.5,O46)+IF(P46="",1.5,P46))/12,1)))</x:f>
      </x:c>
      <x:c r="AB46" s="69" t="str">
        <x:f>IF(A46="","",IF(Z46="BLOQUEADA",0,ROUND(100*IF(Q46="",1.5,Q46)/3,1)))</x:f>
      </x:c>
      <x:c r="AC46" s="69" t="str">
        <x:f>IF(A46="","",IF(Z46="BLOQUEADA",0,ROUND(100*IF(R46="",1.5,R46)/3,1)))</x:f>
      </x:c>
      <x:c r="AD46" s="69" t="str">
        <x:f>IF(A46="","",IF(Z46="BLOQUEADA",0,ROUND(100*IF(S46="",1.5,S46)/3,1)))</x:f>
      </x:c>
      <x:c r="AE46" s="69" t="str">
        <x:f>IF(A46="","",IF(Z46="BLOQUEADA",0,ROUND(100*IF(T46="",1.5,T46)/3,1)))</x:f>
      </x:c>
      <x:c r="AF46" s="69" t="str">
        <x:f>IF(A46="","",IF(Z46="BLOQUEADA",0,ROUND(100*IF(U46="",1.5,U46)/3,1)))</x:f>
      </x:c>
      <x:c r="AG46" s="69" t="str">
        <x:f>IF(A46="","",ROUND(IF(Z46="BLOQUEADA",100,(X46*10)+(V46*8)+(W46*8)),1))</x:f>
      </x:c>
      <x:c r="AH46" s="69" t="str">
        <x:f>IF(A46="","",IF(Z46="BLOQUEADA",0,MAX(0,ROUND(0.30*AA46+0.20*AB46+0.15*AC46+0.15*AD46+0.10*AE46+0.10*AF46-AG46,1))))</x:f>
      </x:c>
      <x:c r="AI46" s="69" t="str">
        <x:f>IF(A46="","",IF(Z46="ELEGIBLE",RANK.EQ(AH46,$AH$2:$AH$201,0),""))</x:f>
      </x:c>
      <x:c r="AJ46" s="69" t="str">
        <x:f>IF(A46="","",IF(Z46="BLOQUEADA","No aplica",IF(Z46="REVISIÓN","Slot 8 posible: exploratorio",IF(AI46&lt;=5,"Slot 1-5: alto potencial",IF(R46&gt;=2.5,"Slot 6: handoff/dependencia",IF(S46&gt;=2.5,"Slot 7: transformación/objeto",IF(AND(K46&gt;=1,U46&gt;=2),"Slot 8 posible: exploratorio","Backlog/contexto")))))))</x:f>
      </x:c>
      <x:c r="AK46" s="69" t="str">
        <x:f>IF(A46="","",IF(Z46="BLOQUEADA","No seleccionable",IF(Z46="REVISIÓN","Revisión para slot exploratorio",IF(AI46&lt;=8,"Primaria propuesta","Contexto no primario"))))</x:f>
      </x:c>
      <x:c r="AL46" s="69" t="str">
        <x:f>IF(A46="","",IF(OR(Z46="REVISIÓN",Y46&gt;=3,V46&gt;=2),"Sí","No"))</x:f>
      </x:c>
      <x:c r="AM46" s="69" t="str">
        <x:f>IF(A46="","",IF(AK46="Primaria propuesta","Primaria propuesta",IF(AK46="Revisión para slot exploratorio","Revisión / posible primaria exploratoria",IF(AK46="No seleccionable","No seleccionable","Contexto no primario"))))</x:f>
      </x:c>
      <x:c r="AN46" s="69" t="str">
        <x:f>IF(A46="","",IF(AM46="Primaria propuesta",IF(AH46&gt;=75,"40+20 probable",IF(AH46&gt;=55,"40 base + causales selectivas","40 base + probes mínimos")),IF(AM46="Revisión / posible primaria exploratoria","B0/B0.5 reconstrucción antes de Runtime","No abre Runtime profundo")))</x:f>
      </x:c>
      <x:c r="AO46" s="69" t="str">
        <x:f>IF(A46="","",IF(Z46="BLOQUEADA","No probe",IF(AH46&gt;=75,"Alta",IF(AH46&gt;=55,"Media",IF(Z46="REVISIÓN","Exploratoria","Baja")))))</x:f>
      </x:c>
      <x:c r="AP46" s="69" t="str">
        <x:f>IF(A46="","",IF(M46="","unknown",IF(M46&gt;=2,"Prometedora","Débil / validar en B0.5-B1")))</x:f>
      </x:c>
      <x:c r="AQ46" s="69" t="str">
        <x:f>IF(A46="","",IF(N46="","unknown",IF(N46&gt;=2,"Prometedora","Débil / validar en B2")))</x:f>
      </x:c>
      <x:c r="AR46" s="69" t="str">
        <x:f>IF(A46="","",IF(O46="","unknown",IF(O46&gt;=2,"Prometedora","Débil / validar en B3-B4")))</x:f>
      </x:c>
      <x:c r="AS46" s="69" t="str">
        <x:f>IF(A46="","",IF(P46="","unknown",IF(P46&gt;=2,"Prometedora","Débil / validar en B2-B4")))</x:f>
      </x:c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 t="str">
        <x:f>IF(A47="","",COUNTBLANK(M47:P47))</x:f>
      </x:c>
      <x:c r="Z47" s="69" t="str">
        <x:f>IF(A47="","",IF(OR(E47="",G47="No",H47="No",I47="Responsabilidad genérica",I47="Demasiado amplia",I47="Microtarea",J47="Duplicado evidente"),"BLOQUEADA",IF(OR(I47="Ambigua",L47&lt;1,K47&lt;1),"REVISIÓN","ELEGIBLE")))</x:f>
      </x:c>
      <x:c r="AA47" s="69" t="str">
        <x:f>IF(A47="","",IF(Z47="BLOQUEADA",0,ROUND(100*(IF(M47="",1.5,M47)+IF(N47="",1.5,N47)+IF(O47="",1.5,O47)+IF(P47="",1.5,P47))/12,1)))</x:f>
      </x:c>
      <x:c r="AB47" s="69" t="str">
        <x:f>IF(A47="","",IF(Z47="BLOQUEADA",0,ROUND(100*IF(Q47="",1.5,Q47)/3,1)))</x:f>
      </x:c>
      <x:c r="AC47" s="69" t="str">
        <x:f>IF(A47="","",IF(Z47="BLOQUEADA",0,ROUND(100*IF(R47="",1.5,R47)/3,1)))</x:f>
      </x:c>
      <x:c r="AD47" s="69" t="str">
        <x:f>IF(A47="","",IF(Z47="BLOQUEADA",0,ROUND(100*IF(S47="",1.5,S47)/3,1)))</x:f>
      </x:c>
      <x:c r="AE47" s="69" t="str">
        <x:f>IF(A47="","",IF(Z47="BLOQUEADA",0,ROUND(100*IF(T47="",1.5,T47)/3,1)))</x:f>
      </x:c>
      <x:c r="AF47" s="69" t="str">
        <x:f>IF(A47="","",IF(Z47="BLOQUEADA",0,ROUND(100*IF(U47="",1.5,U47)/3,1)))</x:f>
      </x:c>
      <x:c r="AG47" s="69" t="str">
        <x:f>IF(A47="","",ROUND(IF(Z47="BLOQUEADA",100,(X47*10)+(V47*8)+(W47*8)),1))</x:f>
      </x:c>
      <x:c r="AH47" s="69" t="str">
        <x:f>IF(A47="","",IF(Z47="BLOQUEADA",0,MAX(0,ROUND(0.30*AA47+0.20*AB47+0.15*AC47+0.15*AD47+0.10*AE47+0.10*AF47-AG47,1))))</x:f>
      </x:c>
      <x:c r="AI47" s="69" t="str">
        <x:f>IF(A47="","",IF(Z47="ELEGIBLE",RANK.EQ(AH47,$AH$2:$AH$201,0),""))</x:f>
      </x:c>
      <x:c r="AJ47" s="69" t="str">
        <x:f>IF(A47="","",IF(Z47="BLOQUEADA","No aplica",IF(Z47="REVISIÓN","Slot 8 posible: exploratorio",IF(AI47&lt;=5,"Slot 1-5: alto potencial",IF(R47&gt;=2.5,"Slot 6: handoff/dependencia",IF(S47&gt;=2.5,"Slot 7: transformación/objeto",IF(AND(K47&gt;=1,U47&gt;=2),"Slot 8 posible: exploratorio","Backlog/contexto")))))))</x:f>
      </x:c>
      <x:c r="AK47" s="69" t="str">
        <x:f>IF(A47="","",IF(Z47="BLOQUEADA","No seleccionable",IF(Z47="REVISIÓN","Revisión para slot exploratorio",IF(AI47&lt;=8,"Primaria propuesta","Contexto no primario"))))</x:f>
      </x:c>
      <x:c r="AL47" s="69" t="str">
        <x:f>IF(A47="","",IF(OR(Z47="REVISIÓN",Y47&gt;=3,V47&gt;=2),"Sí","No"))</x:f>
      </x:c>
      <x:c r="AM47" s="69" t="str">
        <x:f>IF(A47="","",IF(AK47="Primaria propuesta","Primaria propuesta",IF(AK47="Revisión para slot exploratorio","Revisión / posible primaria exploratoria",IF(AK47="No seleccionable","No seleccionable","Contexto no primario"))))</x:f>
      </x:c>
      <x:c r="AN47" s="69" t="str">
        <x:f>IF(A47="","",IF(AM47="Primaria propuesta",IF(AH47&gt;=75,"40+20 probable",IF(AH47&gt;=55,"40 base + causales selectivas","40 base + probes mínimos")),IF(AM47="Revisión / posible primaria exploratoria","B0/B0.5 reconstrucción antes de Runtime","No abre Runtime profundo")))</x:f>
      </x:c>
      <x:c r="AO47" s="69" t="str">
        <x:f>IF(A47="","",IF(Z47="BLOQUEADA","No probe",IF(AH47&gt;=75,"Alta",IF(AH47&gt;=55,"Media",IF(Z47="REVISIÓN","Exploratoria","Baja")))))</x:f>
      </x:c>
      <x:c r="AP47" s="69" t="str">
        <x:f>IF(A47="","",IF(M47="","unknown",IF(M47&gt;=2,"Prometedora","Débil / validar en B0.5-B1")))</x:f>
      </x:c>
      <x:c r="AQ47" s="69" t="str">
        <x:f>IF(A47="","",IF(N47="","unknown",IF(N47&gt;=2,"Prometedora","Débil / validar en B2")))</x:f>
      </x:c>
      <x:c r="AR47" s="69" t="str">
        <x:f>IF(A47="","",IF(O47="","unknown",IF(O47&gt;=2,"Prometedora","Débil / validar en B3-B4")))</x:f>
      </x:c>
      <x:c r="AS47" s="69" t="str">
        <x:f>IF(A47="","",IF(P47="","unknown",IF(P47&gt;=2,"Prometedora","Débil / validar en B2-B4")))</x:f>
      </x:c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 t="str">
        <x:f>IF(A48="","",COUNTBLANK(M48:P48))</x:f>
      </x:c>
      <x:c r="Z48" s="69" t="str">
        <x:f>IF(A48="","",IF(OR(E48="",G48="No",H48="No",I48="Responsabilidad genérica",I48="Demasiado amplia",I48="Microtarea",J48="Duplicado evidente"),"BLOQUEADA",IF(OR(I48="Ambigua",L48&lt;1,K48&lt;1),"REVISIÓN","ELEGIBLE")))</x:f>
      </x:c>
      <x:c r="AA48" s="69" t="str">
        <x:f>IF(A48="","",IF(Z48="BLOQUEADA",0,ROUND(100*(IF(M48="",1.5,M48)+IF(N48="",1.5,N48)+IF(O48="",1.5,O48)+IF(P48="",1.5,P48))/12,1)))</x:f>
      </x:c>
      <x:c r="AB48" s="69" t="str">
        <x:f>IF(A48="","",IF(Z48="BLOQUEADA",0,ROUND(100*IF(Q48="",1.5,Q48)/3,1)))</x:f>
      </x:c>
      <x:c r="AC48" s="69" t="str">
        <x:f>IF(A48="","",IF(Z48="BLOQUEADA",0,ROUND(100*IF(R48="",1.5,R48)/3,1)))</x:f>
      </x:c>
      <x:c r="AD48" s="69" t="str">
        <x:f>IF(A48="","",IF(Z48="BLOQUEADA",0,ROUND(100*IF(S48="",1.5,S48)/3,1)))</x:f>
      </x:c>
      <x:c r="AE48" s="69" t="str">
        <x:f>IF(A48="","",IF(Z48="BLOQUEADA",0,ROUND(100*IF(T48="",1.5,T48)/3,1)))</x:f>
      </x:c>
      <x:c r="AF48" s="69" t="str">
        <x:f>IF(A48="","",IF(Z48="BLOQUEADA",0,ROUND(100*IF(U48="",1.5,U48)/3,1)))</x:f>
      </x:c>
      <x:c r="AG48" s="69" t="str">
        <x:f>IF(A48="","",ROUND(IF(Z48="BLOQUEADA",100,(X48*10)+(V48*8)+(W48*8)),1))</x:f>
      </x:c>
      <x:c r="AH48" s="69" t="str">
        <x:f>IF(A48="","",IF(Z48="BLOQUEADA",0,MAX(0,ROUND(0.30*AA48+0.20*AB48+0.15*AC48+0.15*AD48+0.10*AE48+0.10*AF48-AG48,1))))</x:f>
      </x:c>
      <x:c r="AI48" s="69" t="str">
        <x:f>IF(A48="","",IF(Z48="ELEGIBLE",RANK.EQ(AH48,$AH$2:$AH$201,0),""))</x:f>
      </x:c>
      <x:c r="AJ48" s="69" t="str">
        <x:f>IF(A48="","",IF(Z48="BLOQUEADA","No aplica",IF(Z48="REVISIÓN","Slot 8 posible: exploratorio",IF(AI48&lt;=5,"Slot 1-5: alto potencial",IF(R48&gt;=2.5,"Slot 6: handoff/dependencia",IF(S48&gt;=2.5,"Slot 7: transformación/objeto",IF(AND(K48&gt;=1,U48&gt;=2),"Slot 8 posible: exploratorio","Backlog/contexto")))))))</x:f>
      </x:c>
      <x:c r="AK48" s="69" t="str">
        <x:f>IF(A48="","",IF(Z48="BLOQUEADA","No seleccionable",IF(Z48="REVISIÓN","Revisión para slot exploratorio",IF(AI48&lt;=8,"Primaria propuesta","Contexto no primario"))))</x:f>
      </x:c>
      <x:c r="AL48" s="69" t="str">
        <x:f>IF(A48="","",IF(OR(Z48="REVISIÓN",Y48&gt;=3,V48&gt;=2),"Sí","No"))</x:f>
      </x:c>
      <x:c r="AM48" s="69" t="str">
        <x:f>IF(A48="","",IF(AK48="Primaria propuesta","Primaria propuesta",IF(AK48="Revisión para slot exploratorio","Revisión / posible primaria exploratoria",IF(AK48="No seleccionable","No seleccionable","Contexto no primario"))))</x:f>
      </x:c>
      <x:c r="AN48" s="69" t="str">
        <x:f>IF(A48="","",IF(AM48="Primaria propuesta",IF(AH48&gt;=75,"40+20 probable",IF(AH48&gt;=55,"40 base + causales selectivas","40 base + probes mínimos")),IF(AM48="Revisión / posible primaria exploratoria","B0/B0.5 reconstrucción antes de Runtime","No abre Runtime profundo")))</x:f>
      </x:c>
      <x:c r="AO48" s="69" t="str">
        <x:f>IF(A48="","",IF(Z48="BLOQUEADA","No probe",IF(AH48&gt;=75,"Alta",IF(AH48&gt;=55,"Media",IF(Z48="REVISIÓN","Exploratoria","Baja")))))</x:f>
      </x:c>
      <x:c r="AP48" s="69" t="str">
        <x:f>IF(A48="","",IF(M48="","unknown",IF(M48&gt;=2,"Prometedora","Débil / validar en B0.5-B1")))</x:f>
      </x:c>
      <x:c r="AQ48" s="69" t="str">
        <x:f>IF(A48="","",IF(N48="","unknown",IF(N48&gt;=2,"Prometedora","Débil / validar en B2")))</x:f>
      </x:c>
      <x:c r="AR48" s="69" t="str">
        <x:f>IF(A48="","",IF(O48="","unknown",IF(O48&gt;=2,"Prometedora","Débil / validar en B3-B4")))</x:f>
      </x:c>
      <x:c r="AS48" s="69" t="str">
        <x:f>IF(A48="","",IF(P48="","unknown",IF(P48&gt;=2,"Prometedora","Débil / validar en B2-B4")))</x:f>
      </x:c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 t="str">
        <x:f>IF(A49="","",COUNTBLANK(M49:P49))</x:f>
      </x:c>
      <x:c r="Z49" s="69" t="str">
        <x:f>IF(A49="","",IF(OR(E49="",G49="No",H49="No",I49="Responsabilidad genérica",I49="Demasiado amplia",I49="Microtarea",J49="Duplicado evidente"),"BLOQUEADA",IF(OR(I49="Ambigua",L49&lt;1,K49&lt;1),"REVISIÓN","ELEGIBLE")))</x:f>
      </x:c>
      <x:c r="AA49" s="69" t="str">
        <x:f>IF(A49="","",IF(Z49="BLOQUEADA",0,ROUND(100*(IF(M49="",1.5,M49)+IF(N49="",1.5,N49)+IF(O49="",1.5,O49)+IF(P49="",1.5,P49))/12,1)))</x:f>
      </x:c>
      <x:c r="AB49" s="69" t="str">
        <x:f>IF(A49="","",IF(Z49="BLOQUEADA",0,ROUND(100*IF(Q49="",1.5,Q49)/3,1)))</x:f>
      </x:c>
      <x:c r="AC49" s="69" t="str">
        <x:f>IF(A49="","",IF(Z49="BLOQUEADA",0,ROUND(100*IF(R49="",1.5,R49)/3,1)))</x:f>
      </x:c>
      <x:c r="AD49" s="69" t="str">
        <x:f>IF(A49="","",IF(Z49="BLOQUEADA",0,ROUND(100*IF(S49="",1.5,S49)/3,1)))</x:f>
      </x:c>
      <x:c r="AE49" s="69" t="str">
        <x:f>IF(A49="","",IF(Z49="BLOQUEADA",0,ROUND(100*IF(T49="",1.5,T49)/3,1)))</x:f>
      </x:c>
      <x:c r="AF49" s="69" t="str">
        <x:f>IF(A49="","",IF(Z49="BLOQUEADA",0,ROUND(100*IF(U49="",1.5,U49)/3,1)))</x:f>
      </x:c>
      <x:c r="AG49" s="69" t="str">
        <x:f>IF(A49="","",ROUND(IF(Z49="BLOQUEADA",100,(X49*10)+(V49*8)+(W49*8)),1))</x:f>
      </x:c>
      <x:c r="AH49" s="69" t="str">
        <x:f>IF(A49="","",IF(Z49="BLOQUEADA",0,MAX(0,ROUND(0.30*AA49+0.20*AB49+0.15*AC49+0.15*AD49+0.10*AE49+0.10*AF49-AG49,1))))</x:f>
      </x:c>
      <x:c r="AI49" s="69" t="str">
        <x:f>IF(A49="","",IF(Z49="ELEGIBLE",RANK.EQ(AH49,$AH$2:$AH$201,0),""))</x:f>
      </x:c>
      <x:c r="AJ49" s="69" t="str">
        <x:f>IF(A49="","",IF(Z49="BLOQUEADA","No aplica",IF(Z49="REVISIÓN","Slot 8 posible: exploratorio",IF(AI49&lt;=5,"Slot 1-5: alto potencial",IF(R49&gt;=2.5,"Slot 6: handoff/dependencia",IF(S49&gt;=2.5,"Slot 7: transformación/objeto",IF(AND(K49&gt;=1,U49&gt;=2),"Slot 8 posible: exploratorio","Backlog/contexto")))))))</x:f>
      </x:c>
      <x:c r="AK49" s="69" t="str">
        <x:f>IF(A49="","",IF(Z49="BLOQUEADA","No seleccionable",IF(Z49="REVISIÓN","Revisión para slot exploratorio",IF(AI49&lt;=8,"Primaria propuesta","Contexto no primario"))))</x:f>
      </x:c>
      <x:c r="AL49" s="69" t="str">
        <x:f>IF(A49="","",IF(OR(Z49="REVISIÓN",Y49&gt;=3,V49&gt;=2),"Sí","No"))</x:f>
      </x:c>
      <x:c r="AM49" s="69" t="str">
        <x:f>IF(A49="","",IF(AK49="Primaria propuesta","Primaria propuesta",IF(AK49="Revisión para slot exploratorio","Revisión / posible primaria exploratoria",IF(AK49="No seleccionable","No seleccionable","Contexto no primario"))))</x:f>
      </x:c>
      <x:c r="AN49" s="69" t="str">
        <x:f>IF(A49="","",IF(AM49="Primaria propuesta",IF(AH49&gt;=75,"40+20 probable",IF(AH49&gt;=55,"40 base + causales selectivas","40 base + probes mínimos")),IF(AM49="Revisión / posible primaria exploratoria","B0/B0.5 reconstrucción antes de Runtime","No abre Runtime profundo")))</x:f>
      </x:c>
      <x:c r="AO49" s="69" t="str">
        <x:f>IF(A49="","",IF(Z49="BLOQUEADA","No probe",IF(AH49&gt;=75,"Alta",IF(AH49&gt;=55,"Media",IF(Z49="REVISIÓN","Exploratoria","Baja")))))</x:f>
      </x:c>
      <x:c r="AP49" s="69" t="str">
        <x:f>IF(A49="","",IF(M49="","unknown",IF(M49&gt;=2,"Prometedora","Débil / validar en B0.5-B1")))</x:f>
      </x:c>
      <x:c r="AQ49" s="69" t="str">
        <x:f>IF(A49="","",IF(N49="","unknown",IF(N49&gt;=2,"Prometedora","Débil / validar en B2")))</x:f>
      </x:c>
      <x:c r="AR49" s="69" t="str">
        <x:f>IF(A49="","",IF(O49="","unknown",IF(O49&gt;=2,"Prometedora","Débil / validar en B3-B4")))</x:f>
      </x:c>
      <x:c r="AS49" s="69" t="str">
        <x:f>IF(A49="","",IF(P49="","unknown",IF(P49&gt;=2,"Prometedora","Débil / validar en B2-B4")))</x:f>
      </x:c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 t="str">
        <x:f>IF(A50="","",COUNTBLANK(M50:P50))</x:f>
      </x:c>
      <x:c r="Z50" s="69" t="str">
        <x:f>IF(A50="","",IF(OR(E50="",G50="No",H50="No",I50="Responsabilidad genérica",I50="Demasiado amplia",I50="Microtarea",J50="Duplicado evidente"),"BLOQUEADA",IF(OR(I50="Ambigua",L50&lt;1,K50&lt;1),"REVISIÓN","ELEGIBLE")))</x:f>
      </x:c>
      <x:c r="AA50" s="69" t="str">
        <x:f>IF(A50="","",IF(Z50="BLOQUEADA",0,ROUND(100*(IF(M50="",1.5,M50)+IF(N50="",1.5,N50)+IF(O50="",1.5,O50)+IF(P50="",1.5,P50))/12,1)))</x:f>
      </x:c>
      <x:c r="AB50" s="69" t="str">
        <x:f>IF(A50="","",IF(Z50="BLOQUEADA",0,ROUND(100*IF(Q50="",1.5,Q50)/3,1)))</x:f>
      </x:c>
      <x:c r="AC50" s="69" t="str">
        <x:f>IF(A50="","",IF(Z50="BLOQUEADA",0,ROUND(100*IF(R50="",1.5,R50)/3,1)))</x:f>
      </x:c>
      <x:c r="AD50" s="69" t="str">
        <x:f>IF(A50="","",IF(Z50="BLOQUEADA",0,ROUND(100*IF(S50="",1.5,S50)/3,1)))</x:f>
      </x:c>
      <x:c r="AE50" s="69" t="str">
        <x:f>IF(A50="","",IF(Z50="BLOQUEADA",0,ROUND(100*IF(T50="",1.5,T50)/3,1)))</x:f>
      </x:c>
      <x:c r="AF50" s="69" t="str">
        <x:f>IF(A50="","",IF(Z50="BLOQUEADA",0,ROUND(100*IF(U50="",1.5,U50)/3,1)))</x:f>
      </x:c>
      <x:c r="AG50" s="69" t="str">
        <x:f>IF(A50="","",ROUND(IF(Z50="BLOQUEADA",100,(X50*10)+(V50*8)+(W50*8)),1))</x:f>
      </x:c>
      <x:c r="AH50" s="69" t="str">
        <x:f>IF(A50="","",IF(Z50="BLOQUEADA",0,MAX(0,ROUND(0.30*AA50+0.20*AB50+0.15*AC50+0.15*AD50+0.10*AE50+0.10*AF50-AG50,1))))</x:f>
      </x:c>
      <x:c r="AI50" s="69" t="str">
        <x:f>IF(A50="","",IF(Z50="ELEGIBLE",RANK.EQ(AH50,$AH$2:$AH$201,0),""))</x:f>
      </x:c>
      <x:c r="AJ50" s="69" t="str">
        <x:f>IF(A50="","",IF(Z50="BLOQUEADA","No aplica",IF(Z50="REVISIÓN","Slot 8 posible: exploratorio",IF(AI50&lt;=5,"Slot 1-5: alto potencial",IF(R50&gt;=2.5,"Slot 6: handoff/dependencia",IF(S50&gt;=2.5,"Slot 7: transformación/objeto",IF(AND(K50&gt;=1,U50&gt;=2),"Slot 8 posible: exploratorio","Backlog/contexto")))))))</x:f>
      </x:c>
      <x:c r="AK50" s="69" t="str">
        <x:f>IF(A50="","",IF(Z50="BLOQUEADA","No seleccionable",IF(Z50="REVISIÓN","Revisión para slot exploratorio",IF(AI50&lt;=8,"Primaria propuesta","Contexto no primario"))))</x:f>
      </x:c>
      <x:c r="AL50" s="69" t="str">
        <x:f>IF(A50="","",IF(OR(Z50="REVISIÓN",Y50&gt;=3,V50&gt;=2),"Sí","No"))</x:f>
      </x:c>
      <x:c r="AM50" s="69" t="str">
        <x:f>IF(A50="","",IF(AK50="Primaria propuesta","Primaria propuesta",IF(AK50="Revisión para slot exploratorio","Revisión / posible primaria exploratoria",IF(AK50="No seleccionable","No seleccionable","Contexto no primario"))))</x:f>
      </x:c>
      <x:c r="AN50" s="69" t="str">
        <x:f>IF(A50="","",IF(AM50="Primaria propuesta",IF(AH50&gt;=75,"40+20 probable",IF(AH50&gt;=55,"40 base + causales selectivas","40 base + probes mínimos")),IF(AM50="Revisión / posible primaria exploratoria","B0/B0.5 reconstrucción antes de Runtime","No abre Runtime profundo")))</x:f>
      </x:c>
      <x:c r="AO50" s="69" t="str">
        <x:f>IF(A50="","",IF(Z50="BLOQUEADA","No probe",IF(AH50&gt;=75,"Alta",IF(AH50&gt;=55,"Media",IF(Z50="REVISIÓN","Exploratoria","Baja")))))</x:f>
      </x:c>
      <x:c r="AP50" s="69" t="str">
        <x:f>IF(A50="","",IF(M50="","unknown",IF(M50&gt;=2,"Prometedora","Débil / validar en B0.5-B1")))</x:f>
      </x:c>
      <x:c r="AQ50" s="69" t="str">
        <x:f>IF(A50="","",IF(N50="","unknown",IF(N50&gt;=2,"Prometedora","Débil / validar en B2")))</x:f>
      </x:c>
      <x:c r="AR50" s="69" t="str">
        <x:f>IF(A50="","",IF(O50="","unknown",IF(O50&gt;=2,"Prometedora","Débil / validar en B3-B4")))</x:f>
      </x:c>
      <x:c r="AS50" s="69" t="str">
        <x:f>IF(A50="","",IF(P50="","unknown",IF(P50&gt;=2,"Prometedora","Débil / validar en B2-B4")))</x:f>
      </x:c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 t="str">
        <x:f>IF(A51="","",COUNTBLANK(M51:P51))</x:f>
      </x:c>
      <x:c r="Z51" s="69" t="str">
        <x:f>IF(A51="","",IF(OR(E51="",G51="No",H51="No",I51="Responsabilidad genérica",I51="Demasiado amplia",I51="Microtarea",J51="Duplicado evidente"),"BLOQUEADA",IF(OR(I51="Ambigua",L51&lt;1,K51&lt;1),"REVISIÓN","ELEGIBLE")))</x:f>
      </x:c>
      <x:c r="AA51" s="69" t="str">
        <x:f>IF(A51="","",IF(Z51="BLOQUEADA",0,ROUND(100*(IF(M51="",1.5,M51)+IF(N51="",1.5,N51)+IF(O51="",1.5,O51)+IF(P51="",1.5,P51))/12,1)))</x:f>
      </x:c>
      <x:c r="AB51" s="69" t="str">
        <x:f>IF(A51="","",IF(Z51="BLOQUEADA",0,ROUND(100*IF(Q51="",1.5,Q51)/3,1)))</x:f>
      </x:c>
      <x:c r="AC51" s="69" t="str">
        <x:f>IF(A51="","",IF(Z51="BLOQUEADA",0,ROUND(100*IF(R51="",1.5,R51)/3,1)))</x:f>
      </x:c>
      <x:c r="AD51" s="69" t="str">
        <x:f>IF(A51="","",IF(Z51="BLOQUEADA",0,ROUND(100*IF(S51="",1.5,S51)/3,1)))</x:f>
      </x:c>
      <x:c r="AE51" s="69" t="str">
        <x:f>IF(A51="","",IF(Z51="BLOQUEADA",0,ROUND(100*IF(T51="",1.5,T51)/3,1)))</x:f>
      </x:c>
      <x:c r="AF51" s="69" t="str">
        <x:f>IF(A51="","",IF(Z51="BLOQUEADA",0,ROUND(100*IF(U51="",1.5,U51)/3,1)))</x:f>
      </x:c>
      <x:c r="AG51" s="69" t="str">
        <x:f>IF(A51="","",ROUND(IF(Z51="BLOQUEADA",100,(X51*10)+(V51*8)+(W51*8)),1))</x:f>
      </x:c>
      <x:c r="AH51" s="69" t="str">
        <x:f>IF(A51="","",IF(Z51="BLOQUEADA",0,MAX(0,ROUND(0.30*AA51+0.20*AB51+0.15*AC51+0.15*AD51+0.10*AE51+0.10*AF51-AG51,1))))</x:f>
      </x:c>
      <x:c r="AI51" s="69" t="str">
        <x:f>IF(A51="","",IF(Z51="ELEGIBLE",RANK.EQ(AH51,$AH$2:$AH$201,0),""))</x:f>
      </x:c>
      <x:c r="AJ51" s="69" t="str">
        <x:f>IF(A51="","",IF(Z51="BLOQUEADA","No aplica",IF(Z51="REVISIÓN","Slot 8 posible: exploratorio",IF(AI51&lt;=5,"Slot 1-5: alto potencial",IF(R51&gt;=2.5,"Slot 6: handoff/dependencia",IF(S51&gt;=2.5,"Slot 7: transformación/objeto",IF(AND(K51&gt;=1,U51&gt;=2),"Slot 8 posible: exploratorio","Backlog/contexto")))))))</x:f>
      </x:c>
      <x:c r="AK51" s="69" t="str">
        <x:f>IF(A51="","",IF(Z51="BLOQUEADA","No seleccionable",IF(Z51="REVISIÓN","Revisión para slot exploratorio",IF(AI51&lt;=8,"Primaria propuesta","Contexto no primario"))))</x:f>
      </x:c>
      <x:c r="AL51" s="69" t="str">
        <x:f>IF(A51="","",IF(OR(Z51="REVISIÓN",Y51&gt;=3,V51&gt;=2),"Sí","No"))</x:f>
      </x:c>
      <x:c r="AM51" s="69" t="str">
        <x:f>IF(A51="","",IF(AK51="Primaria propuesta","Primaria propuesta",IF(AK51="Revisión para slot exploratorio","Revisión / posible primaria exploratoria",IF(AK51="No seleccionable","No seleccionable","Contexto no primario"))))</x:f>
      </x:c>
      <x:c r="AN51" s="69" t="str">
        <x:f>IF(A51="","",IF(AM51="Primaria propuesta",IF(AH51&gt;=75,"40+20 probable",IF(AH51&gt;=55,"40 base + causales selectivas","40 base + probes mínimos")),IF(AM51="Revisión / posible primaria exploratoria","B0/B0.5 reconstrucción antes de Runtime","No abre Runtime profundo")))</x:f>
      </x:c>
      <x:c r="AO51" s="69" t="str">
        <x:f>IF(A51="","",IF(Z51="BLOQUEADA","No probe",IF(AH51&gt;=75,"Alta",IF(AH51&gt;=55,"Media",IF(Z51="REVISIÓN","Exploratoria","Baja")))))</x:f>
      </x:c>
      <x:c r="AP51" s="69" t="str">
        <x:f>IF(A51="","",IF(M51="","unknown",IF(M51&gt;=2,"Prometedora","Débil / validar en B0.5-B1")))</x:f>
      </x:c>
      <x:c r="AQ51" s="69" t="str">
        <x:f>IF(A51="","",IF(N51="","unknown",IF(N51&gt;=2,"Prometedora","Débil / validar en B2")))</x:f>
      </x:c>
      <x:c r="AR51" s="69" t="str">
        <x:f>IF(A51="","",IF(O51="","unknown",IF(O51&gt;=2,"Prometedora","Débil / validar en B3-B4")))</x:f>
      </x:c>
      <x:c r="AS51" s="69" t="str">
        <x:f>IF(A51="","",IF(P51="","unknown",IF(P51&gt;=2,"Prometedora","Débil / validar en B2-B4")))</x:f>
      </x:c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 t="str">
        <x:f>IF(A52="","",COUNTBLANK(M52:P52))</x:f>
      </x:c>
      <x:c r="Z52" s="69" t="str">
        <x:f>IF(A52="","",IF(OR(E52="",G52="No",H52="No",I52="Responsabilidad genérica",I52="Demasiado amplia",I52="Microtarea",J52="Duplicado evidente"),"BLOQUEADA",IF(OR(I52="Ambigua",L52&lt;1,K52&lt;1),"REVISIÓN","ELEGIBLE")))</x:f>
      </x:c>
      <x:c r="AA52" s="69" t="str">
        <x:f>IF(A52="","",IF(Z52="BLOQUEADA",0,ROUND(100*(IF(M52="",1.5,M52)+IF(N52="",1.5,N52)+IF(O52="",1.5,O52)+IF(P52="",1.5,P52))/12,1)))</x:f>
      </x:c>
      <x:c r="AB52" s="69" t="str">
        <x:f>IF(A52="","",IF(Z52="BLOQUEADA",0,ROUND(100*IF(Q52="",1.5,Q52)/3,1)))</x:f>
      </x:c>
      <x:c r="AC52" s="69" t="str">
        <x:f>IF(A52="","",IF(Z52="BLOQUEADA",0,ROUND(100*IF(R52="",1.5,R52)/3,1)))</x:f>
      </x:c>
      <x:c r="AD52" s="69" t="str">
        <x:f>IF(A52="","",IF(Z52="BLOQUEADA",0,ROUND(100*IF(S52="",1.5,S52)/3,1)))</x:f>
      </x:c>
      <x:c r="AE52" s="69" t="str">
        <x:f>IF(A52="","",IF(Z52="BLOQUEADA",0,ROUND(100*IF(T52="",1.5,T52)/3,1)))</x:f>
      </x:c>
      <x:c r="AF52" s="69" t="str">
        <x:f>IF(A52="","",IF(Z52="BLOQUEADA",0,ROUND(100*IF(U52="",1.5,U52)/3,1)))</x:f>
      </x:c>
      <x:c r="AG52" s="69" t="str">
        <x:f>IF(A52="","",ROUND(IF(Z52="BLOQUEADA",100,(X52*10)+(V52*8)+(W52*8)),1))</x:f>
      </x:c>
      <x:c r="AH52" s="69" t="str">
        <x:f>IF(A52="","",IF(Z52="BLOQUEADA",0,MAX(0,ROUND(0.30*AA52+0.20*AB52+0.15*AC52+0.15*AD52+0.10*AE52+0.10*AF52-AG52,1))))</x:f>
      </x:c>
      <x:c r="AI52" s="69" t="str">
        <x:f>IF(A52="","",IF(Z52="ELEGIBLE",RANK.EQ(AH52,$AH$2:$AH$201,0),""))</x:f>
      </x:c>
      <x:c r="AJ52" s="69" t="str">
        <x:f>IF(A52="","",IF(Z52="BLOQUEADA","No aplica",IF(Z52="REVISIÓN","Slot 8 posible: exploratorio",IF(AI52&lt;=5,"Slot 1-5: alto potencial",IF(R52&gt;=2.5,"Slot 6: handoff/dependencia",IF(S52&gt;=2.5,"Slot 7: transformación/objeto",IF(AND(K52&gt;=1,U52&gt;=2),"Slot 8 posible: exploratorio","Backlog/contexto")))))))</x:f>
      </x:c>
      <x:c r="AK52" s="69" t="str">
        <x:f>IF(A52="","",IF(Z52="BLOQUEADA","No seleccionable",IF(Z52="REVISIÓN","Revisión para slot exploratorio",IF(AI52&lt;=8,"Primaria propuesta","Contexto no primario"))))</x:f>
      </x:c>
      <x:c r="AL52" s="69" t="str">
        <x:f>IF(A52="","",IF(OR(Z52="REVISIÓN",Y52&gt;=3,V52&gt;=2),"Sí","No"))</x:f>
      </x:c>
      <x:c r="AM52" s="69" t="str">
        <x:f>IF(A52="","",IF(AK52="Primaria propuesta","Primaria propuesta",IF(AK52="Revisión para slot exploratorio","Revisión / posible primaria exploratoria",IF(AK52="No seleccionable","No seleccionable","Contexto no primario"))))</x:f>
      </x:c>
      <x:c r="AN52" s="69" t="str">
        <x:f>IF(A52="","",IF(AM52="Primaria propuesta",IF(AH52&gt;=75,"40+20 probable",IF(AH52&gt;=55,"40 base + causales selectivas","40 base + probes mínimos")),IF(AM52="Revisión / posible primaria exploratoria","B0/B0.5 reconstrucción antes de Runtime","No abre Runtime profundo")))</x:f>
      </x:c>
      <x:c r="AO52" s="69" t="str">
        <x:f>IF(A52="","",IF(Z52="BLOQUEADA","No probe",IF(AH52&gt;=75,"Alta",IF(AH52&gt;=55,"Media",IF(Z52="REVISIÓN","Exploratoria","Baja")))))</x:f>
      </x:c>
      <x:c r="AP52" s="69" t="str">
        <x:f>IF(A52="","",IF(M52="","unknown",IF(M52&gt;=2,"Prometedora","Débil / validar en B0.5-B1")))</x:f>
      </x:c>
      <x:c r="AQ52" s="69" t="str">
        <x:f>IF(A52="","",IF(N52="","unknown",IF(N52&gt;=2,"Prometedora","Débil / validar en B2")))</x:f>
      </x:c>
      <x:c r="AR52" s="69" t="str">
        <x:f>IF(A52="","",IF(O52="","unknown",IF(O52&gt;=2,"Prometedora","Débil / validar en B3-B4")))</x:f>
      </x:c>
      <x:c r="AS52" s="69" t="str">
        <x:f>IF(A52="","",IF(P52="","unknown",IF(P52&gt;=2,"Prometedora","Débil / validar en B2-B4")))</x:f>
      </x:c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 t="str">
        <x:f>IF(A53="","",COUNTBLANK(M53:P53))</x:f>
      </x:c>
      <x:c r="Z53" s="69" t="str">
        <x:f>IF(A53="","",IF(OR(E53="",G53="No",H53="No",I53="Responsabilidad genérica",I53="Demasiado amplia",I53="Microtarea",J53="Duplicado evidente"),"BLOQUEADA",IF(OR(I53="Ambigua",L53&lt;1,K53&lt;1),"REVISIÓN","ELEGIBLE")))</x:f>
      </x:c>
      <x:c r="AA53" s="69" t="str">
        <x:f>IF(A53="","",IF(Z53="BLOQUEADA",0,ROUND(100*(IF(M53="",1.5,M53)+IF(N53="",1.5,N53)+IF(O53="",1.5,O53)+IF(P53="",1.5,P53))/12,1)))</x:f>
      </x:c>
      <x:c r="AB53" s="69" t="str">
        <x:f>IF(A53="","",IF(Z53="BLOQUEADA",0,ROUND(100*IF(Q53="",1.5,Q53)/3,1)))</x:f>
      </x:c>
      <x:c r="AC53" s="69" t="str">
        <x:f>IF(A53="","",IF(Z53="BLOQUEADA",0,ROUND(100*IF(R53="",1.5,R53)/3,1)))</x:f>
      </x:c>
      <x:c r="AD53" s="69" t="str">
        <x:f>IF(A53="","",IF(Z53="BLOQUEADA",0,ROUND(100*IF(S53="",1.5,S53)/3,1)))</x:f>
      </x:c>
      <x:c r="AE53" s="69" t="str">
        <x:f>IF(A53="","",IF(Z53="BLOQUEADA",0,ROUND(100*IF(T53="",1.5,T53)/3,1)))</x:f>
      </x:c>
      <x:c r="AF53" s="69" t="str">
        <x:f>IF(A53="","",IF(Z53="BLOQUEADA",0,ROUND(100*IF(U53="",1.5,U53)/3,1)))</x:f>
      </x:c>
      <x:c r="AG53" s="69" t="str">
        <x:f>IF(A53="","",ROUND(IF(Z53="BLOQUEADA",100,(X53*10)+(V53*8)+(W53*8)),1))</x:f>
      </x:c>
      <x:c r="AH53" s="69" t="str">
        <x:f>IF(A53="","",IF(Z53="BLOQUEADA",0,MAX(0,ROUND(0.30*AA53+0.20*AB53+0.15*AC53+0.15*AD53+0.10*AE53+0.10*AF53-AG53,1))))</x:f>
      </x:c>
      <x:c r="AI53" s="69" t="str">
        <x:f>IF(A53="","",IF(Z53="ELEGIBLE",RANK.EQ(AH53,$AH$2:$AH$201,0),""))</x:f>
      </x:c>
      <x:c r="AJ53" s="69" t="str">
        <x:f>IF(A53="","",IF(Z53="BLOQUEADA","No aplica",IF(Z53="REVISIÓN","Slot 8 posible: exploratorio",IF(AI53&lt;=5,"Slot 1-5: alto potencial",IF(R53&gt;=2.5,"Slot 6: handoff/dependencia",IF(S53&gt;=2.5,"Slot 7: transformación/objeto",IF(AND(K53&gt;=1,U53&gt;=2),"Slot 8 posible: exploratorio","Backlog/contexto")))))))</x:f>
      </x:c>
      <x:c r="AK53" s="69" t="str">
        <x:f>IF(A53="","",IF(Z53="BLOQUEADA","No seleccionable",IF(Z53="REVISIÓN","Revisión para slot exploratorio",IF(AI53&lt;=8,"Primaria propuesta","Contexto no primario"))))</x:f>
      </x:c>
      <x:c r="AL53" s="69" t="str">
        <x:f>IF(A53="","",IF(OR(Z53="REVISIÓN",Y53&gt;=3,V53&gt;=2),"Sí","No"))</x:f>
      </x:c>
      <x:c r="AM53" s="69" t="str">
        <x:f>IF(A53="","",IF(AK53="Primaria propuesta","Primaria propuesta",IF(AK53="Revisión para slot exploratorio","Revisión / posible primaria exploratoria",IF(AK53="No seleccionable","No seleccionable","Contexto no primario"))))</x:f>
      </x:c>
      <x:c r="AN53" s="69" t="str">
        <x:f>IF(A53="","",IF(AM53="Primaria propuesta",IF(AH53&gt;=75,"40+20 probable",IF(AH53&gt;=55,"40 base + causales selectivas","40 base + probes mínimos")),IF(AM53="Revisión / posible primaria exploratoria","B0/B0.5 reconstrucción antes de Runtime","No abre Runtime profundo")))</x:f>
      </x:c>
      <x:c r="AO53" s="69" t="str">
        <x:f>IF(A53="","",IF(Z53="BLOQUEADA","No probe",IF(AH53&gt;=75,"Alta",IF(AH53&gt;=55,"Media",IF(Z53="REVISIÓN","Exploratoria","Baja")))))</x:f>
      </x:c>
      <x:c r="AP53" s="69" t="str">
        <x:f>IF(A53="","",IF(M53="","unknown",IF(M53&gt;=2,"Prometedora","Débil / validar en B0.5-B1")))</x:f>
      </x:c>
      <x:c r="AQ53" s="69" t="str">
        <x:f>IF(A53="","",IF(N53="","unknown",IF(N53&gt;=2,"Prometedora","Débil / validar en B2")))</x:f>
      </x:c>
      <x:c r="AR53" s="69" t="str">
        <x:f>IF(A53="","",IF(O53="","unknown",IF(O53&gt;=2,"Prometedora","Débil / validar en B3-B4")))</x:f>
      </x:c>
      <x:c r="AS53" s="69" t="str">
        <x:f>IF(A53="","",IF(P53="","unknown",IF(P53&gt;=2,"Prometedora","Débil / validar en B2-B4")))</x:f>
      </x:c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 t="str">
        <x:f>IF(A54="","",COUNTBLANK(M54:P54))</x:f>
      </x:c>
      <x:c r="Z54" s="69" t="str">
        <x:f>IF(A54="","",IF(OR(E54="",G54="No",H54="No",I54="Responsabilidad genérica",I54="Demasiado amplia",I54="Microtarea",J54="Duplicado evidente"),"BLOQUEADA",IF(OR(I54="Ambigua",L54&lt;1,K54&lt;1),"REVISIÓN","ELEGIBLE")))</x:f>
      </x:c>
      <x:c r="AA54" s="69" t="str">
        <x:f>IF(A54="","",IF(Z54="BLOQUEADA",0,ROUND(100*(IF(M54="",1.5,M54)+IF(N54="",1.5,N54)+IF(O54="",1.5,O54)+IF(P54="",1.5,P54))/12,1)))</x:f>
      </x:c>
      <x:c r="AB54" s="69" t="str">
        <x:f>IF(A54="","",IF(Z54="BLOQUEADA",0,ROUND(100*IF(Q54="",1.5,Q54)/3,1)))</x:f>
      </x:c>
      <x:c r="AC54" s="69" t="str">
        <x:f>IF(A54="","",IF(Z54="BLOQUEADA",0,ROUND(100*IF(R54="",1.5,R54)/3,1)))</x:f>
      </x:c>
      <x:c r="AD54" s="69" t="str">
        <x:f>IF(A54="","",IF(Z54="BLOQUEADA",0,ROUND(100*IF(S54="",1.5,S54)/3,1)))</x:f>
      </x:c>
      <x:c r="AE54" s="69" t="str">
        <x:f>IF(A54="","",IF(Z54="BLOQUEADA",0,ROUND(100*IF(T54="",1.5,T54)/3,1)))</x:f>
      </x:c>
      <x:c r="AF54" s="69" t="str">
        <x:f>IF(A54="","",IF(Z54="BLOQUEADA",0,ROUND(100*IF(U54="",1.5,U54)/3,1)))</x:f>
      </x:c>
      <x:c r="AG54" s="69" t="str">
        <x:f>IF(A54="","",ROUND(IF(Z54="BLOQUEADA",100,(X54*10)+(V54*8)+(W54*8)),1))</x:f>
      </x:c>
      <x:c r="AH54" s="69" t="str">
        <x:f>IF(A54="","",IF(Z54="BLOQUEADA",0,MAX(0,ROUND(0.30*AA54+0.20*AB54+0.15*AC54+0.15*AD54+0.10*AE54+0.10*AF54-AG54,1))))</x:f>
      </x:c>
      <x:c r="AI54" s="69" t="str">
        <x:f>IF(A54="","",IF(Z54="ELEGIBLE",RANK.EQ(AH54,$AH$2:$AH$201,0),""))</x:f>
      </x:c>
      <x:c r="AJ54" s="69" t="str">
        <x:f>IF(A54="","",IF(Z54="BLOQUEADA","No aplica",IF(Z54="REVISIÓN","Slot 8 posible: exploratorio",IF(AI54&lt;=5,"Slot 1-5: alto potencial",IF(R54&gt;=2.5,"Slot 6: handoff/dependencia",IF(S54&gt;=2.5,"Slot 7: transformación/objeto",IF(AND(K54&gt;=1,U54&gt;=2),"Slot 8 posible: exploratorio","Backlog/contexto")))))))</x:f>
      </x:c>
      <x:c r="AK54" s="69" t="str">
        <x:f>IF(A54="","",IF(Z54="BLOQUEADA","No seleccionable",IF(Z54="REVISIÓN","Revisión para slot exploratorio",IF(AI54&lt;=8,"Primaria propuesta","Contexto no primario"))))</x:f>
      </x:c>
      <x:c r="AL54" s="69" t="str">
        <x:f>IF(A54="","",IF(OR(Z54="REVISIÓN",Y54&gt;=3,V54&gt;=2),"Sí","No"))</x:f>
      </x:c>
      <x:c r="AM54" s="69" t="str">
        <x:f>IF(A54="","",IF(AK54="Primaria propuesta","Primaria propuesta",IF(AK54="Revisión para slot exploratorio","Revisión / posible primaria exploratoria",IF(AK54="No seleccionable","No seleccionable","Contexto no primario"))))</x:f>
      </x:c>
      <x:c r="AN54" s="69" t="str">
        <x:f>IF(A54="","",IF(AM54="Primaria propuesta",IF(AH54&gt;=75,"40+20 probable",IF(AH54&gt;=55,"40 base + causales selectivas","40 base + probes mínimos")),IF(AM54="Revisión / posible primaria exploratoria","B0/B0.5 reconstrucción antes de Runtime","No abre Runtime profundo")))</x:f>
      </x:c>
      <x:c r="AO54" s="69" t="str">
        <x:f>IF(A54="","",IF(Z54="BLOQUEADA","No probe",IF(AH54&gt;=75,"Alta",IF(AH54&gt;=55,"Media",IF(Z54="REVISIÓN","Exploratoria","Baja")))))</x:f>
      </x:c>
      <x:c r="AP54" s="69" t="str">
        <x:f>IF(A54="","",IF(M54="","unknown",IF(M54&gt;=2,"Prometedora","Débil / validar en B0.5-B1")))</x:f>
      </x:c>
      <x:c r="AQ54" s="69" t="str">
        <x:f>IF(A54="","",IF(N54="","unknown",IF(N54&gt;=2,"Prometedora","Débil / validar en B2")))</x:f>
      </x:c>
      <x:c r="AR54" s="69" t="str">
        <x:f>IF(A54="","",IF(O54="","unknown",IF(O54&gt;=2,"Prometedora","Débil / validar en B3-B4")))</x:f>
      </x:c>
      <x:c r="AS54" s="69" t="str">
        <x:f>IF(A54="","",IF(P54="","unknown",IF(P54&gt;=2,"Prometedora","Débil / validar en B2-B4")))</x:f>
      </x:c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 t="str">
        <x:f>IF(A55="","",COUNTBLANK(M55:P55))</x:f>
      </x:c>
      <x:c r="Z55" s="69" t="str">
        <x:f>IF(A55="","",IF(OR(E55="",G55="No",H55="No",I55="Responsabilidad genérica",I55="Demasiado amplia",I55="Microtarea",J55="Duplicado evidente"),"BLOQUEADA",IF(OR(I55="Ambigua",L55&lt;1,K55&lt;1),"REVISIÓN","ELEGIBLE")))</x:f>
      </x:c>
      <x:c r="AA55" s="69" t="str">
        <x:f>IF(A55="","",IF(Z55="BLOQUEADA",0,ROUND(100*(IF(M55="",1.5,M55)+IF(N55="",1.5,N55)+IF(O55="",1.5,O55)+IF(P55="",1.5,P55))/12,1)))</x:f>
      </x:c>
      <x:c r="AB55" s="69" t="str">
        <x:f>IF(A55="","",IF(Z55="BLOQUEADA",0,ROUND(100*IF(Q55="",1.5,Q55)/3,1)))</x:f>
      </x:c>
      <x:c r="AC55" s="69" t="str">
        <x:f>IF(A55="","",IF(Z55="BLOQUEADA",0,ROUND(100*IF(R55="",1.5,R55)/3,1)))</x:f>
      </x:c>
      <x:c r="AD55" s="69" t="str">
        <x:f>IF(A55="","",IF(Z55="BLOQUEADA",0,ROUND(100*IF(S55="",1.5,S55)/3,1)))</x:f>
      </x:c>
      <x:c r="AE55" s="69" t="str">
        <x:f>IF(A55="","",IF(Z55="BLOQUEADA",0,ROUND(100*IF(T55="",1.5,T55)/3,1)))</x:f>
      </x:c>
      <x:c r="AF55" s="69" t="str">
        <x:f>IF(A55="","",IF(Z55="BLOQUEADA",0,ROUND(100*IF(U55="",1.5,U55)/3,1)))</x:f>
      </x:c>
      <x:c r="AG55" s="69" t="str">
        <x:f>IF(A55="","",ROUND(IF(Z55="BLOQUEADA",100,(X55*10)+(V55*8)+(W55*8)),1))</x:f>
      </x:c>
      <x:c r="AH55" s="69" t="str">
        <x:f>IF(A55="","",IF(Z55="BLOQUEADA",0,MAX(0,ROUND(0.30*AA55+0.20*AB55+0.15*AC55+0.15*AD55+0.10*AE55+0.10*AF55-AG55,1))))</x:f>
      </x:c>
      <x:c r="AI55" s="69" t="str">
        <x:f>IF(A55="","",IF(Z55="ELEGIBLE",RANK.EQ(AH55,$AH$2:$AH$201,0),""))</x:f>
      </x:c>
      <x:c r="AJ55" s="69" t="str">
        <x:f>IF(A55="","",IF(Z55="BLOQUEADA","No aplica",IF(Z55="REVISIÓN","Slot 8 posible: exploratorio",IF(AI55&lt;=5,"Slot 1-5: alto potencial",IF(R55&gt;=2.5,"Slot 6: handoff/dependencia",IF(S55&gt;=2.5,"Slot 7: transformación/objeto",IF(AND(K55&gt;=1,U55&gt;=2),"Slot 8 posible: exploratorio","Backlog/contexto")))))))</x:f>
      </x:c>
      <x:c r="AK55" s="69" t="str">
        <x:f>IF(A55="","",IF(Z55="BLOQUEADA","No seleccionable",IF(Z55="REVISIÓN","Revisión para slot exploratorio",IF(AI55&lt;=8,"Primaria propuesta","Contexto no primario"))))</x:f>
      </x:c>
      <x:c r="AL55" s="69" t="str">
        <x:f>IF(A55="","",IF(OR(Z55="REVISIÓN",Y55&gt;=3,V55&gt;=2),"Sí","No"))</x:f>
      </x:c>
      <x:c r="AM55" s="69" t="str">
        <x:f>IF(A55="","",IF(AK55="Primaria propuesta","Primaria propuesta",IF(AK55="Revisión para slot exploratorio","Revisión / posible primaria exploratoria",IF(AK55="No seleccionable","No seleccionable","Contexto no primario"))))</x:f>
      </x:c>
      <x:c r="AN55" s="69" t="str">
        <x:f>IF(A55="","",IF(AM55="Primaria propuesta",IF(AH55&gt;=75,"40+20 probable",IF(AH55&gt;=55,"40 base + causales selectivas","40 base + probes mínimos")),IF(AM55="Revisión / posible primaria exploratoria","B0/B0.5 reconstrucción antes de Runtime","No abre Runtime profundo")))</x:f>
      </x:c>
      <x:c r="AO55" s="69" t="str">
        <x:f>IF(A55="","",IF(Z55="BLOQUEADA","No probe",IF(AH55&gt;=75,"Alta",IF(AH55&gt;=55,"Media",IF(Z55="REVISIÓN","Exploratoria","Baja")))))</x:f>
      </x:c>
      <x:c r="AP55" s="69" t="str">
        <x:f>IF(A55="","",IF(M55="","unknown",IF(M55&gt;=2,"Prometedora","Débil / validar en B0.5-B1")))</x:f>
      </x:c>
      <x:c r="AQ55" s="69" t="str">
        <x:f>IF(A55="","",IF(N55="","unknown",IF(N55&gt;=2,"Prometedora","Débil / validar en B2")))</x:f>
      </x:c>
      <x:c r="AR55" s="69" t="str">
        <x:f>IF(A55="","",IF(O55="","unknown",IF(O55&gt;=2,"Prometedora","Débil / validar en B3-B4")))</x:f>
      </x:c>
      <x:c r="AS55" s="69" t="str">
        <x:f>IF(A55="","",IF(P55="","unknown",IF(P55&gt;=2,"Prometedora","Débil / validar en B2-B4")))</x:f>
      </x:c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 t="str">
        <x:f>IF(A56="","",COUNTBLANK(M56:P56))</x:f>
      </x:c>
      <x:c r="Z56" s="69" t="str">
        <x:f>IF(A56="","",IF(OR(E56="",G56="No",H56="No",I56="Responsabilidad genérica",I56="Demasiado amplia",I56="Microtarea",J56="Duplicado evidente"),"BLOQUEADA",IF(OR(I56="Ambigua",L56&lt;1,K56&lt;1),"REVISIÓN","ELEGIBLE")))</x:f>
      </x:c>
      <x:c r="AA56" s="69" t="str">
        <x:f>IF(A56="","",IF(Z56="BLOQUEADA",0,ROUND(100*(IF(M56="",1.5,M56)+IF(N56="",1.5,N56)+IF(O56="",1.5,O56)+IF(P56="",1.5,P56))/12,1)))</x:f>
      </x:c>
      <x:c r="AB56" s="69" t="str">
        <x:f>IF(A56="","",IF(Z56="BLOQUEADA",0,ROUND(100*IF(Q56="",1.5,Q56)/3,1)))</x:f>
      </x:c>
      <x:c r="AC56" s="69" t="str">
        <x:f>IF(A56="","",IF(Z56="BLOQUEADA",0,ROUND(100*IF(R56="",1.5,R56)/3,1)))</x:f>
      </x:c>
      <x:c r="AD56" s="69" t="str">
        <x:f>IF(A56="","",IF(Z56="BLOQUEADA",0,ROUND(100*IF(S56="",1.5,S56)/3,1)))</x:f>
      </x:c>
      <x:c r="AE56" s="69" t="str">
        <x:f>IF(A56="","",IF(Z56="BLOQUEADA",0,ROUND(100*IF(T56="",1.5,T56)/3,1)))</x:f>
      </x:c>
      <x:c r="AF56" s="69" t="str">
        <x:f>IF(A56="","",IF(Z56="BLOQUEADA",0,ROUND(100*IF(U56="",1.5,U56)/3,1)))</x:f>
      </x:c>
      <x:c r="AG56" s="69" t="str">
        <x:f>IF(A56="","",ROUND(IF(Z56="BLOQUEADA",100,(X56*10)+(V56*8)+(W56*8)),1))</x:f>
      </x:c>
      <x:c r="AH56" s="69" t="str">
        <x:f>IF(A56="","",IF(Z56="BLOQUEADA",0,MAX(0,ROUND(0.30*AA56+0.20*AB56+0.15*AC56+0.15*AD56+0.10*AE56+0.10*AF56-AG56,1))))</x:f>
      </x:c>
      <x:c r="AI56" s="69" t="str">
        <x:f>IF(A56="","",IF(Z56="ELEGIBLE",RANK.EQ(AH56,$AH$2:$AH$201,0),""))</x:f>
      </x:c>
      <x:c r="AJ56" s="69" t="str">
        <x:f>IF(A56="","",IF(Z56="BLOQUEADA","No aplica",IF(Z56="REVISIÓN","Slot 8 posible: exploratorio",IF(AI56&lt;=5,"Slot 1-5: alto potencial",IF(R56&gt;=2.5,"Slot 6: handoff/dependencia",IF(S56&gt;=2.5,"Slot 7: transformación/objeto",IF(AND(K56&gt;=1,U56&gt;=2),"Slot 8 posible: exploratorio","Backlog/contexto")))))))</x:f>
      </x:c>
      <x:c r="AK56" s="69" t="str">
        <x:f>IF(A56="","",IF(Z56="BLOQUEADA","No seleccionable",IF(Z56="REVISIÓN","Revisión para slot exploratorio",IF(AI56&lt;=8,"Primaria propuesta","Contexto no primario"))))</x:f>
      </x:c>
      <x:c r="AL56" s="69" t="str">
        <x:f>IF(A56="","",IF(OR(Z56="REVISIÓN",Y56&gt;=3,V56&gt;=2),"Sí","No"))</x:f>
      </x:c>
      <x:c r="AM56" s="69" t="str">
        <x:f>IF(A56="","",IF(AK56="Primaria propuesta","Primaria propuesta",IF(AK56="Revisión para slot exploratorio","Revisión / posible primaria exploratoria",IF(AK56="No seleccionable","No seleccionable","Contexto no primario"))))</x:f>
      </x:c>
      <x:c r="AN56" s="69" t="str">
        <x:f>IF(A56="","",IF(AM56="Primaria propuesta",IF(AH56&gt;=75,"40+20 probable",IF(AH56&gt;=55,"40 base + causales selectivas","40 base + probes mínimos")),IF(AM56="Revisión / posible primaria exploratoria","B0/B0.5 reconstrucción antes de Runtime","No abre Runtime profundo")))</x:f>
      </x:c>
      <x:c r="AO56" s="69" t="str">
        <x:f>IF(A56="","",IF(Z56="BLOQUEADA","No probe",IF(AH56&gt;=75,"Alta",IF(AH56&gt;=55,"Media",IF(Z56="REVISIÓN","Exploratoria","Baja")))))</x:f>
      </x:c>
      <x:c r="AP56" s="69" t="str">
        <x:f>IF(A56="","",IF(M56="","unknown",IF(M56&gt;=2,"Prometedora","Débil / validar en B0.5-B1")))</x:f>
      </x:c>
      <x:c r="AQ56" s="69" t="str">
        <x:f>IF(A56="","",IF(N56="","unknown",IF(N56&gt;=2,"Prometedora","Débil / validar en B2")))</x:f>
      </x:c>
      <x:c r="AR56" s="69" t="str">
        <x:f>IF(A56="","",IF(O56="","unknown",IF(O56&gt;=2,"Prometedora","Débil / validar en B3-B4")))</x:f>
      </x:c>
      <x:c r="AS56" s="69" t="str">
        <x:f>IF(A56="","",IF(P56="","unknown",IF(P56&gt;=2,"Prometedora","Débil / validar en B2-B4")))</x:f>
      </x:c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 t="str">
        <x:f>IF(A57="","",COUNTBLANK(M57:P57))</x:f>
      </x:c>
      <x:c r="Z57" s="69" t="str">
        <x:f>IF(A57="","",IF(OR(E57="",G57="No",H57="No",I57="Responsabilidad genérica",I57="Demasiado amplia",I57="Microtarea",J57="Duplicado evidente"),"BLOQUEADA",IF(OR(I57="Ambigua",L57&lt;1,K57&lt;1),"REVISIÓN","ELEGIBLE")))</x:f>
      </x:c>
      <x:c r="AA57" s="69" t="str">
        <x:f>IF(A57="","",IF(Z57="BLOQUEADA",0,ROUND(100*(IF(M57="",1.5,M57)+IF(N57="",1.5,N57)+IF(O57="",1.5,O57)+IF(P57="",1.5,P57))/12,1)))</x:f>
      </x:c>
      <x:c r="AB57" s="69" t="str">
        <x:f>IF(A57="","",IF(Z57="BLOQUEADA",0,ROUND(100*IF(Q57="",1.5,Q57)/3,1)))</x:f>
      </x:c>
      <x:c r="AC57" s="69" t="str">
        <x:f>IF(A57="","",IF(Z57="BLOQUEADA",0,ROUND(100*IF(R57="",1.5,R57)/3,1)))</x:f>
      </x:c>
      <x:c r="AD57" s="69" t="str">
        <x:f>IF(A57="","",IF(Z57="BLOQUEADA",0,ROUND(100*IF(S57="",1.5,S57)/3,1)))</x:f>
      </x:c>
      <x:c r="AE57" s="69" t="str">
        <x:f>IF(A57="","",IF(Z57="BLOQUEADA",0,ROUND(100*IF(T57="",1.5,T57)/3,1)))</x:f>
      </x:c>
      <x:c r="AF57" s="69" t="str">
        <x:f>IF(A57="","",IF(Z57="BLOQUEADA",0,ROUND(100*IF(U57="",1.5,U57)/3,1)))</x:f>
      </x:c>
      <x:c r="AG57" s="69" t="str">
        <x:f>IF(A57="","",ROUND(IF(Z57="BLOQUEADA",100,(X57*10)+(V57*8)+(W57*8)),1))</x:f>
      </x:c>
      <x:c r="AH57" s="69" t="str">
        <x:f>IF(A57="","",IF(Z57="BLOQUEADA",0,MAX(0,ROUND(0.30*AA57+0.20*AB57+0.15*AC57+0.15*AD57+0.10*AE57+0.10*AF57-AG57,1))))</x:f>
      </x:c>
      <x:c r="AI57" s="69" t="str">
        <x:f>IF(A57="","",IF(Z57="ELEGIBLE",RANK.EQ(AH57,$AH$2:$AH$201,0),""))</x:f>
      </x:c>
      <x:c r="AJ57" s="69" t="str">
        <x:f>IF(A57="","",IF(Z57="BLOQUEADA","No aplica",IF(Z57="REVISIÓN","Slot 8 posible: exploratorio",IF(AI57&lt;=5,"Slot 1-5: alto potencial",IF(R57&gt;=2.5,"Slot 6: handoff/dependencia",IF(S57&gt;=2.5,"Slot 7: transformación/objeto",IF(AND(K57&gt;=1,U57&gt;=2),"Slot 8 posible: exploratorio","Backlog/contexto")))))))</x:f>
      </x:c>
      <x:c r="AK57" s="69" t="str">
        <x:f>IF(A57="","",IF(Z57="BLOQUEADA","No seleccionable",IF(Z57="REVISIÓN","Revisión para slot exploratorio",IF(AI57&lt;=8,"Primaria propuesta","Contexto no primario"))))</x:f>
      </x:c>
      <x:c r="AL57" s="69" t="str">
        <x:f>IF(A57="","",IF(OR(Z57="REVISIÓN",Y57&gt;=3,V57&gt;=2),"Sí","No"))</x:f>
      </x:c>
      <x:c r="AM57" s="69" t="str">
        <x:f>IF(A57="","",IF(AK57="Primaria propuesta","Primaria propuesta",IF(AK57="Revisión para slot exploratorio","Revisión / posible primaria exploratoria",IF(AK57="No seleccionable","No seleccionable","Contexto no primario"))))</x:f>
      </x:c>
      <x:c r="AN57" s="69" t="str">
        <x:f>IF(A57="","",IF(AM57="Primaria propuesta",IF(AH57&gt;=75,"40+20 probable",IF(AH57&gt;=55,"40 base + causales selectivas","40 base + probes mínimos")),IF(AM57="Revisión / posible primaria exploratoria","B0/B0.5 reconstrucción antes de Runtime","No abre Runtime profundo")))</x:f>
      </x:c>
      <x:c r="AO57" s="69" t="str">
        <x:f>IF(A57="","",IF(Z57="BLOQUEADA","No probe",IF(AH57&gt;=75,"Alta",IF(AH57&gt;=55,"Media",IF(Z57="REVISIÓN","Exploratoria","Baja")))))</x:f>
      </x:c>
      <x:c r="AP57" s="69" t="str">
        <x:f>IF(A57="","",IF(M57="","unknown",IF(M57&gt;=2,"Prometedora","Débil / validar en B0.5-B1")))</x:f>
      </x:c>
      <x:c r="AQ57" s="69" t="str">
        <x:f>IF(A57="","",IF(N57="","unknown",IF(N57&gt;=2,"Prometedora","Débil / validar en B2")))</x:f>
      </x:c>
      <x:c r="AR57" s="69" t="str">
        <x:f>IF(A57="","",IF(O57="","unknown",IF(O57&gt;=2,"Prometedora","Débil / validar en B3-B4")))</x:f>
      </x:c>
      <x:c r="AS57" s="69" t="str">
        <x:f>IF(A57="","",IF(P57="","unknown",IF(P57&gt;=2,"Prometedora","Débil / validar en B2-B4")))</x:f>
      </x:c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 t="str">
        <x:f>IF(A58="","",COUNTBLANK(M58:P58))</x:f>
      </x:c>
      <x:c r="Z58" s="69" t="str">
        <x:f>IF(A58="","",IF(OR(E58="",G58="No",H58="No",I58="Responsabilidad genérica",I58="Demasiado amplia",I58="Microtarea",J58="Duplicado evidente"),"BLOQUEADA",IF(OR(I58="Ambigua",L58&lt;1,K58&lt;1),"REVISIÓN","ELEGIBLE")))</x:f>
      </x:c>
      <x:c r="AA58" s="69" t="str">
        <x:f>IF(A58="","",IF(Z58="BLOQUEADA",0,ROUND(100*(IF(M58="",1.5,M58)+IF(N58="",1.5,N58)+IF(O58="",1.5,O58)+IF(P58="",1.5,P58))/12,1)))</x:f>
      </x:c>
      <x:c r="AB58" s="69" t="str">
        <x:f>IF(A58="","",IF(Z58="BLOQUEADA",0,ROUND(100*IF(Q58="",1.5,Q58)/3,1)))</x:f>
      </x:c>
      <x:c r="AC58" s="69" t="str">
        <x:f>IF(A58="","",IF(Z58="BLOQUEADA",0,ROUND(100*IF(R58="",1.5,R58)/3,1)))</x:f>
      </x:c>
      <x:c r="AD58" s="69" t="str">
        <x:f>IF(A58="","",IF(Z58="BLOQUEADA",0,ROUND(100*IF(S58="",1.5,S58)/3,1)))</x:f>
      </x:c>
      <x:c r="AE58" s="69" t="str">
        <x:f>IF(A58="","",IF(Z58="BLOQUEADA",0,ROUND(100*IF(T58="",1.5,T58)/3,1)))</x:f>
      </x:c>
      <x:c r="AF58" s="69" t="str">
        <x:f>IF(A58="","",IF(Z58="BLOQUEADA",0,ROUND(100*IF(U58="",1.5,U58)/3,1)))</x:f>
      </x:c>
      <x:c r="AG58" s="69" t="str">
        <x:f>IF(A58="","",ROUND(IF(Z58="BLOQUEADA",100,(X58*10)+(V58*8)+(W58*8)),1))</x:f>
      </x:c>
      <x:c r="AH58" s="69" t="str">
        <x:f>IF(A58="","",IF(Z58="BLOQUEADA",0,MAX(0,ROUND(0.30*AA58+0.20*AB58+0.15*AC58+0.15*AD58+0.10*AE58+0.10*AF58-AG58,1))))</x:f>
      </x:c>
      <x:c r="AI58" s="69" t="str">
        <x:f>IF(A58="","",IF(Z58="ELEGIBLE",RANK.EQ(AH58,$AH$2:$AH$201,0),""))</x:f>
      </x:c>
      <x:c r="AJ58" s="69" t="str">
        <x:f>IF(A58="","",IF(Z58="BLOQUEADA","No aplica",IF(Z58="REVISIÓN","Slot 8 posible: exploratorio",IF(AI58&lt;=5,"Slot 1-5: alto potencial",IF(R58&gt;=2.5,"Slot 6: handoff/dependencia",IF(S58&gt;=2.5,"Slot 7: transformación/objeto",IF(AND(K58&gt;=1,U58&gt;=2),"Slot 8 posible: exploratorio","Backlog/contexto")))))))</x:f>
      </x:c>
      <x:c r="AK58" s="69" t="str">
        <x:f>IF(A58="","",IF(Z58="BLOQUEADA","No seleccionable",IF(Z58="REVISIÓN","Revisión para slot exploratorio",IF(AI58&lt;=8,"Primaria propuesta","Contexto no primario"))))</x:f>
      </x:c>
      <x:c r="AL58" s="69" t="str">
        <x:f>IF(A58="","",IF(OR(Z58="REVISIÓN",Y58&gt;=3,V58&gt;=2),"Sí","No"))</x:f>
      </x:c>
      <x:c r="AM58" s="69" t="str">
        <x:f>IF(A58="","",IF(AK58="Primaria propuesta","Primaria propuesta",IF(AK58="Revisión para slot exploratorio","Revisión / posible primaria exploratoria",IF(AK58="No seleccionable","No seleccionable","Contexto no primario"))))</x:f>
      </x:c>
      <x:c r="AN58" s="69" t="str">
        <x:f>IF(A58="","",IF(AM58="Primaria propuesta",IF(AH58&gt;=75,"40+20 probable",IF(AH58&gt;=55,"40 base + causales selectivas","40 base + probes mínimos")),IF(AM58="Revisión / posible primaria exploratoria","B0/B0.5 reconstrucción antes de Runtime","No abre Runtime profundo")))</x:f>
      </x:c>
      <x:c r="AO58" s="69" t="str">
        <x:f>IF(A58="","",IF(Z58="BLOQUEADA","No probe",IF(AH58&gt;=75,"Alta",IF(AH58&gt;=55,"Media",IF(Z58="REVISIÓN","Exploratoria","Baja")))))</x:f>
      </x:c>
      <x:c r="AP58" s="69" t="str">
        <x:f>IF(A58="","",IF(M58="","unknown",IF(M58&gt;=2,"Prometedora","Débil / validar en B0.5-B1")))</x:f>
      </x:c>
      <x:c r="AQ58" s="69" t="str">
        <x:f>IF(A58="","",IF(N58="","unknown",IF(N58&gt;=2,"Prometedora","Débil / validar en B2")))</x:f>
      </x:c>
      <x:c r="AR58" s="69" t="str">
        <x:f>IF(A58="","",IF(O58="","unknown",IF(O58&gt;=2,"Prometedora","Débil / validar en B3-B4")))</x:f>
      </x:c>
      <x:c r="AS58" s="69" t="str">
        <x:f>IF(A58="","",IF(P58="","unknown",IF(P58&gt;=2,"Prometedora","Débil / validar en B2-B4")))</x:f>
      </x:c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 t="str">
        <x:f>IF(A59="","",COUNTBLANK(M59:P59))</x:f>
      </x:c>
      <x:c r="Z59" s="69" t="str">
        <x:f>IF(A59="","",IF(OR(E59="",G59="No",H59="No",I59="Responsabilidad genérica",I59="Demasiado amplia",I59="Microtarea",J59="Duplicado evidente"),"BLOQUEADA",IF(OR(I59="Ambigua",L59&lt;1,K59&lt;1),"REVISIÓN","ELEGIBLE")))</x:f>
      </x:c>
      <x:c r="AA59" s="69" t="str">
        <x:f>IF(A59="","",IF(Z59="BLOQUEADA",0,ROUND(100*(IF(M59="",1.5,M59)+IF(N59="",1.5,N59)+IF(O59="",1.5,O59)+IF(P59="",1.5,P59))/12,1)))</x:f>
      </x:c>
      <x:c r="AB59" s="69" t="str">
        <x:f>IF(A59="","",IF(Z59="BLOQUEADA",0,ROUND(100*IF(Q59="",1.5,Q59)/3,1)))</x:f>
      </x:c>
      <x:c r="AC59" s="69" t="str">
        <x:f>IF(A59="","",IF(Z59="BLOQUEADA",0,ROUND(100*IF(R59="",1.5,R59)/3,1)))</x:f>
      </x:c>
      <x:c r="AD59" s="69" t="str">
        <x:f>IF(A59="","",IF(Z59="BLOQUEADA",0,ROUND(100*IF(S59="",1.5,S59)/3,1)))</x:f>
      </x:c>
      <x:c r="AE59" s="69" t="str">
        <x:f>IF(A59="","",IF(Z59="BLOQUEADA",0,ROUND(100*IF(T59="",1.5,T59)/3,1)))</x:f>
      </x:c>
      <x:c r="AF59" s="69" t="str">
        <x:f>IF(A59="","",IF(Z59="BLOQUEADA",0,ROUND(100*IF(U59="",1.5,U59)/3,1)))</x:f>
      </x:c>
      <x:c r="AG59" s="69" t="str">
        <x:f>IF(A59="","",ROUND(IF(Z59="BLOQUEADA",100,(X59*10)+(V59*8)+(W59*8)),1))</x:f>
      </x:c>
      <x:c r="AH59" s="69" t="str">
        <x:f>IF(A59="","",IF(Z59="BLOQUEADA",0,MAX(0,ROUND(0.30*AA59+0.20*AB59+0.15*AC59+0.15*AD59+0.10*AE59+0.10*AF59-AG59,1))))</x:f>
      </x:c>
      <x:c r="AI59" s="69" t="str">
        <x:f>IF(A59="","",IF(Z59="ELEGIBLE",RANK.EQ(AH59,$AH$2:$AH$201,0),""))</x:f>
      </x:c>
      <x:c r="AJ59" s="69" t="str">
        <x:f>IF(A59="","",IF(Z59="BLOQUEADA","No aplica",IF(Z59="REVISIÓN","Slot 8 posible: exploratorio",IF(AI59&lt;=5,"Slot 1-5: alto potencial",IF(R59&gt;=2.5,"Slot 6: handoff/dependencia",IF(S59&gt;=2.5,"Slot 7: transformación/objeto",IF(AND(K59&gt;=1,U59&gt;=2),"Slot 8 posible: exploratorio","Backlog/contexto")))))))</x:f>
      </x:c>
      <x:c r="AK59" s="69" t="str">
        <x:f>IF(A59="","",IF(Z59="BLOQUEADA","No seleccionable",IF(Z59="REVISIÓN","Revisión para slot exploratorio",IF(AI59&lt;=8,"Primaria propuesta","Contexto no primario"))))</x:f>
      </x:c>
      <x:c r="AL59" s="69" t="str">
        <x:f>IF(A59="","",IF(OR(Z59="REVISIÓN",Y59&gt;=3,V59&gt;=2),"Sí","No"))</x:f>
      </x:c>
      <x:c r="AM59" s="69" t="str">
        <x:f>IF(A59="","",IF(AK59="Primaria propuesta","Primaria propuesta",IF(AK59="Revisión para slot exploratorio","Revisión / posible primaria exploratoria",IF(AK59="No seleccionable","No seleccionable","Contexto no primario"))))</x:f>
      </x:c>
      <x:c r="AN59" s="69" t="str">
        <x:f>IF(A59="","",IF(AM59="Primaria propuesta",IF(AH59&gt;=75,"40+20 probable",IF(AH59&gt;=55,"40 base + causales selectivas","40 base + probes mínimos")),IF(AM59="Revisión / posible primaria exploratoria","B0/B0.5 reconstrucción antes de Runtime","No abre Runtime profundo")))</x:f>
      </x:c>
      <x:c r="AO59" s="69" t="str">
        <x:f>IF(A59="","",IF(Z59="BLOQUEADA","No probe",IF(AH59&gt;=75,"Alta",IF(AH59&gt;=55,"Media",IF(Z59="REVISIÓN","Exploratoria","Baja")))))</x:f>
      </x:c>
      <x:c r="AP59" s="69" t="str">
        <x:f>IF(A59="","",IF(M59="","unknown",IF(M59&gt;=2,"Prometedora","Débil / validar en B0.5-B1")))</x:f>
      </x:c>
      <x:c r="AQ59" s="69" t="str">
        <x:f>IF(A59="","",IF(N59="","unknown",IF(N59&gt;=2,"Prometedora","Débil / validar en B2")))</x:f>
      </x:c>
      <x:c r="AR59" s="69" t="str">
        <x:f>IF(A59="","",IF(O59="","unknown",IF(O59&gt;=2,"Prometedora","Débil / validar en B3-B4")))</x:f>
      </x:c>
      <x:c r="AS59" s="69" t="str">
        <x:f>IF(A59="","",IF(P59="","unknown",IF(P59&gt;=2,"Prometedora","Débil / validar en B2-B4")))</x:f>
      </x:c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 t="str">
        <x:f>IF(A60="","",COUNTBLANK(M60:P60))</x:f>
      </x:c>
      <x:c r="Z60" s="69" t="str">
        <x:f>IF(A60="","",IF(OR(E60="",G60="No",H60="No",I60="Responsabilidad genérica",I60="Demasiado amplia",I60="Microtarea",J60="Duplicado evidente"),"BLOQUEADA",IF(OR(I60="Ambigua",L60&lt;1,K60&lt;1),"REVISIÓN","ELEGIBLE")))</x:f>
      </x:c>
      <x:c r="AA60" s="69" t="str">
        <x:f>IF(A60="","",IF(Z60="BLOQUEADA",0,ROUND(100*(IF(M60="",1.5,M60)+IF(N60="",1.5,N60)+IF(O60="",1.5,O60)+IF(P60="",1.5,P60))/12,1)))</x:f>
      </x:c>
      <x:c r="AB60" s="69" t="str">
        <x:f>IF(A60="","",IF(Z60="BLOQUEADA",0,ROUND(100*IF(Q60="",1.5,Q60)/3,1)))</x:f>
      </x:c>
      <x:c r="AC60" s="69" t="str">
        <x:f>IF(A60="","",IF(Z60="BLOQUEADA",0,ROUND(100*IF(R60="",1.5,R60)/3,1)))</x:f>
      </x:c>
      <x:c r="AD60" s="69" t="str">
        <x:f>IF(A60="","",IF(Z60="BLOQUEADA",0,ROUND(100*IF(S60="",1.5,S60)/3,1)))</x:f>
      </x:c>
      <x:c r="AE60" s="69" t="str">
        <x:f>IF(A60="","",IF(Z60="BLOQUEADA",0,ROUND(100*IF(T60="",1.5,T60)/3,1)))</x:f>
      </x:c>
      <x:c r="AF60" s="69" t="str">
        <x:f>IF(A60="","",IF(Z60="BLOQUEADA",0,ROUND(100*IF(U60="",1.5,U60)/3,1)))</x:f>
      </x:c>
      <x:c r="AG60" s="69" t="str">
        <x:f>IF(A60="","",ROUND(IF(Z60="BLOQUEADA",100,(X60*10)+(V60*8)+(W60*8)),1))</x:f>
      </x:c>
      <x:c r="AH60" s="69" t="str">
        <x:f>IF(A60="","",IF(Z60="BLOQUEADA",0,MAX(0,ROUND(0.30*AA60+0.20*AB60+0.15*AC60+0.15*AD60+0.10*AE60+0.10*AF60-AG60,1))))</x:f>
      </x:c>
      <x:c r="AI60" s="69" t="str">
        <x:f>IF(A60="","",IF(Z60="ELEGIBLE",RANK.EQ(AH60,$AH$2:$AH$201,0),""))</x:f>
      </x:c>
      <x:c r="AJ60" s="69" t="str">
        <x:f>IF(A60="","",IF(Z60="BLOQUEADA","No aplica",IF(Z60="REVISIÓN","Slot 8 posible: exploratorio",IF(AI60&lt;=5,"Slot 1-5: alto potencial",IF(R60&gt;=2.5,"Slot 6: handoff/dependencia",IF(S60&gt;=2.5,"Slot 7: transformación/objeto",IF(AND(K60&gt;=1,U60&gt;=2),"Slot 8 posible: exploratorio","Backlog/contexto")))))))</x:f>
      </x:c>
      <x:c r="AK60" s="69" t="str">
        <x:f>IF(A60="","",IF(Z60="BLOQUEADA","No seleccionable",IF(Z60="REVISIÓN","Revisión para slot exploratorio",IF(AI60&lt;=8,"Primaria propuesta","Contexto no primario"))))</x:f>
      </x:c>
      <x:c r="AL60" s="69" t="str">
        <x:f>IF(A60="","",IF(OR(Z60="REVISIÓN",Y60&gt;=3,V60&gt;=2),"Sí","No"))</x:f>
      </x:c>
      <x:c r="AM60" s="69" t="str">
        <x:f>IF(A60="","",IF(AK60="Primaria propuesta","Primaria propuesta",IF(AK60="Revisión para slot exploratorio","Revisión / posible primaria exploratoria",IF(AK60="No seleccionable","No seleccionable","Contexto no primario"))))</x:f>
      </x:c>
      <x:c r="AN60" s="69" t="str">
        <x:f>IF(A60="","",IF(AM60="Primaria propuesta",IF(AH60&gt;=75,"40+20 probable",IF(AH60&gt;=55,"40 base + causales selectivas","40 base + probes mínimos")),IF(AM60="Revisión / posible primaria exploratoria","B0/B0.5 reconstrucción antes de Runtime","No abre Runtime profundo")))</x:f>
      </x:c>
      <x:c r="AO60" s="69" t="str">
        <x:f>IF(A60="","",IF(Z60="BLOQUEADA","No probe",IF(AH60&gt;=75,"Alta",IF(AH60&gt;=55,"Media",IF(Z60="REVISIÓN","Exploratoria","Baja")))))</x:f>
      </x:c>
      <x:c r="AP60" s="69" t="str">
        <x:f>IF(A60="","",IF(M60="","unknown",IF(M60&gt;=2,"Prometedora","Débil / validar en B0.5-B1")))</x:f>
      </x:c>
      <x:c r="AQ60" s="69" t="str">
        <x:f>IF(A60="","",IF(N60="","unknown",IF(N60&gt;=2,"Prometedora","Débil / validar en B2")))</x:f>
      </x:c>
      <x:c r="AR60" s="69" t="str">
        <x:f>IF(A60="","",IF(O60="","unknown",IF(O60&gt;=2,"Prometedora","Débil / validar en B3-B4")))</x:f>
      </x:c>
      <x:c r="AS60" s="69" t="str">
        <x:f>IF(A60="","",IF(P60="","unknown",IF(P60&gt;=2,"Prometedora","Débil / validar en B2-B4")))</x:f>
      </x:c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 t="str">
        <x:f>IF(A61="","",COUNTBLANK(M61:P61))</x:f>
      </x:c>
      <x:c r="Z61" s="69" t="str">
        <x:f>IF(A61="","",IF(OR(E61="",G61="No",H61="No",I61="Responsabilidad genérica",I61="Demasiado amplia",I61="Microtarea",J61="Duplicado evidente"),"BLOQUEADA",IF(OR(I61="Ambigua",L61&lt;1,K61&lt;1),"REVISIÓN","ELEGIBLE")))</x:f>
      </x:c>
      <x:c r="AA61" s="69" t="str">
        <x:f>IF(A61="","",IF(Z61="BLOQUEADA",0,ROUND(100*(IF(M61="",1.5,M61)+IF(N61="",1.5,N61)+IF(O61="",1.5,O61)+IF(P61="",1.5,P61))/12,1)))</x:f>
      </x:c>
      <x:c r="AB61" s="69" t="str">
        <x:f>IF(A61="","",IF(Z61="BLOQUEADA",0,ROUND(100*IF(Q61="",1.5,Q61)/3,1)))</x:f>
      </x:c>
      <x:c r="AC61" s="69" t="str">
        <x:f>IF(A61="","",IF(Z61="BLOQUEADA",0,ROUND(100*IF(R61="",1.5,R61)/3,1)))</x:f>
      </x:c>
      <x:c r="AD61" s="69" t="str">
        <x:f>IF(A61="","",IF(Z61="BLOQUEADA",0,ROUND(100*IF(S61="",1.5,S61)/3,1)))</x:f>
      </x:c>
      <x:c r="AE61" s="69" t="str">
        <x:f>IF(A61="","",IF(Z61="BLOQUEADA",0,ROUND(100*IF(T61="",1.5,T61)/3,1)))</x:f>
      </x:c>
      <x:c r="AF61" s="69" t="str">
        <x:f>IF(A61="","",IF(Z61="BLOQUEADA",0,ROUND(100*IF(U61="",1.5,U61)/3,1)))</x:f>
      </x:c>
      <x:c r="AG61" s="69" t="str">
        <x:f>IF(A61="","",ROUND(IF(Z61="BLOQUEADA",100,(X61*10)+(V61*8)+(W61*8)),1))</x:f>
      </x:c>
      <x:c r="AH61" s="69" t="str">
        <x:f>IF(A61="","",IF(Z61="BLOQUEADA",0,MAX(0,ROUND(0.30*AA61+0.20*AB61+0.15*AC61+0.15*AD61+0.10*AE61+0.10*AF61-AG61,1))))</x:f>
      </x:c>
      <x:c r="AI61" s="69" t="str">
        <x:f>IF(A61="","",IF(Z61="ELEGIBLE",RANK.EQ(AH61,$AH$2:$AH$201,0),""))</x:f>
      </x:c>
      <x:c r="AJ61" s="69" t="str">
        <x:f>IF(A61="","",IF(Z61="BLOQUEADA","No aplica",IF(Z61="REVISIÓN","Slot 8 posible: exploratorio",IF(AI61&lt;=5,"Slot 1-5: alto potencial",IF(R61&gt;=2.5,"Slot 6: handoff/dependencia",IF(S61&gt;=2.5,"Slot 7: transformación/objeto",IF(AND(K61&gt;=1,U61&gt;=2),"Slot 8 posible: exploratorio","Backlog/contexto")))))))</x:f>
      </x:c>
      <x:c r="AK61" s="69" t="str">
        <x:f>IF(A61="","",IF(Z61="BLOQUEADA","No seleccionable",IF(Z61="REVISIÓN","Revisión para slot exploratorio",IF(AI61&lt;=8,"Primaria propuesta","Contexto no primario"))))</x:f>
      </x:c>
      <x:c r="AL61" s="69" t="str">
        <x:f>IF(A61="","",IF(OR(Z61="REVISIÓN",Y61&gt;=3,V61&gt;=2),"Sí","No"))</x:f>
      </x:c>
      <x:c r="AM61" s="69" t="str">
        <x:f>IF(A61="","",IF(AK61="Primaria propuesta","Primaria propuesta",IF(AK61="Revisión para slot exploratorio","Revisión / posible primaria exploratoria",IF(AK61="No seleccionable","No seleccionable","Contexto no primario"))))</x:f>
      </x:c>
      <x:c r="AN61" s="69" t="str">
        <x:f>IF(A61="","",IF(AM61="Primaria propuesta",IF(AH61&gt;=75,"40+20 probable",IF(AH61&gt;=55,"40 base + causales selectivas","40 base + probes mínimos")),IF(AM61="Revisión / posible primaria exploratoria","B0/B0.5 reconstrucción antes de Runtime","No abre Runtime profundo")))</x:f>
      </x:c>
      <x:c r="AO61" s="69" t="str">
        <x:f>IF(A61="","",IF(Z61="BLOQUEADA","No probe",IF(AH61&gt;=75,"Alta",IF(AH61&gt;=55,"Media",IF(Z61="REVISIÓN","Exploratoria","Baja")))))</x:f>
      </x:c>
      <x:c r="AP61" s="69" t="str">
        <x:f>IF(A61="","",IF(M61="","unknown",IF(M61&gt;=2,"Prometedora","Débil / validar en B0.5-B1")))</x:f>
      </x:c>
      <x:c r="AQ61" s="69" t="str">
        <x:f>IF(A61="","",IF(N61="","unknown",IF(N61&gt;=2,"Prometedora","Débil / validar en B2")))</x:f>
      </x:c>
      <x:c r="AR61" s="69" t="str">
        <x:f>IF(A61="","",IF(O61="","unknown",IF(O61&gt;=2,"Prometedora","Débil / validar en B3-B4")))</x:f>
      </x:c>
      <x:c r="AS61" s="69" t="str">
        <x:f>IF(A61="","",IF(P61="","unknown",IF(P61&gt;=2,"Prometedora","Débil / validar en B2-B4")))</x:f>
      </x:c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 t="str">
        <x:f>IF(A62="","",COUNTBLANK(M62:P62))</x:f>
      </x:c>
      <x:c r="Z62" s="69" t="str">
        <x:f>IF(A62="","",IF(OR(E62="",G62="No",H62="No",I62="Responsabilidad genérica",I62="Demasiado amplia",I62="Microtarea",J62="Duplicado evidente"),"BLOQUEADA",IF(OR(I62="Ambigua",L62&lt;1,K62&lt;1),"REVISIÓN","ELEGIBLE")))</x:f>
      </x:c>
      <x:c r="AA62" s="69" t="str">
        <x:f>IF(A62="","",IF(Z62="BLOQUEADA",0,ROUND(100*(IF(M62="",1.5,M62)+IF(N62="",1.5,N62)+IF(O62="",1.5,O62)+IF(P62="",1.5,P62))/12,1)))</x:f>
      </x:c>
      <x:c r="AB62" s="69" t="str">
        <x:f>IF(A62="","",IF(Z62="BLOQUEADA",0,ROUND(100*IF(Q62="",1.5,Q62)/3,1)))</x:f>
      </x:c>
      <x:c r="AC62" s="69" t="str">
        <x:f>IF(A62="","",IF(Z62="BLOQUEADA",0,ROUND(100*IF(R62="",1.5,R62)/3,1)))</x:f>
      </x:c>
      <x:c r="AD62" s="69" t="str">
        <x:f>IF(A62="","",IF(Z62="BLOQUEADA",0,ROUND(100*IF(S62="",1.5,S62)/3,1)))</x:f>
      </x:c>
      <x:c r="AE62" s="69" t="str">
        <x:f>IF(A62="","",IF(Z62="BLOQUEADA",0,ROUND(100*IF(T62="",1.5,T62)/3,1)))</x:f>
      </x:c>
      <x:c r="AF62" s="69" t="str">
        <x:f>IF(A62="","",IF(Z62="BLOQUEADA",0,ROUND(100*IF(U62="",1.5,U62)/3,1)))</x:f>
      </x:c>
      <x:c r="AG62" s="69" t="str">
        <x:f>IF(A62="","",ROUND(IF(Z62="BLOQUEADA",100,(X62*10)+(V62*8)+(W62*8)),1))</x:f>
      </x:c>
      <x:c r="AH62" s="69" t="str">
        <x:f>IF(A62="","",IF(Z62="BLOQUEADA",0,MAX(0,ROUND(0.30*AA62+0.20*AB62+0.15*AC62+0.15*AD62+0.10*AE62+0.10*AF62-AG62,1))))</x:f>
      </x:c>
      <x:c r="AI62" s="69" t="str">
        <x:f>IF(A62="","",IF(Z62="ELEGIBLE",RANK.EQ(AH62,$AH$2:$AH$201,0),""))</x:f>
      </x:c>
      <x:c r="AJ62" s="69" t="str">
        <x:f>IF(A62="","",IF(Z62="BLOQUEADA","No aplica",IF(Z62="REVISIÓN","Slot 8 posible: exploratorio",IF(AI62&lt;=5,"Slot 1-5: alto potencial",IF(R62&gt;=2.5,"Slot 6: handoff/dependencia",IF(S62&gt;=2.5,"Slot 7: transformación/objeto",IF(AND(K62&gt;=1,U62&gt;=2),"Slot 8 posible: exploratorio","Backlog/contexto")))))))</x:f>
      </x:c>
      <x:c r="AK62" s="69" t="str">
        <x:f>IF(A62="","",IF(Z62="BLOQUEADA","No seleccionable",IF(Z62="REVISIÓN","Revisión para slot exploratorio",IF(AI62&lt;=8,"Primaria propuesta","Contexto no primario"))))</x:f>
      </x:c>
      <x:c r="AL62" s="69" t="str">
        <x:f>IF(A62="","",IF(OR(Z62="REVISIÓN",Y62&gt;=3,V62&gt;=2),"Sí","No"))</x:f>
      </x:c>
      <x:c r="AM62" s="69" t="str">
        <x:f>IF(A62="","",IF(AK62="Primaria propuesta","Primaria propuesta",IF(AK62="Revisión para slot exploratorio","Revisión / posible primaria exploratoria",IF(AK62="No seleccionable","No seleccionable","Contexto no primario"))))</x:f>
      </x:c>
      <x:c r="AN62" s="69" t="str">
        <x:f>IF(A62="","",IF(AM62="Primaria propuesta",IF(AH62&gt;=75,"40+20 probable",IF(AH62&gt;=55,"40 base + causales selectivas","40 base + probes mínimos")),IF(AM62="Revisión / posible primaria exploratoria","B0/B0.5 reconstrucción antes de Runtime","No abre Runtime profundo")))</x:f>
      </x:c>
      <x:c r="AO62" s="69" t="str">
        <x:f>IF(A62="","",IF(Z62="BLOQUEADA","No probe",IF(AH62&gt;=75,"Alta",IF(AH62&gt;=55,"Media",IF(Z62="REVISIÓN","Exploratoria","Baja")))))</x:f>
      </x:c>
      <x:c r="AP62" s="69" t="str">
        <x:f>IF(A62="","",IF(M62="","unknown",IF(M62&gt;=2,"Prometedora","Débil / validar en B0.5-B1")))</x:f>
      </x:c>
      <x:c r="AQ62" s="69" t="str">
        <x:f>IF(A62="","",IF(N62="","unknown",IF(N62&gt;=2,"Prometedora","Débil / validar en B2")))</x:f>
      </x:c>
      <x:c r="AR62" s="69" t="str">
        <x:f>IF(A62="","",IF(O62="","unknown",IF(O62&gt;=2,"Prometedora","Débil / validar en B3-B4")))</x:f>
      </x:c>
      <x:c r="AS62" s="69" t="str">
        <x:f>IF(A62="","",IF(P62="","unknown",IF(P62&gt;=2,"Prometedora","Débil / validar en B2-B4")))</x:f>
      </x:c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 t="str">
        <x:f>IF(A63="","",COUNTBLANK(M63:P63))</x:f>
      </x:c>
      <x:c r="Z63" s="69" t="str">
        <x:f>IF(A63="","",IF(OR(E63="",G63="No",H63="No",I63="Responsabilidad genérica",I63="Demasiado amplia",I63="Microtarea",J63="Duplicado evidente"),"BLOQUEADA",IF(OR(I63="Ambigua",L63&lt;1,K63&lt;1),"REVISIÓN","ELEGIBLE")))</x:f>
      </x:c>
      <x:c r="AA63" s="69" t="str">
        <x:f>IF(A63="","",IF(Z63="BLOQUEADA",0,ROUND(100*(IF(M63="",1.5,M63)+IF(N63="",1.5,N63)+IF(O63="",1.5,O63)+IF(P63="",1.5,P63))/12,1)))</x:f>
      </x:c>
      <x:c r="AB63" s="69" t="str">
        <x:f>IF(A63="","",IF(Z63="BLOQUEADA",0,ROUND(100*IF(Q63="",1.5,Q63)/3,1)))</x:f>
      </x:c>
      <x:c r="AC63" s="69" t="str">
        <x:f>IF(A63="","",IF(Z63="BLOQUEADA",0,ROUND(100*IF(R63="",1.5,R63)/3,1)))</x:f>
      </x:c>
      <x:c r="AD63" s="69" t="str">
        <x:f>IF(A63="","",IF(Z63="BLOQUEADA",0,ROUND(100*IF(S63="",1.5,S63)/3,1)))</x:f>
      </x:c>
      <x:c r="AE63" s="69" t="str">
        <x:f>IF(A63="","",IF(Z63="BLOQUEADA",0,ROUND(100*IF(T63="",1.5,T63)/3,1)))</x:f>
      </x:c>
      <x:c r="AF63" s="69" t="str">
        <x:f>IF(A63="","",IF(Z63="BLOQUEADA",0,ROUND(100*IF(U63="",1.5,U63)/3,1)))</x:f>
      </x:c>
      <x:c r="AG63" s="69" t="str">
        <x:f>IF(A63="","",ROUND(IF(Z63="BLOQUEADA",100,(X63*10)+(V63*8)+(W63*8)),1))</x:f>
      </x:c>
      <x:c r="AH63" s="69" t="str">
        <x:f>IF(A63="","",IF(Z63="BLOQUEADA",0,MAX(0,ROUND(0.30*AA63+0.20*AB63+0.15*AC63+0.15*AD63+0.10*AE63+0.10*AF63-AG63,1))))</x:f>
      </x:c>
      <x:c r="AI63" s="69" t="str">
        <x:f>IF(A63="","",IF(Z63="ELEGIBLE",RANK.EQ(AH63,$AH$2:$AH$201,0),""))</x:f>
      </x:c>
      <x:c r="AJ63" s="69" t="str">
        <x:f>IF(A63="","",IF(Z63="BLOQUEADA","No aplica",IF(Z63="REVISIÓN","Slot 8 posible: exploratorio",IF(AI63&lt;=5,"Slot 1-5: alto potencial",IF(R63&gt;=2.5,"Slot 6: handoff/dependencia",IF(S63&gt;=2.5,"Slot 7: transformación/objeto",IF(AND(K63&gt;=1,U63&gt;=2),"Slot 8 posible: exploratorio","Backlog/contexto")))))))</x:f>
      </x:c>
      <x:c r="AK63" s="69" t="str">
        <x:f>IF(A63="","",IF(Z63="BLOQUEADA","No seleccionable",IF(Z63="REVISIÓN","Revisión para slot exploratorio",IF(AI63&lt;=8,"Primaria propuesta","Contexto no primario"))))</x:f>
      </x:c>
      <x:c r="AL63" s="69" t="str">
        <x:f>IF(A63="","",IF(OR(Z63="REVISIÓN",Y63&gt;=3,V63&gt;=2),"Sí","No"))</x:f>
      </x:c>
      <x:c r="AM63" s="69" t="str">
        <x:f>IF(A63="","",IF(AK63="Primaria propuesta","Primaria propuesta",IF(AK63="Revisión para slot exploratorio","Revisión / posible primaria exploratoria",IF(AK63="No seleccionable","No seleccionable","Contexto no primario"))))</x:f>
      </x:c>
      <x:c r="AN63" s="69" t="str">
        <x:f>IF(A63="","",IF(AM63="Primaria propuesta",IF(AH63&gt;=75,"40+20 probable",IF(AH63&gt;=55,"40 base + causales selectivas","40 base + probes mínimos")),IF(AM63="Revisión / posible primaria exploratoria","B0/B0.5 reconstrucción antes de Runtime","No abre Runtime profundo")))</x:f>
      </x:c>
      <x:c r="AO63" s="69" t="str">
        <x:f>IF(A63="","",IF(Z63="BLOQUEADA","No probe",IF(AH63&gt;=75,"Alta",IF(AH63&gt;=55,"Media",IF(Z63="REVISIÓN","Exploratoria","Baja")))))</x:f>
      </x:c>
      <x:c r="AP63" s="69" t="str">
        <x:f>IF(A63="","",IF(M63="","unknown",IF(M63&gt;=2,"Prometedora","Débil / validar en B0.5-B1")))</x:f>
      </x:c>
      <x:c r="AQ63" s="69" t="str">
        <x:f>IF(A63="","",IF(N63="","unknown",IF(N63&gt;=2,"Prometedora","Débil / validar en B2")))</x:f>
      </x:c>
      <x:c r="AR63" s="69" t="str">
        <x:f>IF(A63="","",IF(O63="","unknown",IF(O63&gt;=2,"Prometedora","Débil / validar en B3-B4")))</x:f>
      </x:c>
      <x:c r="AS63" s="69" t="str">
        <x:f>IF(A63="","",IF(P63="","unknown",IF(P63&gt;=2,"Prometedora","Débil / validar en B2-B4")))</x:f>
      </x:c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 t="str">
        <x:f>IF(A64="","",COUNTBLANK(M64:P64))</x:f>
      </x:c>
      <x:c r="Z64" s="69" t="str">
        <x:f>IF(A64="","",IF(OR(E64="",G64="No",H64="No",I64="Responsabilidad genérica",I64="Demasiado amplia",I64="Microtarea",J64="Duplicado evidente"),"BLOQUEADA",IF(OR(I64="Ambigua",L64&lt;1,K64&lt;1),"REVISIÓN","ELEGIBLE")))</x:f>
      </x:c>
      <x:c r="AA64" s="69" t="str">
        <x:f>IF(A64="","",IF(Z64="BLOQUEADA",0,ROUND(100*(IF(M64="",1.5,M64)+IF(N64="",1.5,N64)+IF(O64="",1.5,O64)+IF(P64="",1.5,P64))/12,1)))</x:f>
      </x:c>
      <x:c r="AB64" s="69" t="str">
        <x:f>IF(A64="","",IF(Z64="BLOQUEADA",0,ROUND(100*IF(Q64="",1.5,Q64)/3,1)))</x:f>
      </x:c>
      <x:c r="AC64" s="69" t="str">
        <x:f>IF(A64="","",IF(Z64="BLOQUEADA",0,ROUND(100*IF(R64="",1.5,R64)/3,1)))</x:f>
      </x:c>
      <x:c r="AD64" s="69" t="str">
        <x:f>IF(A64="","",IF(Z64="BLOQUEADA",0,ROUND(100*IF(S64="",1.5,S64)/3,1)))</x:f>
      </x:c>
      <x:c r="AE64" s="69" t="str">
        <x:f>IF(A64="","",IF(Z64="BLOQUEADA",0,ROUND(100*IF(T64="",1.5,T64)/3,1)))</x:f>
      </x:c>
      <x:c r="AF64" s="69" t="str">
        <x:f>IF(A64="","",IF(Z64="BLOQUEADA",0,ROUND(100*IF(U64="",1.5,U64)/3,1)))</x:f>
      </x:c>
      <x:c r="AG64" s="69" t="str">
        <x:f>IF(A64="","",ROUND(IF(Z64="BLOQUEADA",100,(X64*10)+(V64*8)+(W64*8)),1))</x:f>
      </x:c>
      <x:c r="AH64" s="69" t="str">
        <x:f>IF(A64="","",IF(Z64="BLOQUEADA",0,MAX(0,ROUND(0.30*AA64+0.20*AB64+0.15*AC64+0.15*AD64+0.10*AE64+0.10*AF64-AG64,1))))</x:f>
      </x:c>
      <x:c r="AI64" s="69" t="str">
        <x:f>IF(A64="","",IF(Z64="ELEGIBLE",RANK.EQ(AH64,$AH$2:$AH$201,0),""))</x:f>
      </x:c>
      <x:c r="AJ64" s="69" t="str">
        <x:f>IF(A64="","",IF(Z64="BLOQUEADA","No aplica",IF(Z64="REVISIÓN","Slot 8 posible: exploratorio",IF(AI64&lt;=5,"Slot 1-5: alto potencial",IF(R64&gt;=2.5,"Slot 6: handoff/dependencia",IF(S64&gt;=2.5,"Slot 7: transformación/objeto",IF(AND(K64&gt;=1,U64&gt;=2),"Slot 8 posible: exploratorio","Backlog/contexto")))))))</x:f>
      </x:c>
      <x:c r="AK64" s="69" t="str">
        <x:f>IF(A64="","",IF(Z64="BLOQUEADA","No seleccionable",IF(Z64="REVISIÓN","Revisión para slot exploratorio",IF(AI64&lt;=8,"Primaria propuesta","Contexto no primario"))))</x:f>
      </x:c>
      <x:c r="AL64" s="69" t="str">
        <x:f>IF(A64="","",IF(OR(Z64="REVISIÓN",Y64&gt;=3,V64&gt;=2),"Sí","No"))</x:f>
      </x:c>
      <x:c r="AM64" s="69" t="str">
        <x:f>IF(A64="","",IF(AK64="Primaria propuesta","Primaria propuesta",IF(AK64="Revisión para slot exploratorio","Revisión / posible primaria exploratoria",IF(AK64="No seleccionable","No seleccionable","Contexto no primario"))))</x:f>
      </x:c>
      <x:c r="AN64" s="69" t="str">
        <x:f>IF(A64="","",IF(AM64="Primaria propuesta",IF(AH64&gt;=75,"40+20 probable",IF(AH64&gt;=55,"40 base + causales selectivas","40 base + probes mínimos")),IF(AM64="Revisión / posible primaria exploratoria","B0/B0.5 reconstrucción antes de Runtime","No abre Runtime profundo")))</x:f>
      </x:c>
      <x:c r="AO64" s="69" t="str">
        <x:f>IF(A64="","",IF(Z64="BLOQUEADA","No probe",IF(AH64&gt;=75,"Alta",IF(AH64&gt;=55,"Media",IF(Z64="REVISIÓN","Exploratoria","Baja")))))</x:f>
      </x:c>
      <x:c r="AP64" s="69" t="str">
        <x:f>IF(A64="","",IF(M64="","unknown",IF(M64&gt;=2,"Prometedora","Débil / validar en B0.5-B1")))</x:f>
      </x:c>
      <x:c r="AQ64" s="69" t="str">
        <x:f>IF(A64="","",IF(N64="","unknown",IF(N64&gt;=2,"Prometedora","Débil / validar en B2")))</x:f>
      </x:c>
      <x:c r="AR64" s="69" t="str">
        <x:f>IF(A64="","",IF(O64="","unknown",IF(O64&gt;=2,"Prometedora","Débil / validar en B3-B4")))</x:f>
      </x:c>
      <x:c r="AS64" s="69" t="str">
        <x:f>IF(A64="","",IF(P64="","unknown",IF(P64&gt;=2,"Prometedora","Débil / validar en B2-B4")))</x:f>
      </x:c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 t="str">
        <x:f>IF(A65="","",COUNTBLANK(M65:P65))</x:f>
      </x:c>
      <x:c r="Z65" s="69" t="str">
        <x:f>IF(A65="","",IF(OR(E65="",G65="No",H65="No",I65="Responsabilidad genérica",I65="Demasiado amplia",I65="Microtarea",J65="Duplicado evidente"),"BLOQUEADA",IF(OR(I65="Ambigua",L65&lt;1,K65&lt;1),"REVISIÓN","ELEGIBLE")))</x:f>
      </x:c>
      <x:c r="AA65" s="69" t="str">
        <x:f>IF(A65="","",IF(Z65="BLOQUEADA",0,ROUND(100*(IF(M65="",1.5,M65)+IF(N65="",1.5,N65)+IF(O65="",1.5,O65)+IF(P65="",1.5,P65))/12,1)))</x:f>
      </x:c>
      <x:c r="AB65" s="69" t="str">
        <x:f>IF(A65="","",IF(Z65="BLOQUEADA",0,ROUND(100*IF(Q65="",1.5,Q65)/3,1)))</x:f>
      </x:c>
      <x:c r="AC65" s="69" t="str">
        <x:f>IF(A65="","",IF(Z65="BLOQUEADA",0,ROUND(100*IF(R65="",1.5,R65)/3,1)))</x:f>
      </x:c>
      <x:c r="AD65" s="69" t="str">
        <x:f>IF(A65="","",IF(Z65="BLOQUEADA",0,ROUND(100*IF(S65="",1.5,S65)/3,1)))</x:f>
      </x:c>
      <x:c r="AE65" s="69" t="str">
        <x:f>IF(A65="","",IF(Z65="BLOQUEADA",0,ROUND(100*IF(T65="",1.5,T65)/3,1)))</x:f>
      </x:c>
      <x:c r="AF65" s="69" t="str">
        <x:f>IF(A65="","",IF(Z65="BLOQUEADA",0,ROUND(100*IF(U65="",1.5,U65)/3,1)))</x:f>
      </x:c>
      <x:c r="AG65" s="69" t="str">
        <x:f>IF(A65="","",ROUND(IF(Z65="BLOQUEADA",100,(X65*10)+(V65*8)+(W65*8)),1))</x:f>
      </x:c>
      <x:c r="AH65" s="69" t="str">
        <x:f>IF(A65="","",IF(Z65="BLOQUEADA",0,MAX(0,ROUND(0.30*AA65+0.20*AB65+0.15*AC65+0.15*AD65+0.10*AE65+0.10*AF65-AG65,1))))</x:f>
      </x:c>
      <x:c r="AI65" s="69" t="str">
        <x:f>IF(A65="","",IF(Z65="ELEGIBLE",RANK.EQ(AH65,$AH$2:$AH$201,0),""))</x:f>
      </x:c>
      <x:c r="AJ65" s="69" t="str">
        <x:f>IF(A65="","",IF(Z65="BLOQUEADA","No aplica",IF(Z65="REVISIÓN","Slot 8 posible: exploratorio",IF(AI65&lt;=5,"Slot 1-5: alto potencial",IF(R65&gt;=2.5,"Slot 6: handoff/dependencia",IF(S65&gt;=2.5,"Slot 7: transformación/objeto",IF(AND(K65&gt;=1,U65&gt;=2),"Slot 8 posible: exploratorio","Backlog/contexto")))))))</x:f>
      </x:c>
      <x:c r="AK65" s="69" t="str">
        <x:f>IF(A65="","",IF(Z65="BLOQUEADA","No seleccionable",IF(Z65="REVISIÓN","Revisión para slot exploratorio",IF(AI65&lt;=8,"Primaria propuesta","Contexto no primario"))))</x:f>
      </x:c>
      <x:c r="AL65" s="69" t="str">
        <x:f>IF(A65="","",IF(OR(Z65="REVISIÓN",Y65&gt;=3,V65&gt;=2),"Sí","No"))</x:f>
      </x:c>
      <x:c r="AM65" s="69" t="str">
        <x:f>IF(A65="","",IF(AK65="Primaria propuesta","Primaria propuesta",IF(AK65="Revisión para slot exploratorio","Revisión / posible primaria exploratoria",IF(AK65="No seleccionable","No seleccionable","Contexto no primario"))))</x:f>
      </x:c>
      <x:c r="AN65" s="69" t="str">
        <x:f>IF(A65="","",IF(AM65="Primaria propuesta",IF(AH65&gt;=75,"40+20 probable",IF(AH65&gt;=55,"40 base + causales selectivas","40 base + probes mínimos")),IF(AM65="Revisión / posible primaria exploratoria","B0/B0.5 reconstrucción antes de Runtime","No abre Runtime profundo")))</x:f>
      </x:c>
      <x:c r="AO65" s="69" t="str">
        <x:f>IF(A65="","",IF(Z65="BLOQUEADA","No probe",IF(AH65&gt;=75,"Alta",IF(AH65&gt;=55,"Media",IF(Z65="REVISIÓN","Exploratoria","Baja")))))</x:f>
      </x:c>
      <x:c r="AP65" s="69" t="str">
        <x:f>IF(A65="","",IF(M65="","unknown",IF(M65&gt;=2,"Prometedora","Débil / validar en B0.5-B1")))</x:f>
      </x:c>
      <x:c r="AQ65" s="69" t="str">
        <x:f>IF(A65="","",IF(N65="","unknown",IF(N65&gt;=2,"Prometedora","Débil / validar en B2")))</x:f>
      </x:c>
      <x:c r="AR65" s="69" t="str">
        <x:f>IF(A65="","",IF(O65="","unknown",IF(O65&gt;=2,"Prometedora","Débil / validar en B3-B4")))</x:f>
      </x:c>
      <x:c r="AS65" s="69" t="str">
        <x:f>IF(A65="","",IF(P65="","unknown",IF(P65&gt;=2,"Prometedora","Débil / validar en B2-B4")))</x:f>
      </x:c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 t="str">
        <x:f>IF(A66="","",COUNTBLANK(M66:P66))</x:f>
      </x:c>
      <x:c r="Z66" s="69" t="str">
        <x:f>IF(A66="","",IF(OR(E66="",G66="No",H66="No",I66="Responsabilidad genérica",I66="Demasiado amplia",I66="Microtarea",J66="Duplicado evidente"),"BLOQUEADA",IF(OR(I66="Ambigua",L66&lt;1,K66&lt;1),"REVISIÓN","ELEGIBLE")))</x:f>
      </x:c>
      <x:c r="AA66" s="69" t="str">
        <x:f>IF(A66="","",IF(Z66="BLOQUEADA",0,ROUND(100*(IF(M66="",1.5,M66)+IF(N66="",1.5,N66)+IF(O66="",1.5,O66)+IF(P66="",1.5,P66))/12,1)))</x:f>
      </x:c>
      <x:c r="AB66" s="69" t="str">
        <x:f>IF(A66="","",IF(Z66="BLOQUEADA",0,ROUND(100*IF(Q66="",1.5,Q66)/3,1)))</x:f>
      </x:c>
      <x:c r="AC66" s="69" t="str">
        <x:f>IF(A66="","",IF(Z66="BLOQUEADA",0,ROUND(100*IF(R66="",1.5,R66)/3,1)))</x:f>
      </x:c>
      <x:c r="AD66" s="69" t="str">
        <x:f>IF(A66="","",IF(Z66="BLOQUEADA",0,ROUND(100*IF(S66="",1.5,S66)/3,1)))</x:f>
      </x:c>
      <x:c r="AE66" s="69" t="str">
        <x:f>IF(A66="","",IF(Z66="BLOQUEADA",0,ROUND(100*IF(T66="",1.5,T66)/3,1)))</x:f>
      </x:c>
      <x:c r="AF66" s="69" t="str">
        <x:f>IF(A66="","",IF(Z66="BLOQUEADA",0,ROUND(100*IF(U66="",1.5,U66)/3,1)))</x:f>
      </x:c>
      <x:c r="AG66" s="69" t="str">
        <x:f>IF(A66="","",ROUND(IF(Z66="BLOQUEADA",100,(X66*10)+(V66*8)+(W66*8)),1))</x:f>
      </x:c>
      <x:c r="AH66" s="69" t="str">
        <x:f>IF(A66="","",IF(Z66="BLOQUEADA",0,MAX(0,ROUND(0.30*AA66+0.20*AB66+0.15*AC66+0.15*AD66+0.10*AE66+0.10*AF66-AG66,1))))</x:f>
      </x:c>
      <x:c r="AI66" s="69" t="str">
        <x:f>IF(A66="","",IF(Z66="ELEGIBLE",RANK.EQ(AH66,$AH$2:$AH$201,0),""))</x:f>
      </x:c>
      <x:c r="AJ66" s="69" t="str">
        <x:f>IF(A66="","",IF(Z66="BLOQUEADA","No aplica",IF(Z66="REVISIÓN","Slot 8 posible: exploratorio",IF(AI66&lt;=5,"Slot 1-5: alto potencial",IF(R66&gt;=2.5,"Slot 6: handoff/dependencia",IF(S66&gt;=2.5,"Slot 7: transformación/objeto",IF(AND(K66&gt;=1,U66&gt;=2),"Slot 8 posible: exploratorio","Backlog/contexto")))))))</x:f>
      </x:c>
      <x:c r="AK66" s="69" t="str">
        <x:f>IF(A66="","",IF(Z66="BLOQUEADA","No seleccionable",IF(Z66="REVISIÓN","Revisión para slot exploratorio",IF(AI66&lt;=8,"Primaria propuesta","Contexto no primario"))))</x:f>
      </x:c>
      <x:c r="AL66" s="69" t="str">
        <x:f>IF(A66="","",IF(OR(Z66="REVISIÓN",Y66&gt;=3,V66&gt;=2),"Sí","No"))</x:f>
      </x:c>
      <x:c r="AM66" s="69" t="str">
        <x:f>IF(A66="","",IF(AK66="Primaria propuesta","Primaria propuesta",IF(AK66="Revisión para slot exploratorio","Revisión / posible primaria exploratoria",IF(AK66="No seleccionable","No seleccionable","Contexto no primario"))))</x:f>
      </x:c>
      <x:c r="AN66" s="69" t="str">
        <x:f>IF(A66="","",IF(AM66="Primaria propuesta",IF(AH66&gt;=75,"40+20 probable",IF(AH66&gt;=55,"40 base + causales selectivas","40 base + probes mínimos")),IF(AM66="Revisión / posible primaria exploratoria","B0/B0.5 reconstrucción antes de Runtime","No abre Runtime profundo")))</x:f>
      </x:c>
      <x:c r="AO66" s="69" t="str">
        <x:f>IF(A66="","",IF(Z66="BLOQUEADA","No probe",IF(AH66&gt;=75,"Alta",IF(AH66&gt;=55,"Media",IF(Z66="REVISIÓN","Exploratoria","Baja")))))</x:f>
      </x:c>
      <x:c r="AP66" s="69" t="str">
        <x:f>IF(A66="","",IF(M66="","unknown",IF(M66&gt;=2,"Prometedora","Débil / validar en B0.5-B1")))</x:f>
      </x:c>
      <x:c r="AQ66" s="69" t="str">
        <x:f>IF(A66="","",IF(N66="","unknown",IF(N66&gt;=2,"Prometedora","Débil / validar en B2")))</x:f>
      </x:c>
      <x:c r="AR66" s="69" t="str">
        <x:f>IF(A66="","",IF(O66="","unknown",IF(O66&gt;=2,"Prometedora","Débil / validar en B3-B4")))</x:f>
      </x:c>
      <x:c r="AS66" s="69" t="str">
        <x:f>IF(A66="","",IF(P66="","unknown",IF(P66&gt;=2,"Prometedora","Débil / validar en B2-B4")))</x:f>
      </x:c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 t="str">
        <x:f>IF(A67="","",COUNTBLANK(M67:P67))</x:f>
      </x:c>
      <x:c r="Z67" s="69" t="str">
        <x:f>IF(A67="","",IF(OR(E67="",G67="No",H67="No",I67="Responsabilidad genérica",I67="Demasiado amplia",I67="Microtarea",J67="Duplicado evidente"),"BLOQUEADA",IF(OR(I67="Ambigua",L67&lt;1,K67&lt;1),"REVISIÓN","ELEGIBLE")))</x:f>
      </x:c>
      <x:c r="AA67" s="69" t="str">
        <x:f>IF(A67="","",IF(Z67="BLOQUEADA",0,ROUND(100*(IF(M67="",1.5,M67)+IF(N67="",1.5,N67)+IF(O67="",1.5,O67)+IF(P67="",1.5,P67))/12,1)))</x:f>
      </x:c>
      <x:c r="AB67" s="69" t="str">
        <x:f>IF(A67="","",IF(Z67="BLOQUEADA",0,ROUND(100*IF(Q67="",1.5,Q67)/3,1)))</x:f>
      </x:c>
      <x:c r="AC67" s="69" t="str">
        <x:f>IF(A67="","",IF(Z67="BLOQUEADA",0,ROUND(100*IF(R67="",1.5,R67)/3,1)))</x:f>
      </x:c>
      <x:c r="AD67" s="69" t="str">
        <x:f>IF(A67="","",IF(Z67="BLOQUEADA",0,ROUND(100*IF(S67="",1.5,S67)/3,1)))</x:f>
      </x:c>
      <x:c r="AE67" s="69" t="str">
        <x:f>IF(A67="","",IF(Z67="BLOQUEADA",0,ROUND(100*IF(T67="",1.5,T67)/3,1)))</x:f>
      </x:c>
      <x:c r="AF67" s="69" t="str">
        <x:f>IF(A67="","",IF(Z67="BLOQUEADA",0,ROUND(100*IF(U67="",1.5,U67)/3,1)))</x:f>
      </x:c>
      <x:c r="AG67" s="69" t="str">
        <x:f>IF(A67="","",ROUND(IF(Z67="BLOQUEADA",100,(X67*10)+(V67*8)+(W67*8)),1))</x:f>
      </x:c>
      <x:c r="AH67" s="69" t="str">
        <x:f>IF(A67="","",IF(Z67="BLOQUEADA",0,MAX(0,ROUND(0.30*AA67+0.20*AB67+0.15*AC67+0.15*AD67+0.10*AE67+0.10*AF67-AG67,1))))</x:f>
      </x:c>
      <x:c r="AI67" s="69" t="str">
        <x:f>IF(A67="","",IF(Z67="ELEGIBLE",RANK.EQ(AH67,$AH$2:$AH$201,0),""))</x:f>
      </x:c>
      <x:c r="AJ67" s="69" t="str">
        <x:f>IF(A67="","",IF(Z67="BLOQUEADA","No aplica",IF(Z67="REVISIÓN","Slot 8 posible: exploratorio",IF(AI67&lt;=5,"Slot 1-5: alto potencial",IF(R67&gt;=2.5,"Slot 6: handoff/dependencia",IF(S67&gt;=2.5,"Slot 7: transformación/objeto",IF(AND(K67&gt;=1,U67&gt;=2),"Slot 8 posible: exploratorio","Backlog/contexto")))))))</x:f>
      </x:c>
      <x:c r="AK67" s="69" t="str">
        <x:f>IF(A67="","",IF(Z67="BLOQUEADA","No seleccionable",IF(Z67="REVISIÓN","Revisión para slot exploratorio",IF(AI67&lt;=8,"Primaria propuesta","Contexto no primario"))))</x:f>
      </x:c>
      <x:c r="AL67" s="69" t="str">
        <x:f>IF(A67="","",IF(OR(Z67="REVISIÓN",Y67&gt;=3,V67&gt;=2),"Sí","No"))</x:f>
      </x:c>
      <x:c r="AM67" s="69" t="str">
        <x:f>IF(A67="","",IF(AK67="Primaria propuesta","Primaria propuesta",IF(AK67="Revisión para slot exploratorio","Revisión / posible primaria exploratoria",IF(AK67="No seleccionable","No seleccionable","Contexto no primario"))))</x:f>
      </x:c>
      <x:c r="AN67" s="69" t="str">
        <x:f>IF(A67="","",IF(AM67="Primaria propuesta",IF(AH67&gt;=75,"40+20 probable",IF(AH67&gt;=55,"40 base + causales selectivas","40 base + probes mínimos")),IF(AM67="Revisión / posible primaria exploratoria","B0/B0.5 reconstrucción antes de Runtime","No abre Runtime profundo")))</x:f>
      </x:c>
      <x:c r="AO67" s="69" t="str">
        <x:f>IF(A67="","",IF(Z67="BLOQUEADA","No probe",IF(AH67&gt;=75,"Alta",IF(AH67&gt;=55,"Media",IF(Z67="REVISIÓN","Exploratoria","Baja")))))</x:f>
      </x:c>
      <x:c r="AP67" s="69" t="str">
        <x:f>IF(A67="","",IF(M67="","unknown",IF(M67&gt;=2,"Prometedora","Débil / validar en B0.5-B1")))</x:f>
      </x:c>
      <x:c r="AQ67" s="69" t="str">
        <x:f>IF(A67="","",IF(N67="","unknown",IF(N67&gt;=2,"Prometedora","Débil / validar en B2")))</x:f>
      </x:c>
      <x:c r="AR67" s="69" t="str">
        <x:f>IF(A67="","",IF(O67="","unknown",IF(O67&gt;=2,"Prometedora","Débil / validar en B3-B4")))</x:f>
      </x:c>
      <x:c r="AS67" s="69" t="str">
        <x:f>IF(A67="","",IF(P67="","unknown",IF(P67&gt;=2,"Prometedora","Débil / validar en B2-B4")))</x:f>
      </x:c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 t="str">
        <x:f>IF(A68="","",COUNTBLANK(M68:P68))</x:f>
      </x:c>
      <x:c r="Z68" s="69" t="str">
        <x:f>IF(A68="","",IF(OR(E68="",G68="No",H68="No",I68="Responsabilidad genérica",I68="Demasiado amplia",I68="Microtarea",J68="Duplicado evidente"),"BLOQUEADA",IF(OR(I68="Ambigua",L68&lt;1,K68&lt;1),"REVISIÓN","ELEGIBLE")))</x:f>
      </x:c>
      <x:c r="AA68" s="69" t="str">
        <x:f>IF(A68="","",IF(Z68="BLOQUEADA",0,ROUND(100*(IF(M68="",1.5,M68)+IF(N68="",1.5,N68)+IF(O68="",1.5,O68)+IF(P68="",1.5,P68))/12,1)))</x:f>
      </x:c>
      <x:c r="AB68" s="69" t="str">
        <x:f>IF(A68="","",IF(Z68="BLOQUEADA",0,ROUND(100*IF(Q68="",1.5,Q68)/3,1)))</x:f>
      </x:c>
      <x:c r="AC68" s="69" t="str">
        <x:f>IF(A68="","",IF(Z68="BLOQUEADA",0,ROUND(100*IF(R68="",1.5,R68)/3,1)))</x:f>
      </x:c>
      <x:c r="AD68" s="69" t="str">
        <x:f>IF(A68="","",IF(Z68="BLOQUEADA",0,ROUND(100*IF(S68="",1.5,S68)/3,1)))</x:f>
      </x:c>
      <x:c r="AE68" s="69" t="str">
        <x:f>IF(A68="","",IF(Z68="BLOQUEADA",0,ROUND(100*IF(T68="",1.5,T68)/3,1)))</x:f>
      </x:c>
      <x:c r="AF68" s="69" t="str">
        <x:f>IF(A68="","",IF(Z68="BLOQUEADA",0,ROUND(100*IF(U68="",1.5,U68)/3,1)))</x:f>
      </x:c>
      <x:c r="AG68" s="69" t="str">
        <x:f>IF(A68="","",ROUND(IF(Z68="BLOQUEADA",100,(X68*10)+(V68*8)+(W68*8)),1))</x:f>
      </x:c>
      <x:c r="AH68" s="69" t="str">
        <x:f>IF(A68="","",IF(Z68="BLOQUEADA",0,MAX(0,ROUND(0.30*AA68+0.20*AB68+0.15*AC68+0.15*AD68+0.10*AE68+0.10*AF68-AG68,1))))</x:f>
      </x:c>
      <x:c r="AI68" s="69" t="str">
        <x:f>IF(A68="","",IF(Z68="ELEGIBLE",RANK.EQ(AH68,$AH$2:$AH$201,0),""))</x:f>
      </x:c>
      <x:c r="AJ68" s="69" t="str">
        <x:f>IF(A68="","",IF(Z68="BLOQUEADA","No aplica",IF(Z68="REVISIÓN","Slot 8 posible: exploratorio",IF(AI68&lt;=5,"Slot 1-5: alto potencial",IF(R68&gt;=2.5,"Slot 6: handoff/dependencia",IF(S68&gt;=2.5,"Slot 7: transformación/objeto",IF(AND(K68&gt;=1,U68&gt;=2),"Slot 8 posible: exploratorio","Backlog/contexto")))))))</x:f>
      </x:c>
      <x:c r="AK68" s="69" t="str">
        <x:f>IF(A68="","",IF(Z68="BLOQUEADA","No seleccionable",IF(Z68="REVISIÓN","Revisión para slot exploratorio",IF(AI68&lt;=8,"Primaria propuesta","Contexto no primario"))))</x:f>
      </x:c>
      <x:c r="AL68" s="69" t="str">
        <x:f>IF(A68="","",IF(OR(Z68="REVISIÓN",Y68&gt;=3,V68&gt;=2),"Sí","No"))</x:f>
      </x:c>
      <x:c r="AM68" s="69" t="str">
        <x:f>IF(A68="","",IF(AK68="Primaria propuesta","Primaria propuesta",IF(AK68="Revisión para slot exploratorio","Revisión / posible primaria exploratoria",IF(AK68="No seleccionable","No seleccionable","Contexto no primario"))))</x:f>
      </x:c>
      <x:c r="AN68" s="69" t="str">
        <x:f>IF(A68="","",IF(AM68="Primaria propuesta",IF(AH68&gt;=75,"40+20 probable",IF(AH68&gt;=55,"40 base + causales selectivas","40 base + probes mínimos")),IF(AM68="Revisión / posible primaria exploratoria","B0/B0.5 reconstrucción antes de Runtime","No abre Runtime profundo")))</x:f>
      </x:c>
      <x:c r="AO68" s="69" t="str">
        <x:f>IF(A68="","",IF(Z68="BLOQUEADA","No probe",IF(AH68&gt;=75,"Alta",IF(AH68&gt;=55,"Media",IF(Z68="REVISIÓN","Exploratoria","Baja")))))</x:f>
      </x:c>
      <x:c r="AP68" s="69" t="str">
        <x:f>IF(A68="","",IF(M68="","unknown",IF(M68&gt;=2,"Prometedora","Débil / validar en B0.5-B1")))</x:f>
      </x:c>
      <x:c r="AQ68" s="69" t="str">
        <x:f>IF(A68="","",IF(N68="","unknown",IF(N68&gt;=2,"Prometedora","Débil / validar en B2")))</x:f>
      </x:c>
      <x:c r="AR68" s="69" t="str">
        <x:f>IF(A68="","",IF(O68="","unknown",IF(O68&gt;=2,"Prometedora","Débil / validar en B3-B4")))</x:f>
      </x:c>
      <x:c r="AS68" s="69" t="str">
        <x:f>IF(A68="","",IF(P68="","unknown",IF(P68&gt;=2,"Prometedora","Débil / validar en B2-B4")))</x:f>
      </x:c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 t="str">
        <x:f>IF(A69="","",COUNTBLANK(M69:P69))</x:f>
      </x:c>
      <x:c r="Z69" s="69" t="str">
        <x:f>IF(A69="","",IF(OR(E69="",G69="No",H69="No",I69="Responsabilidad genérica",I69="Demasiado amplia",I69="Microtarea",J69="Duplicado evidente"),"BLOQUEADA",IF(OR(I69="Ambigua",L69&lt;1,K69&lt;1),"REVISIÓN","ELEGIBLE")))</x:f>
      </x:c>
      <x:c r="AA69" s="69" t="str">
        <x:f>IF(A69="","",IF(Z69="BLOQUEADA",0,ROUND(100*(IF(M69="",1.5,M69)+IF(N69="",1.5,N69)+IF(O69="",1.5,O69)+IF(P69="",1.5,P69))/12,1)))</x:f>
      </x:c>
      <x:c r="AB69" s="69" t="str">
        <x:f>IF(A69="","",IF(Z69="BLOQUEADA",0,ROUND(100*IF(Q69="",1.5,Q69)/3,1)))</x:f>
      </x:c>
      <x:c r="AC69" s="69" t="str">
        <x:f>IF(A69="","",IF(Z69="BLOQUEADA",0,ROUND(100*IF(R69="",1.5,R69)/3,1)))</x:f>
      </x:c>
      <x:c r="AD69" s="69" t="str">
        <x:f>IF(A69="","",IF(Z69="BLOQUEADA",0,ROUND(100*IF(S69="",1.5,S69)/3,1)))</x:f>
      </x:c>
      <x:c r="AE69" s="69" t="str">
        <x:f>IF(A69="","",IF(Z69="BLOQUEADA",0,ROUND(100*IF(T69="",1.5,T69)/3,1)))</x:f>
      </x:c>
      <x:c r="AF69" s="69" t="str">
        <x:f>IF(A69="","",IF(Z69="BLOQUEADA",0,ROUND(100*IF(U69="",1.5,U69)/3,1)))</x:f>
      </x:c>
      <x:c r="AG69" s="69" t="str">
        <x:f>IF(A69="","",ROUND(IF(Z69="BLOQUEADA",100,(X69*10)+(V69*8)+(W69*8)),1))</x:f>
      </x:c>
      <x:c r="AH69" s="69" t="str">
        <x:f>IF(A69="","",IF(Z69="BLOQUEADA",0,MAX(0,ROUND(0.30*AA69+0.20*AB69+0.15*AC69+0.15*AD69+0.10*AE69+0.10*AF69-AG69,1))))</x:f>
      </x:c>
      <x:c r="AI69" s="69" t="str">
        <x:f>IF(A69="","",IF(Z69="ELEGIBLE",RANK.EQ(AH69,$AH$2:$AH$201,0),""))</x:f>
      </x:c>
      <x:c r="AJ69" s="69" t="str">
        <x:f>IF(A69="","",IF(Z69="BLOQUEADA","No aplica",IF(Z69="REVISIÓN","Slot 8 posible: exploratorio",IF(AI69&lt;=5,"Slot 1-5: alto potencial",IF(R69&gt;=2.5,"Slot 6: handoff/dependencia",IF(S69&gt;=2.5,"Slot 7: transformación/objeto",IF(AND(K69&gt;=1,U69&gt;=2),"Slot 8 posible: exploratorio","Backlog/contexto")))))))</x:f>
      </x:c>
      <x:c r="AK69" s="69" t="str">
        <x:f>IF(A69="","",IF(Z69="BLOQUEADA","No seleccionable",IF(Z69="REVISIÓN","Revisión para slot exploratorio",IF(AI69&lt;=8,"Primaria propuesta","Contexto no primario"))))</x:f>
      </x:c>
      <x:c r="AL69" s="69" t="str">
        <x:f>IF(A69="","",IF(OR(Z69="REVISIÓN",Y69&gt;=3,V69&gt;=2),"Sí","No"))</x:f>
      </x:c>
      <x:c r="AM69" s="69" t="str">
        <x:f>IF(A69="","",IF(AK69="Primaria propuesta","Primaria propuesta",IF(AK69="Revisión para slot exploratorio","Revisión / posible primaria exploratoria",IF(AK69="No seleccionable","No seleccionable","Contexto no primario"))))</x:f>
      </x:c>
      <x:c r="AN69" s="69" t="str">
        <x:f>IF(A69="","",IF(AM69="Primaria propuesta",IF(AH69&gt;=75,"40+20 probable",IF(AH69&gt;=55,"40 base + causales selectivas","40 base + probes mínimos")),IF(AM69="Revisión / posible primaria exploratoria","B0/B0.5 reconstrucción antes de Runtime","No abre Runtime profundo")))</x:f>
      </x:c>
      <x:c r="AO69" s="69" t="str">
        <x:f>IF(A69="","",IF(Z69="BLOQUEADA","No probe",IF(AH69&gt;=75,"Alta",IF(AH69&gt;=55,"Media",IF(Z69="REVISIÓN","Exploratoria","Baja")))))</x:f>
      </x:c>
      <x:c r="AP69" s="69" t="str">
        <x:f>IF(A69="","",IF(M69="","unknown",IF(M69&gt;=2,"Prometedora","Débil / validar en B0.5-B1")))</x:f>
      </x:c>
      <x:c r="AQ69" s="69" t="str">
        <x:f>IF(A69="","",IF(N69="","unknown",IF(N69&gt;=2,"Prometedora","Débil / validar en B2")))</x:f>
      </x:c>
      <x:c r="AR69" s="69" t="str">
        <x:f>IF(A69="","",IF(O69="","unknown",IF(O69&gt;=2,"Prometedora","Débil / validar en B3-B4")))</x:f>
      </x:c>
      <x:c r="AS69" s="69" t="str">
        <x:f>IF(A69="","",IF(P69="","unknown",IF(P69&gt;=2,"Prometedora","Débil / validar en B2-B4")))</x:f>
      </x:c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 t="str">
        <x:f>IF(A70="","",COUNTBLANK(M70:P70))</x:f>
      </x:c>
      <x:c r="Z70" s="69" t="str">
        <x:f>IF(A70="","",IF(OR(E70="",G70="No",H70="No",I70="Responsabilidad genérica",I70="Demasiado amplia",I70="Microtarea",J70="Duplicado evidente"),"BLOQUEADA",IF(OR(I70="Ambigua",L70&lt;1,K70&lt;1),"REVISIÓN","ELEGIBLE")))</x:f>
      </x:c>
      <x:c r="AA70" s="69" t="str">
        <x:f>IF(A70="","",IF(Z70="BLOQUEADA",0,ROUND(100*(IF(M70="",1.5,M70)+IF(N70="",1.5,N70)+IF(O70="",1.5,O70)+IF(P70="",1.5,P70))/12,1)))</x:f>
      </x:c>
      <x:c r="AB70" s="69" t="str">
        <x:f>IF(A70="","",IF(Z70="BLOQUEADA",0,ROUND(100*IF(Q70="",1.5,Q70)/3,1)))</x:f>
      </x:c>
      <x:c r="AC70" s="69" t="str">
        <x:f>IF(A70="","",IF(Z70="BLOQUEADA",0,ROUND(100*IF(R70="",1.5,R70)/3,1)))</x:f>
      </x:c>
      <x:c r="AD70" s="69" t="str">
        <x:f>IF(A70="","",IF(Z70="BLOQUEADA",0,ROUND(100*IF(S70="",1.5,S70)/3,1)))</x:f>
      </x:c>
      <x:c r="AE70" s="69" t="str">
        <x:f>IF(A70="","",IF(Z70="BLOQUEADA",0,ROUND(100*IF(T70="",1.5,T70)/3,1)))</x:f>
      </x:c>
      <x:c r="AF70" s="69" t="str">
        <x:f>IF(A70="","",IF(Z70="BLOQUEADA",0,ROUND(100*IF(U70="",1.5,U70)/3,1)))</x:f>
      </x:c>
      <x:c r="AG70" s="69" t="str">
        <x:f>IF(A70="","",ROUND(IF(Z70="BLOQUEADA",100,(X70*10)+(V70*8)+(W70*8)),1))</x:f>
      </x:c>
      <x:c r="AH70" s="69" t="str">
        <x:f>IF(A70="","",IF(Z70="BLOQUEADA",0,MAX(0,ROUND(0.30*AA70+0.20*AB70+0.15*AC70+0.15*AD70+0.10*AE70+0.10*AF70-AG70,1))))</x:f>
      </x:c>
      <x:c r="AI70" s="69" t="str">
        <x:f>IF(A70="","",IF(Z70="ELEGIBLE",RANK.EQ(AH70,$AH$2:$AH$201,0),""))</x:f>
      </x:c>
      <x:c r="AJ70" s="69" t="str">
        <x:f>IF(A70="","",IF(Z70="BLOQUEADA","No aplica",IF(Z70="REVISIÓN","Slot 8 posible: exploratorio",IF(AI70&lt;=5,"Slot 1-5: alto potencial",IF(R70&gt;=2.5,"Slot 6: handoff/dependencia",IF(S70&gt;=2.5,"Slot 7: transformación/objeto",IF(AND(K70&gt;=1,U70&gt;=2),"Slot 8 posible: exploratorio","Backlog/contexto")))))))</x:f>
      </x:c>
      <x:c r="AK70" s="69" t="str">
        <x:f>IF(A70="","",IF(Z70="BLOQUEADA","No seleccionable",IF(Z70="REVISIÓN","Revisión para slot exploratorio",IF(AI70&lt;=8,"Primaria propuesta","Contexto no primario"))))</x:f>
      </x:c>
      <x:c r="AL70" s="69" t="str">
        <x:f>IF(A70="","",IF(OR(Z70="REVISIÓN",Y70&gt;=3,V70&gt;=2),"Sí","No"))</x:f>
      </x:c>
      <x:c r="AM70" s="69" t="str">
        <x:f>IF(A70="","",IF(AK70="Primaria propuesta","Primaria propuesta",IF(AK70="Revisión para slot exploratorio","Revisión / posible primaria exploratoria",IF(AK70="No seleccionable","No seleccionable","Contexto no primario"))))</x:f>
      </x:c>
      <x:c r="AN70" s="69" t="str">
        <x:f>IF(A70="","",IF(AM70="Primaria propuesta",IF(AH70&gt;=75,"40+20 probable",IF(AH70&gt;=55,"40 base + causales selectivas","40 base + probes mínimos")),IF(AM70="Revisión / posible primaria exploratoria","B0/B0.5 reconstrucción antes de Runtime","No abre Runtime profundo")))</x:f>
      </x:c>
      <x:c r="AO70" s="69" t="str">
        <x:f>IF(A70="","",IF(Z70="BLOQUEADA","No probe",IF(AH70&gt;=75,"Alta",IF(AH70&gt;=55,"Media",IF(Z70="REVISIÓN","Exploratoria","Baja")))))</x:f>
      </x:c>
      <x:c r="AP70" s="69" t="str">
        <x:f>IF(A70="","",IF(M70="","unknown",IF(M70&gt;=2,"Prometedora","Débil / validar en B0.5-B1")))</x:f>
      </x:c>
      <x:c r="AQ70" s="69" t="str">
        <x:f>IF(A70="","",IF(N70="","unknown",IF(N70&gt;=2,"Prometedora","Débil / validar en B2")))</x:f>
      </x:c>
      <x:c r="AR70" s="69" t="str">
        <x:f>IF(A70="","",IF(O70="","unknown",IF(O70&gt;=2,"Prometedora","Débil / validar en B3-B4")))</x:f>
      </x:c>
      <x:c r="AS70" s="69" t="str">
        <x:f>IF(A70="","",IF(P70="","unknown",IF(P70&gt;=2,"Prometedora","Débil / validar en B2-B4")))</x:f>
      </x:c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 t="str">
        <x:f>IF(A71="","",COUNTBLANK(M71:P71))</x:f>
      </x:c>
      <x:c r="Z71" s="69" t="str">
        <x:f>IF(A71="","",IF(OR(E71="",G71="No",H71="No",I71="Responsabilidad genérica",I71="Demasiado amplia",I71="Microtarea",J71="Duplicado evidente"),"BLOQUEADA",IF(OR(I71="Ambigua",L71&lt;1,K71&lt;1),"REVISIÓN","ELEGIBLE")))</x:f>
      </x:c>
      <x:c r="AA71" s="69" t="str">
        <x:f>IF(A71="","",IF(Z71="BLOQUEADA",0,ROUND(100*(IF(M71="",1.5,M71)+IF(N71="",1.5,N71)+IF(O71="",1.5,O71)+IF(P71="",1.5,P71))/12,1)))</x:f>
      </x:c>
      <x:c r="AB71" s="69" t="str">
        <x:f>IF(A71="","",IF(Z71="BLOQUEADA",0,ROUND(100*IF(Q71="",1.5,Q71)/3,1)))</x:f>
      </x:c>
      <x:c r="AC71" s="69" t="str">
        <x:f>IF(A71="","",IF(Z71="BLOQUEADA",0,ROUND(100*IF(R71="",1.5,R71)/3,1)))</x:f>
      </x:c>
      <x:c r="AD71" s="69" t="str">
        <x:f>IF(A71="","",IF(Z71="BLOQUEADA",0,ROUND(100*IF(S71="",1.5,S71)/3,1)))</x:f>
      </x:c>
      <x:c r="AE71" s="69" t="str">
        <x:f>IF(A71="","",IF(Z71="BLOQUEADA",0,ROUND(100*IF(T71="",1.5,T71)/3,1)))</x:f>
      </x:c>
      <x:c r="AF71" s="69" t="str">
        <x:f>IF(A71="","",IF(Z71="BLOQUEADA",0,ROUND(100*IF(U71="",1.5,U71)/3,1)))</x:f>
      </x:c>
      <x:c r="AG71" s="69" t="str">
        <x:f>IF(A71="","",ROUND(IF(Z71="BLOQUEADA",100,(X71*10)+(V71*8)+(W71*8)),1))</x:f>
      </x:c>
      <x:c r="AH71" s="69" t="str">
        <x:f>IF(A71="","",IF(Z71="BLOQUEADA",0,MAX(0,ROUND(0.30*AA71+0.20*AB71+0.15*AC71+0.15*AD71+0.10*AE71+0.10*AF71-AG71,1))))</x:f>
      </x:c>
      <x:c r="AI71" s="69" t="str">
        <x:f>IF(A71="","",IF(Z71="ELEGIBLE",RANK.EQ(AH71,$AH$2:$AH$201,0),""))</x:f>
      </x:c>
      <x:c r="AJ71" s="69" t="str">
        <x:f>IF(A71="","",IF(Z71="BLOQUEADA","No aplica",IF(Z71="REVISIÓN","Slot 8 posible: exploratorio",IF(AI71&lt;=5,"Slot 1-5: alto potencial",IF(R71&gt;=2.5,"Slot 6: handoff/dependencia",IF(S71&gt;=2.5,"Slot 7: transformación/objeto",IF(AND(K71&gt;=1,U71&gt;=2),"Slot 8 posible: exploratorio","Backlog/contexto")))))))</x:f>
      </x:c>
      <x:c r="AK71" s="69" t="str">
        <x:f>IF(A71="","",IF(Z71="BLOQUEADA","No seleccionable",IF(Z71="REVISIÓN","Revisión para slot exploratorio",IF(AI71&lt;=8,"Primaria propuesta","Contexto no primario"))))</x:f>
      </x:c>
      <x:c r="AL71" s="69" t="str">
        <x:f>IF(A71="","",IF(OR(Z71="REVISIÓN",Y71&gt;=3,V71&gt;=2),"Sí","No"))</x:f>
      </x:c>
      <x:c r="AM71" s="69" t="str">
        <x:f>IF(A71="","",IF(AK71="Primaria propuesta","Primaria propuesta",IF(AK71="Revisión para slot exploratorio","Revisión / posible primaria exploratoria",IF(AK71="No seleccionable","No seleccionable","Contexto no primario"))))</x:f>
      </x:c>
      <x:c r="AN71" s="69" t="str">
        <x:f>IF(A71="","",IF(AM71="Primaria propuesta",IF(AH71&gt;=75,"40+20 probable",IF(AH71&gt;=55,"40 base + causales selectivas","40 base + probes mínimos")),IF(AM71="Revisión / posible primaria exploratoria","B0/B0.5 reconstrucción antes de Runtime","No abre Runtime profundo")))</x:f>
      </x:c>
      <x:c r="AO71" s="69" t="str">
        <x:f>IF(A71="","",IF(Z71="BLOQUEADA","No probe",IF(AH71&gt;=75,"Alta",IF(AH71&gt;=55,"Media",IF(Z71="REVISIÓN","Exploratoria","Baja")))))</x:f>
      </x:c>
      <x:c r="AP71" s="69" t="str">
        <x:f>IF(A71="","",IF(M71="","unknown",IF(M71&gt;=2,"Prometedora","Débil / validar en B0.5-B1")))</x:f>
      </x:c>
      <x:c r="AQ71" s="69" t="str">
        <x:f>IF(A71="","",IF(N71="","unknown",IF(N71&gt;=2,"Prometedora","Débil / validar en B2")))</x:f>
      </x:c>
      <x:c r="AR71" s="69" t="str">
        <x:f>IF(A71="","",IF(O71="","unknown",IF(O71&gt;=2,"Prometedora","Débil / validar en B3-B4")))</x:f>
      </x:c>
      <x:c r="AS71" s="69" t="str">
        <x:f>IF(A71="","",IF(P71="","unknown",IF(P71&gt;=2,"Prometedora","Débil / validar en B2-B4")))</x:f>
      </x:c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 t="str">
        <x:f>IF(A72="","",COUNTBLANK(M72:P72))</x:f>
      </x:c>
      <x:c r="Z72" s="69" t="str">
        <x:f>IF(A72="","",IF(OR(E72="",G72="No",H72="No",I72="Responsabilidad genérica",I72="Demasiado amplia",I72="Microtarea",J72="Duplicado evidente"),"BLOQUEADA",IF(OR(I72="Ambigua",L72&lt;1,K72&lt;1),"REVISIÓN","ELEGIBLE")))</x:f>
      </x:c>
      <x:c r="AA72" s="69" t="str">
        <x:f>IF(A72="","",IF(Z72="BLOQUEADA",0,ROUND(100*(IF(M72="",1.5,M72)+IF(N72="",1.5,N72)+IF(O72="",1.5,O72)+IF(P72="",1.5,P72))/12,1)))</x:f>
      </x:c>
      <x:c r="AB72" s="69" t="str">
        <x:f>IF(A72="","",IF(Z72="BLOQUEADA",0,ROUND(100*IF(Q72="",1.5,Q72)/3,1)))</x:f>
      </x:c>
      <x:c r="AC72" s="69" t="str">
        <x:f>IF(A72="","",IF(Z72="BLOQUEADA",0,ROUND(100*IF(R72="",1.5,R72)/3,1)))</x:f>
      </x:c>
      <x:c r="AD72" s="69" t="str">
        <x:f>IF(A72="","",IF(Z72="BLOQUEADA",0,ROUND(100*IF(S72="",1.5,S72)/3,1)))</x:f>
      </x:c>
      <x:c r="AE72" s="69" t="str">
        <x:f>IF(A72="","",IF(Z72="BLOQUEADA",0,ROUND(100*IF(T72="",1.5,T72)/3,1)))</x:f>
      </x:c>
      <x:c r="AF72" s="69" t="str">
        <x:f>IF(A72="","",IF(Z72="BLOQUEADA",0,ROUND(100*IF(U72="",1.5,U72)/3,1)))</x:f>
      </x:c>
      <x:c r="AG72" s="69" t="str">
        <x:f>IF(A72="","",ROUND(IF(Z72="BLOQUEADA",100,(X72*10)+(V72*8)+(W72*8)),1))</x:f>
      </x:c>
      <x:c r="AH72" s="69" t="str">
        <x:f>IF(A72="","",IF(Z72="BLOQUEADA",0,MAX(0,ROUND(0.30*AA72+0.20*AB72+0.15*AC72+0.15*AD72+0.10*AE72+0.10*AF72-AG72,1))))</x:f>
      </x:c>
      <x:c r="AI72" s="69" t="str">
        <x:f>IF(A72="","",IF(Z72="ELEGIBLE",RANK.EQ(AH72,$AH$2:$AH$201,0),""))</x:f>
      </x:c>
      <x:c r="AJ72" s="69" t="str">
        <x:f>IF(A72="","",IF(Z72="BLOQUEADA","No aplica",IF(Z72="REVISIÓN","Slot 8 posible: exploratorio",IF(AI72&lt;=5,"Slot 1-5: alto potencial",IF(R72&gt;=2.5,"Slot 6: handoff/dependencia",IF(S72&gt;=2.5,"Slot 7: transformación/objeto",IF(AND(K72&gt;=1,U72&gt;=2),"Slot 8 posible: exploratorio","Backlog/contexto")))))))</x:f>
      </x:c>
      <x:c r="AK72" s="69" t="str">
        <x:f>IF(A72="","",IF(Z72="BLOQUEADA","No seleccionable",IF(Z72="REVISIÓN","Revisión para slot exploratorio",IF(AI72&lt;=8,"Primaria propuesta","Contexto no primario"))))</x:f>
      </x:c>
      <x:c r="AL72" s="69" t="str">
        <x:f>IF(A72="","",IF(OR(Z72="REVISIÓN",Y72&gt;=3,V72&gt;=2),"Sí","No"))</x:f>
      </x:c>
      <x:c r="AM72" s="69" t="str">
        <x:f>IF(A72="","",IF(AK72="Primaria propuesta","Primaria propuesta",IF(AK72="Revisión para slot exploratorio","Revisión / posible primaria exploratoria",IF(AK72="No seleccionable","No seleccionable","Contexto no primario"))))</x:f>
      </x:c>
      <x:c r="AN72" s="69" t="str">
        <x:f>IF(A72="","",IF(AM72="Primaria propuesta",IF(AH72&gt;=75,"40+20 probable",IF(AH72&gt;=55,"40 base + causales selectivas","40 base + probes mínimos")),IF(AM72="Revisión / posible primaria exploratoria","B0/B0.5 reconstrucción antes de Runtime","No abre Runtime profundo")))</x:f>
      </x:c>
      <x:c r="AO72" s="69" t="str">
        <x:f>IF(A72="","",IF(Z72="BLOQUEADA","No probe",IF(AH72&gt;=75,"Alta",IF(AH72&gt;=55,"Media",IF(Z72="REVISIÓN","Exploratoria","Baja")))))</x:f>
      </x:c>
      <x:c r="AP72" s="69" t="str">
        <x:f>IF(A72="","",IF(M72="","unknown",IF(M72&gt;=2,"Prometedora","Débil / validar en B0.5-B1")))</x:f>
      </x:c>
      <x:c r="AQ72" s="69" t="str">
        <x:f>IF(A72="","",IF(N72="","unknown",IF(N72&gt;=2,"Prometedora","Débil / validar en B2")))</x:f>
      </x:c>
      <x:c r="AR72" s="69" t="str">
        <x:f>IF(A72="","",IF(O72="","unknown",IF(O72&gt;=2,"Prometedora","Débil / validar en B3-B4")))</x:f>
      </x:c>
      <x:c r="AS72" s="69" t="str">
        <x:f>IF(A72="","",IF(P72="","unknown",IF(P72&gt;=2,"Prometedora","Débil / validar en B2-B4")))</x:f>
      </x:c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 t="str">
        <x:f>IF(A73="","",COUNTBLANK(M73:P73))</x:f>
      </x:c>
      <x:c r="Z73" s="69" t="str">
        <x:f>IF(A73="","",IF(OR(E73="",G73="No",H73="No",I73="Responsabilidad genérica",I73="Demasiado amplia",I73="Microtarea",J73="Duplicado evidente"),"BLOQUEADA",IF(OR(I73="Ambigua",L73&lt;1,K73&lt;1),"REVISIÓN","ELEGIBLE")))</x:f>
      </x:c>
      <x:c r="AA73" s="69" t="str">
        <x:f>IF(A73="","",IF(Z73="BLOQUEADA",0,ROUND(100*(IF(M73="",1.5,M73)+IF(N73="",1.5,N73)+IF(O73="",1.5,O73)+IF(P73="",1.5,P73))/12,1)))</x:f>
      </x:c>
      <x:c r="AB73" s="69" t="str">
        <x:f>IF(A73="","",IF(Z73="BLOQUEADA",0,ROUND(100*IF(Q73="",1.5,Q73)/3,1)))</x:f>
      </x:c>
      <x:c r="AC73" s="69" t="str">
        <x:f>IF(A73="","",IF(Z73="BLOQUEADA",0,ROUND(100*IF(R73="",1.5,R73)/3,1)))</x:f>
      </x:c>
      <x:c r="AD73" s="69" t="str">
        <x:f>IF(A73="","",IF(Z73="BLOQUEADA",0,ROUND(100*IF(S73="",1.5,S73)/3,1)))</x:f>
      </x:c>
      <x:c r="AE73" s="69" t="str">
        <x:f>IF(A73="","",IF(Z73="BLOQUEADA",0,ROUND(100*IF(T73="",1.5,T73)/3,1)))</x:f>
      </x:c>
      <x:c r="AF73" s="69" t="str">
        <x:f>IF(A73="","",IF(Z73="BLOQUEADA",0,ROUND(100*IF(U73="",1.5,U73)/3,1)))</x:f>
      </x:c>
      <x:c r="AG73" s="69" t="str">
        <x:f>IF(A73="","",ROUND(IF(Z73="BLOQUEADA",100,(X73*10)+(V73*8)+(W73*8)),1))</x:f>
      </x:c>
      <x:c r="AH73" s="69" t="str">
        <x:f>IF(A73="","",IF(Z73="BLOQUEADA",0,MAX(0,ROUND(0.30*AA73+0.20*AB73+0.15*AC73+0.15*AD73+0.10*AE73+0.10*AF73-AG73,1))))</x:f>
      </x:c>
      <x:c r="AI73" s="69" t="str">
        <x:f>IF(A73="","",IF(Z73="ELEGIBLE",RANK.EQ(AH73,$AH$2:$AH$201,0),""))</x:f>
      </x:c>
      <x:c r="AJ73" s="69" t="str">
        <x:f>IF(A73="","",IF(Z73="BLOQUEADA","No aplica",IF(Z73="REVISIÓN","Slot 8 posible: exploratorio",IF(AI73&lt;=5,"Slot 1-5: alto potencial",IF(R73&gt;=2.5,"Slot 6: handoff/dependencia",IF(S73&gt;=2.5,"Slot 7: transformación/objeto",IF(AND(K73&gt;=1,U73&gt;=2),"Slot 8 posible: exploratorio","Backlog/contexto")))))))</x:f>
      </x:c>
      <x:c r="AK73" s="69" t="str">
        <x:f>IF(A73="","",IF(Z73="BLOQUEADA","No seleccionable",IF(Z73="REVISIÓN","Revisión para slot exploratorio",IF(AI73&lt;=8,"Primaria propuesta","Contexto no primario"))))</x:f>
      </x:c>
      <x:c r="AL73" s="69" t="str">
        <x:f>IF(A73="","",IF(OR(Z73="REVISIÓN",Y73&gt;=3,V73&gt;=2),"Sí","No"))</x:f>
      </x:c>
      <x:c r="AM73" s="69" t="str">
        <x:f>IF(A73="","",IF(AK73="Primaria propuesta","Primaria propuesta",IF(AK73="Revisión para slot exploratorio","Revisión / posible primaria exploratoria",IF(AK73="No seleccionable","No seleccionable","Contexto no primario"))))</x:f>
      </x:c>
      <x:c r="AN73" s="69" t="str">
        <x:f>IF(A73="","",IF(AM73="Primaria propuesta",IF(AH73&gt;=75,"40+20 probable",IF(AH73&gt;=55,"40 base + causales selectivas","40 base + probes mínimos")),IF(AM73="Revisión / posible primaria exploratoria","B0/B0.5 reconstrucción antes de Runtime","No abre Runtime profundo")))</x:f>
      </x:c>
      <x:c r="AO73" s="69" t="str">
        <x:f>IF(A73="","",IF(Z73="BLOQUEADA","No probe",IF(AH73&gt;=75,"Alta",IF(AH73&gt;=55,"Media",IF(Z73="REVISIÓN","Exploratoria","Baja")))))</x:f>
      </x:c>
      <x:c r="AP73" s="69" t="str">
        <x:f>IF(A73="","",IF(M73="","unknown",IF(M73&gt;=2,"Prometedora","Débil / validar en B0.5-B1")))</x:f>
      </x:c>
      <x:c r="AQ73" s="69" t="str">
        <x:f>IF(A73="","",IF(N73="","unknown",IF(N73&gt;=2,"Prometedora","Débil / validar en B2")))</x:f>
      </x:c>
      <x:c r="AR73" s="69" t="str">
        <x:f>IF(A73="","",IF(O73="","unknown",IF(O73&gt;=2,"Prometedora","Débil / validar en B3-B4")))</x:f>
      </x:c>
      <x:c r="AS73" s="69" t="str">
        <x:f>IF(A73="","",IF(P73="","unknown",IF(P73&gt;=2,"Prometedora","Débil / validar en B2-B4")))</x:f>
      </x:c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 t="str">
        <x:f>IF(A74="","",COUNTBLANK(M74:P74))</x:f>
      </x:c>
      <x:c r="Z74" s="69" t="str">
        <x:f>IF(A74="","",IF(OR(E74="",G74="No",H74="No",I74="Responsabilidad genérica",I74="Demasiado amplia",I74="Microtarea",J74="Duplicado evidente"),"BLOQUEADA",IF(OR(I74="Ambigua",L74&lt;1,K74&lt;1),"REVISIÓN","ELEGIBLE")))</x:f>
      </x:c>
      <x:c r="AA74" s="69" t="str">
        <x:f>IF(A74="","",IF(Z74="BLOQUEADA",0,ROUND(100*(IF(M74="",1.5,M74)+IF(N74="",1.5,N74)+IF(O74="",1.5,O74)+IF(P74="",1.5,P74))/12,1)))</x:f>
      </x:c>
      <x:c r="AB74" s="69" t="str">
        <x:f>IF(A74="","",IF(Z74="BLOQUEADA",0,ROUND(100*IF(Q74="",1.5,Q74)/3,1)))</x:f>
      </x:c>
      <x:c r="AC74" s="69" t="str">
        <x:f>IF(A74="","",IF(Z74="BLOQUEADA",0,ROUND(100*IF(R74="",1.5,R74)/3,1)))</x:f>
      </x:c>
      <x:c r="AD74" s="69" t="str">
        <x:f>IF(A74="","",IF(Z74="BLOQUEADA",0,ROUND(100*IF(S74="",1.5,S74)/3,1)))</x:f>
      </x:c>
      <x:c r="AE74" s="69" t="str">
        <x:f>IF(A74="","",IF(Z74="BLOQUEADA",0,ROUND(100*IF(T74="",1.5,T74)/3,1)))</x:f>
      </x:c>
      <x:c r="AF74" s="69" t="str">
        <x:f>IF(A74="","",IF(Z74="BLOQUEADA",0,ROUND(100*IF(U74="",1.5,U74)/3,1)))</x:f>
      </x:c>
      <x:c r="AG74" s="69" t="str">
        <x:f>IF(A74="","",ROUND(IF(Z74="BLOQUEADA",100,(X74*10)+(V74*8)+(W74*8)),1))</x:f>
      </x:c>
      <x:c r="AH74" s="69" t="str">
        <x:f>IF(A74="","",IF(Z74="BLOQUEADA",0,MAX(0,ROUND(0.30*AA74+0.20*AB74+0.15*AC74+0.15*AD74+0.10*AE74+0.10*AF74-AG74,1))))</x:f>
      </x:c>
      <x:c r="AI74" s="69" t="str">
        <x:f>IF(A74="","",IF(Z74="ELEGIBLE",RANK.EQ(AH74,$AH$2:$AH$201,0),""))</x:f>
      </x:c>
      <x:c r="AJ74" s="69" t="str">
        <x:f>IF(A74="","",IF(Z74="BLOQUEADA","No aplica",IF(Z74="REVISIÓN","Slot 8 posible: exploratorio",IF(AI74&lt;=5,"Slot 1-5: alto potencial",IF(R74&gt;=2.5,"Slot 6: handoff/dependencia",IF(S74&gt;=2.5,"Slot 7: transformación/objeto",IF(AND(K74&gt;=1,U74&gt;=2),"Slot 8 posible: exploratorio","Backlog/contexto")))))))</x:f>
      </x:c>
      <x:c r="AK74" s="69" t="str">
        <x:f>IF(A74="","",IF(Z74="BLOQUEADA","No seleccionable",IF(Z74="REVISIÓN","Revisión para slot exploratorio",IF(AI74&lt;=8,"Primaria propuesta","Contexto no primario"))))</x:f>
      </x:c>
      <x:c r="AL74" s="69" t="str">
        <x:f>IF(A74="","",IF(OR(Z74="REVISIÓN",Y74&gt;=3,V74&gt;=2),"Sí","No"))</x:f>
      </x:c>
      <x:c r="AM74" s="69" t="str">
        <x:f>IF(A74="","",IF(AK74="Primaria propuesta","Primaria propuesta",IF(AK74="Revisión para slot exploratorio","Revisión / posible primaria exploratoria",IF(AK74="No seleccionable","No seleccionable","Contexto no primario"))))</x:f>
      </x:c>
      <x:c r="AN74" s="69" t="str">
        <x:f>IF(A74="","",IF(AM74="Primaria propuesta",IF(AH74&gt;=75,"40+20 probable",IF(AH74&gt;=55,"40 base + causales selectivas","40 base + probes mínimos")),IF(AM74="Revisión / posible primaria exploratoria","B0/B0.5 reconstrucción antes de Runtime","No abre Runtime profundo")))</x:f>
      </x:c>
      <x:c r="AO74" s="69" t="str">
        <x:f>IF(A74="","",IF(Z74="BLOQUEADA","No probe",IF(AH74&gt;=75,"Alta",IF(AH74&gt;=55,"Media",IF(Z74="REVISIÓN","Exploratoria","Baja")))))</x:f>
      </x:c>
      <x:c r="AP74" s="69" t="str">
        <x:f>IF(A74="","",IF(M74="","unknown",IF(M74&gt;=2,"Prometedora","Débil / validar en B0.5-B1")))</x:f>
      </x:c>
      <x:c r="AQ74" s="69" t="str">
        <x:f>IF(A74="","",IF(N74="","unknown",IF(N74&gt;=2,"Prometedora","Débil / validar en B2")))</x:f>
      </x:c>
      <x:c r="AR74" s="69" t="str">
        <x:f>IF(A74="","",IF(O74="","unknown",IF(O74&gt;=2,"Prometedora","Débil / validar en B3-B4")))</x:f>
      </x:c>
      <x:c r="AS74" s="69" t="str">
        <x:f>IF(A74="","",IF(P74="","unknown",IF(P74&gt;=2,"Prometedora","Débil / validar en B2-B4")))</x:f>
      </x:c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 t="str">
        <x:f>IF(A75="","",COUNTBLANK(M75:P75))</x:f>
      </x:c>
      <x:c r="Z75" s="69" t="str">
        <x:f>IF(A75="","",IF(OR(E75="",G75="No",H75="No",I75="Responsabilidad genérica",I75="Demasiado amplia",I75="Microtarea",J75="Duplicado evidente"),"BLOQUEADA",IF(OR(I75="Ambigua",L75&lt;1,K75&lt;1),"REVISIÓN","ELEGIBLE")))</x:f>
      </x:c>
      <x:c r="AA75" s="69" t="str">
        <x:f>IF(A75="","",IF(Z75="BLOQUEADA",0,ROUND(100*(IF(M75="",1.5,M75)+IF(N75="",1.5,N75)+IF(O75="",1.5,O75)+IF(P75="",1.5,P75))/12,1)))</x:f>
      </x:c>
      <x:c r="AB75" s="69" t="str">
        <x:f>IF(A75="","",IF(Z75="BLOQUEADA",0,ROUND(100*IF(Q75="",1.5,Q75)/3,1)))</x:f>
      </x:c>
      <x:c r="AC75" s="69" t="str">
        <x:f>IF(A75="","",IF(Z75="BLOQUEADA",0,ROUND(100*IF(R75="",1.5,R75)/3,1)))</x:f>
      </x:c>
      <x:c r="AD75" s="69" t="str">
        <x:f>IF(A75="","",IF(Z75="BLOQUEADA",0,ROUND(100*IF(S75="",1.5,S75)/3,1)))</x:f>
      </x:c>
      <x:c r="AE75" s="69" t="str">
        <x:f>IF(A75="","",IF(Z75="BLOQUEADA",0,ROUND(100*IF(T75="",1.5,T75)/3,1)))</x:f>
      </x:c>
      <x:c r="AF75" s="69" t="str">
        <x:f>IF(A75="","",IF(Z75="BLOQUEADA",0,ROUND(100*IF(U75="",1.5,U75)/3,1)))</x:f>
      </x:c>
      <x:c r="AG75" s="69" t="str">
        <x:f>IF(A75="","",ROUND(IF(Z75="BLOQUEADA",100,(X75*10)+(V75*8)+(W75*8)),1))</x:f>
      </x:c>
      <x:c r="AH75" s="69" t="str">
        <x:f>IF(A75="","",IF(Z75="BLOQUEADA",0,MAX(0,ROUND(0.30*AA75+0.20*AB75+0.15*AC75+0.15*AD75+0.10*AE75+0.10*AF75-AG75,1))))</x:f>
      </x:c>
      <x:c r="AI75" s="69" t="str">
        <x:f>IF(A75="","",IF(Z75="ELEGIBLE",RANK.EQ(AH75,$AH$2:$AH$201,0),""))</x:f>
      </x:c>
      <x:c r="AJ75" s="69" t="str">
        <x:f>IF(A75="","",IF(Z75="BLOQUEADA","No aplica",IF(Z75="REVISIÓN","Slot 8 posible: exploratorio",IF(AI75&lt;=5,"Slot 1-5: alto potencial",IF(R75&gt;=2.5,"Slot 6: handoff/dependencia",IF(S75&gt;=2.5,"Slot 7: transformación/objeto",IF(AND(K75&gt;=1,U75&gt;=2),"Slot 8 posible: exploratorio","Backlog/contexto")))))))</x:f>
      </x:c>
      <x:c r="AK75" s="69" t="str">
        <x:f>IF(A75="","",IF(Z75="BLOQUEADA","No seleccionable",IF(Z75="REVISIÓN","Revisión para slot exploratorio",IF(AI75&lt;=8,"Primaria propuesta","Contexto no primario"))))</x:f>
      </x:c>
      <x:c r="AL75" s="69" t="str">
        <x:f>IF(A75="","",IF(OR(Z75="REVISIÓN",Y75&gt;=3,V75&gt;=2),"Sí","No"))</x:f>
      </x:c>
      <x:c r="AM75" s="69" t="str">
        <x:f>IF(A75="","",IF(AK75="Primaria propuesta","Primaria propuesta",IF(AK75="Revisión para slot exploratorio","Revisión / posible primaria exploratoria",IF(AK75="No seleccionable","No seleccionable","Contexto no primario"))))</x:f>
      </x:c>
      <x:c r="AN75" s="69" t="str">
        <x:f>IF(A75="","",IF(AM75="Primaria propuesta",IF(AH75&gt;=75,"40+20 probable",IF(AH75&gt;=55,"40 base + causales selectivas","40 base + probes mínimos")),IF(AM75="Revisión / posible primaria exploratoria","B0/B0.5 reconstrucción antes de Runtime","No abre Runtime profundo")))</x:f>
      </x:c>
      <x:c r="AO75" s="69" t="str">
        <x:f>IF(A75="","",IF(Z75="BLOQUEADA","No probe",IF(AH75&gt;=75,"Alta",IF(AH75&gt;=55,"Media",IF(Z75="REVISIÓN","Exploratoria","Baja")))))</x:f>
      </x:c>
      <x:c r="AP75" s="69" t="str">
        <x:f>IF(A75="","",IF(M75="","unknown",IF(M75&gt;=2,"Prometedora","Débil / validar en B0.5-B1")))</x:f>
      </x:c>
      <x:c r="AQ75" s="69" t="str">
        <x:f>IF(A75="","",IF(N75="","unknown",IF(N75&gt;=2,"Prometedora","Débil / validar en B2")))</x:f>
      </x:c>
      <x:c r="AR75" s="69" t="str">
        <x:f>IF(A75="","",IF(O75="","unknown",IF(O75&gt;=2,"Prometedora","Débil / validar en B3-B4")))</x:f>
      </x:c>
      <x:c r="AS75" s="69" t="str">
        <x:f>IF(A75="","",IF(P75="","unknown",IF(P75&gt;=2,"Prometedora","Débil / validar en B2-B4")))</x:f>
      </x:c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 t="str">
        <x:f>IF(A76="","",COUNTBLANK(M76:P76))</x:f>
      </x:c>
      <x:c r="Z76" s="69" t="str">
        <x:f>IF(A76="","",IF(OR(E76="",G76="No",H76="No",I76="Responsabilidad genérica",I76="Demasiado amplia",I76="Microtarea",J76="Duplicado evidente"),"BLOQUEADA",IF(OR(I76="Ambigua",L76&lt;1,K76&lt;1),"REVISIÓN","ELEGIBLE")))</x:f>
      </x:c>
      <x:c r="AA76" s="69" t="str">
        <x:f>IF(A76="","",IF(Z76="BLOQUEADA",0,ROUND(100*(IF(M76="",1.5,M76)+IF(N76="",1.5,N76)+IF(O76="",1.5,O76)+IF(P76="",1.5,P76))/12,1)))</x:f>
      </x:c>
      <x:c r="AB76" s="69" t="str">
        <x:f>IF(A76="","",IF(Z76="BLOQUEADA",0,ROUND(100*IF(Q76="",1.5,Q76)/3,1)))</x:f>
      </x:c>
      <x:c r="AC76" s="69" t="str">
        <x:f>IF(A76="","",IF(Z76="BLOQUEADA",0,ROUND(100*IF(R76="",1.5,R76)/3,1)))</x:f>
      </x:c>
      <x:c r="AD76" s="69" t="str">
        <x:f>IF(A76="","",IF(Z76="BLOQUEADA",0,ROUND(100*IF(S76="",1.5,S76)/3,1)))</x:f>
      </x:c>
      <x:c r="AE76" s="69" t="str">
        <x:f>IF(A76="","",IF(Z76="BLOQUEADA",0,ROUND(100*IF(T76="",1.5,T76)/3,1)))</x:f>
      </x:c>
      <x:c r="AF76" s="69" t="str">
        <x:f>IF(A76="","",IF(Z76="BLOQUEADA",0,ROUND(100*IF(U76="",1.5,U76)/3,1)))</x:f>
      </x:c>
      <x:c r="AG76" s="69" t="str">
        <x:f>IF(A76="","",ROUND(IF(Z76="BLOQUEADA",100,(X76*10)+(V76*8)+(W76*8)),1))</x:f>
      </x:c>
      <x:c r="AH76" s="69" t="str">
        <x:f>IF(A76="","",IF(Z76="BLOQUEADA",0,MAX(0,ROUND(0.30*AA76+0.20*AB76+0.15*AC76+0.15*AD76+0.10*AE76+0.10*AF76-AG76,1))))</x:f>
      </x:c>
      <x:c r="AI76" s="69" t="str">
        <x:f>IF(A76="","",IF(Z76="ELEGIBLE",RANK.EQ(AH76,$AH$2:$AH$201,0),""))</x:f>
      </x:c>
      <x:c r="AJ76" s="69" t="str">
        <x:f>IF(A76="","",IF(Z76="BLOQUEADA","No aplica",IF(Z76="REVISIÓN","Slot 8 posible: exploratorio",IF(AI76&lt;=5,"Slot 1-5: alto potencial",IF(R76&gt;=2.5,"Slot 6: handoff/dependencia",IF(S76&gt;=2.5,"Slot 7: transformación/objeto",IF(AND(K76&gt;=1,U76&gt;=2),"Slot 8 posible: exploratorio","Backlog/contexto")))))))</x:f>
      </x:c>
      <x:c r="AK76" s="69" t="str">
        <x:f>IF(A76="","",IF(Z76="BLOQUEADA","No seleccionable",IF(Z76="REVISIÓN","Revisión para slot exploratorio",IF(AI76&lt;=8,"Primaria propuesta","Contexto no primario"))))</x:f>
      </x:c>
      <x:c r="AL76" s="69" t="str">
        <x:f>IF(A76="","",IF(OR(Z76="REVISIÓN",Y76&gt;=3,V76&gt;=2),"Sí","No"))</x:f>
      </x:c>
      <x:c r="AM76" s="69" t="str">
        <x:f>IF(A76="","",IF(AK76="Primaria propuesta","Primaria propuesta",IF(AK76="Revisión para slot exploratorio","Revisión / posible primaria exploratoria",IF(AK76="No seleccionable","No seleccionable","Contexto no primario"))))</x:f>
      </x:c>
      <x:c r="AN76" s="69" t="str">
        <x:f>IF(A76="","",IF(AM76="Primaria propuesta",IF(AH76&gt;=75,"40+20 probable",IF(AH76&gt;=55,"40 base + causales selectivas","40 base + probes mínimos")),IF(AM76="Revisión / posible primaria exploratoria","B0/B0.5 reconstrucción antes de Runtime","No abre Runtime profundo")))</x:f>
      </x:c>
      <x:c r="AO76" s="69" t="str">
        <x:f>IF(A76="","",IF(Z76="BLOQUEADA","No probe",IF(AH76&gt;=75,"Alta",IF(AH76&gt;=55,"Media",IF(Z76="REVISIÓN","Exploratoria","Baja")))))</x:f>
      </x:c>
      <x:c r="AP76" s="69" t="str">
        <x:f>IF(A76="","",IF(M76="","unknown",IF(M76&gt;=2,"Prometedora","Débil / validar en B0.5-B1")))</x:f>
      </x:c>
      <x:c r="AQ76" s="69" t="str">
        <x:f>IF(A76="","",IF(N76="","unknown",IF(N76&gt;=2,"Prometedora","Débil / validar en B2")))</x:f>
      </x:c>
      <x:c r="AR76" s="69" t="str">
        <x:f>IF(A76="","",IF(O76="","unknown",IF(O76&gt;=2,"Prometedora","Débil / validar en B3-B4")))</x:f>
      </x:c>
      <x:c r="AS76" s="69" t="str">
        <x:f>IF(A76="","",IF(P76="","unknown",IF(P76&gt;=2,"Prometedora","Débil / validar en B2-B4")))</x:f>
      </x:c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 t="str">
        <x:f>IF(A77="","",COUNTBLANK(M77:P77))</x:f>
      </x:c>
      <x:c r="Z77" s="69" t="str">
        <x:f>IF(A77="","",IF(OR(E77="",G77="No",H77="No",I77="Responsabilidad genérica",I77="Demasiado amplia",I77="Microtarea",J77="Duplicado evidente"),"BLOQUEADA",IF(OR(I77="Ambigua",L77&lt;1,K77&lt;1),"REVISIÓN","ELEGIBLE")))</x:f>
      </x:c>
      <x:c r="AA77" s="69" t="str">
        <x:f>IF(A77="","",IF(Z77="BLOQUEADA",0,ROUND(100*(IF(M77="",1.5,M77)+IF(N77="",1.5,N77)+IF(O77="",1.5,O77)+IF(P77="",1.5,P77))/12,1)))</x:f>
      </x:c>
      <x:c r="AB77" s="69" t="str">
        <x:f>IF(A77="","",IF(Z77="BLOQUEADA",0,ROUND(100*IF(Q77="",1.5,Q77)/3,1)))</x:f>
      </x:c>
      <x:c r="AC77" s="69" t="str">
        <x:f>IF(A77="","",IF(Z77="BLOQUEADA",0,ROUND(100*IF(R77="",1.5,R77)/3,1)))</x:f>
      </x:c>
      <x:c r="AD77" s="69" t="str">
        <x:f>IF(A77="","",IF(Z77="BLOQUEADA",0,ROUND(100*IF(S77="",1.5,S77)/3,1)))</x:f>
      </x:c>
      <x:c r="AE77" s="69" t="str">
        <x:f>IF(A77="","",IF(Z77="BLOQUEADA",0,ROUND(100*IF(T77="",1.5,T77)/3,1)))</x:f>
      </x:c>
      <x:c r="AF77" s="69" t="str">
        <x:f>IF(A77="","",IF(Z77="BLOQUEADA",0,ROUND(100*IF(U77="",1.5,U77)/3,1)))</x:f>
      </x:c>
      <x:c r="AG77" s="69" t="str">
        <x:f>IF(A77="","",ROUND(IF(Z77="BLOQUEADA",100,(X77*10)+(V77*8)+(W77*8)),1))</x:f>
      </x:c>
      <x:c r="AH77" s="69" t="str">
        <x:f>IF(A77="","",IF(Z77="BLOQUEADA",0,MAX(0,ROUND(0.30*AA77+0.20*AB77+0.15*AC77+0.15*AD77+0.10*AE77+0.10*AF77-AG77,1))))</x:f>
      </x:c>
      <x:c r="AI77" s="69" t="str">
        <x:f>IF(A77="","",IF(Z77="ELEGIBLE",RANK.EQ(AH77,$AH$2:$AH$201,0),""))</x:f>
      </x:c>
      <x:c r="AJ77" s="69" t="str">
        <x:f>IF(A77="","",IF(Z77="BLOQUEADA","No aplica",IF(Z77="REVISIÓN","Slot 8 posible: exploratorio",IF(AI77&lt;=5,"Slot 1-5: alto potencial",IF(R77&gt;=2.5,"Slot 6: handoff/dependencia",IF(S77&gt;=2.5,"Slot 7: transformación/objeto",IF(AND(K77&gt;=1,U77&gt;=2),"Slot 8 posible: exploratorio","Backlog/contexto")))))))</x:f>
      </x:c>
      <x:c r="AK77" s="69" t="str">
        <x:f>IF(A77="","",IF(Z77="BLOQUEADA","No seleccionable",IF(Z77="REVISIÓN","Revisión para slot exploratorio",IF(AI77&lt;=8,"Primaria propuesta","Contexto no primario"))))</x:f>
      </x:c>
      <x:c r="AL77" s="69" t="str">
        <x:f>IF(A77="","",IF(OR(Z77="REVISIÓN",Y77&gt;=3,V77&gt;=2),"Sí","No"))</x:f>
      </x:c>
      <x:c r="AM77" s="69" t="str">
        <x:f>IF(A77="","",IF(AK77="Primaria propuesta","Primaria propuesta",IF(AK77="Revisión para slot exploratorio","Revisión / posible primaria exploratoria",IF(AK77="No seleccionable","No seleccionable","Contexto no primario"))))</x:f>
      </x:c>
      <x:c r="AN77" s="69" t="str">
        <x:f>IF(A77="","",IF(AM77="Primaria propuesta",IF(AH77&gt;=75,"40+20 probable",IF(AH77&gt;=55,"40 base + causales selectivas","40 base + probes mínimos")),IF(AM77="Revisión / posible primaria exploratoria","B0/B0.5 reconstrucción antes de Runtime","No abre Runtime profundo")))</x:f>
      </x:c>
      <x:c r="AO77" s="69" t="str">
        <x:f>IF(A77="","",IF(Z77="BLOQUEADA","No probe",IF(AH77&gt;=75,"Alta",IF(AH77&gt;=55,"Media",IF(Z77="REVISIÓN","Exploratoria","Baja")))))</x:f>
      </x:c>
      <x:c r="AP77" s="69" t="str">
        <x:f>IF(A77="","",IF(M77="","unknown",IF(M77&gt;=2,"Prometedora","Débil / validar en B0.5-B1")))</x:f>
      </x:c>
      <x:c r="AQ77" s="69" t="str">
        <x:f>IF(A77="","",IF(N77="","unknown",IF(N77&gt;=2,"Prometedora","Débil / validar en B2")))</x:f>
      </x:c>
      <x:c r="AR77" s="69" t="str">
        <x:f>IF(A77="","",IF(O77="","unknown",IF(O77&gt;=2,"Prometedora","Débil / validar en B3-B4")))</x:f>
      </x:c>
      <x:c r="AS77" s="69" t="str">
        <x:f>IF(A77="","",IF(P77="","unknown",IF(P77&gt;=2,"Prometedora","Débil / validar en B2-B4")))</x:f>
      </x:c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 t="str">
        <x:f>IF(A78="","",COUNTBLANK(M78:P78))</x:f>
      </x:c>
      <x:c r="Z78" s="69" t="str">
        <x:f>IF(A78="","",IF(OR(E78="",G78="No",H78="No",I78="Responsabilidad genérica",I78="Demasiado amplia",I78="Microtarea",J78="Duplicado evidente"),"BLOQUEADA",IF(OR(I78="Ambigua",L78&lt;1,K78&lt;1),"REVISIÓN","ELEGIBLE")))</x:f>
      </x:c>
      <x:c r="AA78" s="69" t="str">
        <x:f>IF(A78="","",IF(Z78="BLOQUEADA",0,ROUND(100*(IF(M78="",1.5,M78)+IF(N78="",1.5,N78)+IF(O78="",1.5,O78)+IF(P78="",1.5,P78))/12,1)))</x:f>
      </x:c>
      <x:c r="AB78" s="69" t="str">
        <x:f>IF(A78="","",IF(Z78="BLOQUEADA",0,ROUND(100*IF(Q78="",1.5,Q78)/3,1)))</x:f>
      </x:c>
      <x:c r="AC78" s="69" t="str">
        <x:f>IF(A78="","",IF(Z78="BLOQUEADA",0,ROUND(100*IF(R78="",1.5,R78)/3,1)))</x:f>
      </x:c>
      <x:c r="AD78" s="69" t="str">
        <x:f>IF(A78="","",IF(Z78="BLOQUEADA",0,ROUND(100*IF(S78="",1.5,S78)/3,1)))</x:f>
      </x:c>
      <x:c r="AE78" s="69" t="str">
        <x:f>IF(A78="","",IF(Z78="BLOQUEADA",0,ROUND(100*IF(T78="",1.5,T78)/3,1)))</x:f>
      </x:c>
      <x:c r="AF78" s="69" t="str">
        <x:f>IF(A78="","",IF(Z78="BLOQUEADA",0,ROUND(100*IF(U78="",1.5,U78)/3,1)))</x:f>
      </x:c>
      <x:c r="AG78" s="69" t="str">
        <x:f>IF(A78="","",ROUND(IF(Z78="BLOQUEADA",100,(X78*10)+(V78*8)+(W78*8)),1))</x:f>
      </x:c>
      <x:c r="AH78" s="69" t="str">
        <x:f>IF(A78="","",IF(Z78="BLOQUEADA",0,MAX(0,ROUND(0.30*AA78+0.20*AB78+0.15*AC78+0.15*AD78+0.10*AE78+0.10*AF78-AG78,1))))</x:f>
      </x:c>
      <x:c r="AI78" s="69" t="str">
        <x:f>IF(A78="","",IF(Z78="ELEGIBLE",RANK.EQ(AH78,$AH$2:$AH$201,0),""))</x:f>
      </x:c>
      <x:c r="AJ78" s="69" t="str">
        <x:f>IF(A78="","",IF(Z78="BLOQUEADA","No aplica",IF(Z78="REVISIÓN","Slot 8 posible: exploratorio",IF(AI78&lt;=5,"Slot 1-5: alto potencial",IF(R78&gt;=2.5,"Slot 6: handoff/dependencia",IF(S78&gt;=2.5,"Slot 7: transformación/objeto",IF(AND(K78&gt;=1,U78&gt;=2),"Slot 8 posible: exploratorio","Backlog/contexto")))))))</x:f>
      </x:c>
      <x:c r="AK78" s="69" t="str">
        <x:f>IF(A78="","",IF(Z78="BLOQUEADA","No seleccionable",IF(Z78="REVISIÓN","Revisión para slot exploratorio",IF(AI78&lt;=8,"Primaria propuesta","Contexto no primario"))))</x:f>
      </x:c>
      <x:c r="AL78" s="69" t="str">
        <x:f>IF(A78="","",IF(OR(Z78="REVISIÓN",Y78&gt;=3,V78&gt;=2),"Sí","No"))</x:f>
      </x:c>
      <x:c r="AM78" s="69" t="str">
        <x:f>IF(A78="","",IF(AK78="Primaria propuesta","Primaria propuesta",IF(AK78="Revisión para slot exploratorio","Revisión / posible primaria exploratoria",IF(AK78="No seleccionable","No seleccionable","Contexto no primario"))))</x:f>
      </x:c>
      <x:c r="AN78" s="69" t="str">
        <x:f>IF(A78="","",IF(AM78="Primaria propuesta",IF(AH78&gt;=75,"40+20 probable",IF(AH78&gt;=55,"40 base + causales selectivas","40 base + probes mínimos")),IF(AM78="Revisión / posible primaria exploratoria","B0/B0.5 reconstrucción antes de Runtime","No abre Runtime profundo")))</x:f>
      </x:c>
      <x:c r="AO78" s="69" t="str">
        <x:f>IF(A78="","",IF(Z78="BLOQUEADA","No probe",IF(AH78&gt;=75,"Alta",IF(AH78&gt;=55,"Media",IF(Z78="REVISIÓN","Exploratoria","Baja")))))</x:f>
      </x:c>
      <x:c r="AP78" s="69" t="str">
        <x:f>IF(A78="","",IF(M78="","unknown",IF(M78&gt;=2,"Prometedora","Débil / validar en B0.5-B1")))</x:f>
      </x:c>
      <x:c r="AQ78" s="69" t="str">
        <x:f>IF(A78="","",IF(N78="","unknown",IF(N78&gt;=2,"Prometedora","Débil / validar en B2")))</x:f>
      </x:c>
      <x:c r="AR78" s="69" t="str">
        <x:f>IF(A78="","",IF(O78="","unknown",IF(O78&gt;=2,"Prometedora","Débil / validar en B3-B4")))</x:f>
      </x:c>
      <x:c r="AS78" s="69" t="str">
        <x:f>IF(A78="","",IF(P78="","unknown",IF(P78&gt;=2,"Prometedora","Débil / validar en B2-B4")))</x:f>
      </x:c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 t="str">
        <x:f>IF(A79="","",COUNTBLANK(M79:P79))</x:f>
      </x:c>
      <x:c r="Z79" s="69" t="str">
        <x:f>IF(A79="","",IF(OR(E79="",G79="No",H79="No",I79="Responsabilidad genérica",I79="Demasiado amplia",I79="Microtarea",J79="Duplicado evidente"),"BLOQUEADA",IF(OR(I79="Ambigua",L79&lt;1,K79&lt;1),"REVISIÓN","ELEGIBLE")))</x:f>
      </x:c>
      <x:c r="AA79" s="69" t="str">
        <x:f>IF(A79="","",IF(Z79="BLOQUEADA",0,ROUND(100*(IF(M79="",1.5,M79)+IF(N79="",1.5,N79)+IF(O79="",1.5,O79)+IF(P79="",1.5,P79))/12,1)))</x:f>
      </x:c>
      <x:c r="AB79" s="69" t="str">
        <x:f>IF(A79="","",IF(Z79="BLOQUEADA",0,ROUND(100*IF(Q79="",1.5,Q79)/3,1)))</x:f>
      </x:c>
      <x:c r="AC79" s="69" t="str">
        <x:f>IF(A79="","",IF(Z79="BLOQUEADA",0,ROUND(100*IF(R79="",1.5,R79)/3,1)))</x:f>
      </x:c>
      <x:c r="AD79" s="69" t="str">
        <x:f>IF(A79="","",IF(Z79="BLOQUEADA",0,ROUND(100*IF(S79="",1.5,S79)/3,1)))</x:f>
      </x:c>
      <x:c r="AE79" s="69" t="str">
        <x:f>IF(A79="","",IF(Z79="BLOQUEADA",0,ROUND(100*IF(T79="",1.5,T79)/3,1)))</x:f>
      </x:c>
      <x:c r="AF79" s="69" t="str">
        <x:f>IF(A79="","",IF(Z79="BLOQUEADA",0,ROUND(100*IF(U79="",1.5,U79)/3,1)))</x:f>
      </x:c>
      <x:c r="AG79" s="69" t="str">
        <x:f>IF(A79="","",ROUND(IF(Z79="BLOQUEADA",100,(X79*10)+(V79*8)+(W79*8)),1))</x:f>
      </x:c>
      <x:c r="AH79" s="69" t="str">
        <x:f>IF(A79="","",IF(Z79="BLOQUEADA",0,MAX(0,ROUND(0.30*AA79+0.20*AB79+0.15*AC79+0.15*AD79+0.10*AE79+0.10*AF79-AG79,1))))</x:f>
      </x:c>
      <x:c r="AI79" s="69" t="str">
        <x:f>IF(A79="","",IF(Z79="ELEGIBLE",RANK.EQ(AH79,$AH$2:$AH$201,0),""))</x:f>
      </x:c>
      <x:c r="AJ79" s="69" t="str">
        <x:f>IF(A79="","",IF(Z79="BLOQUEADA","No aplica",IF(Z79="REVISIÓN","Slot 8 posible: exploratorio",IF(AI79&lt;=5,"Slot 1-5: alto potencial",IF(R79&gt;=2.5,"Slot 6: handoff/dependencia",IF(S79&gt;=2.5,"Slot 7: transformación/objeto",IF(AND(K79&gt;=1,U79&gt;=2),"Slot 8 posible: exploratorio","Backlog/contexto")))))))</x:f>
      </x:c>
      <x:c r="AK79" s="69" t="str">
        <x:f>IF(A79="","",IF(Z79="BLOQUEADA","No seleccionable",IF(Z79="REVISIÓN","Revisión para slot exploratorio",IF(AI79&lt;=8,"Primaria propuesta","Contexto no primario"))))</x:f>
      </x:c>
      <x:c r="AL79" s="69" t="str">
        <x:f>IF(A79="","",IF(OR(Z79="REVISIÓN",Y79&gt;=3,V79&gt;=2),"Sí","No"))</x:f>
      </x:c>
      <x:c r="AM79" s="69" t="str">
        <x:f>IF(A79="","",IF(AK79="Primaria propuesta","Primaria propuesta",IF(AK79="Revisión para slot exploratorio","Revisión / posible primaria exploratoria",IF(AK79="No seleccionable","No seleccionable","Contexto no primario"))))</x:f>
      </x:c>
      <x:c r="AN79" s="69" t="str">
        <x:f>IF(A79="","",IF(AM79="Primaria propuesta",IF(AH79&gt;=75,"40+20 probable",IF(AH79&gt;=55,"40 base + causales selectivas","40 base + probes mínimos")),IF(AM79="Revisión / posible primaria exploratoria","B0/B0.5 reconstrucción antes de Runtime","No abre Runtime profundo")))</x:f>
      </x:c>
      <x:c r="AO79" s="69" t="str">
        <x:f>IF(A79="","",IF(Z79="BLOQUEADA","No probe",IF(AH79&gt;=75,"Alta",IF(AH79&gt;=55,"Media",IF(Z79="REVISIÓN","Exploratoria","Baja")))))</x:f>
      </x:c>
      <x:c r="AP79" s="69" t="str">
        <x:f>IF(A79="","",IF(M79="","unknown",IF(M79&gt;=2,"Prometedora","Débil / validar en B0.5-B1")))</x:f>
      </x:c>
      <x:c r="AQ79" s="69" t="str">
        <x:f>IF(A79="","",IF(N79="","unknown",IF(N79&gt;=2,"Prometedora","Débil / validar en B2")))</x:f>
      </x:c>
      <x:c r="AR79" s="69" t="str">
        <x:f>IF(A79="","",IF(O79="","unknown",IF(O79&gt;=2,"Prometedora","Débil / validar en B3-B4")))</x:f>
      </x:c>
      <x:c r="AS79" s="69" t="str">
        <x:f>IF(A79="","",IF(P79="","unknown",IF(P79&gt;=2,"Prometedora","Débil / validar en B2-B4")))</x:f>
      </x:c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 t="str">
        <x:f>IF(A80="","",COUNTBLANK(M80:P80))</x:f>
      </x:c>
      <x:c r="Z80" s="69" t="str">
        <x:f>IF(A80="","",IF(OR(E80="",G80="No",H80="No",I80="Responsabilidad genérica",I80="Demasiado amplia",I80="Microtarea",J80="Duplicado evidente"),"BLOQUEADA",IF(OR(I80="Ambigua",L80&lt;1,K80&lt;1),"REVISIÓN","ELEGIBLE")))</x:f>
      </x:c>
      <x:c r="AA80" s="69" t="str">
        <x:f>IF(A80="","",IF(Z80="BLOQUEADA",0,ROUND(100*(IF(M80="",1.5,M80)+IF(N80="",1.5,N80)+IF(O80="",1.5,O80)+IF(P80="",1.5,P80))/12,1)))</x:f>
      </x:c>
      <x:c r="AB80" s="69" t="str">
        <x:f>IF(A80="","",IF(Z80="BLOQUEADA",0,ROUND(100*IF(Q80="",1.5,Q80)/3,1)))</x:f>
      </x:c>
      <x:c r="AC80" s="69" t="str">
        <x:f>IF(A80="","",IF(Z80="BLOQUEADA",0,ROUND(100*IF(R80="",1.5,R80)/3,1)))</x:f>
      </x:c>
      <x:c r="AD80" s="69" t="str">
        <x:f>IF(A80="","",IF(Z80="BLOQUEADA",0,ROUND(100*IF(S80="",1.5,S80)/3,1)))</x:f>
      </x:c>
      <x:c r="AE80" s="69" t="str">
        <x:f>IF(A80="","",IF(Z80="BLOQUEADA",0,ROUND(100*IF(T80="",1.5,T80)/3,1)))</x:f>
      </x:c>
      <x:c r="AF80" s="69" t="str">
        <x:f>IF(A80="","",IF(Z80="BLOQUEADA",0,ROUND(100*IF(U80="",1.5,U80)/3,1)))</x:f>
      </x:c>
      <x:c r="AG80" s="69" t="str">
        <x:f>IF(A80="","",ROUND(IF(Z80="BLOQUEADA",100,(X80*10)+(V80*8)+(W80*8)),1))</x:f>
      </x:c>
      <x:c r="AH80" s="69" t="str">
        <x:f>IF(A80="","",IF(Z80="BLOQUEADA",0,MAX(0,ROUND(0.30*AA80+0.20*AB80+0.15*AC80+0.15*AD80+0.10*AE80+0.10*AF80-AG80,1))))</x:f>
      </x:c>
      <x:c r="AI80" s="69" t="str">
        <x:f>IF(A80="","",IF(Z80="ELEGIBLE",RANK.EQ(AH80,$AH$2:$AH$201,0),""))</x:f>
      </x:c>
      <x:c r="AJ80" s="69" t="str">
        <x:f>IF(A80="","",IF(Z80="BLOQUEADA","No aplica",IF(Z80="REVISIÓN","Slot 8 posible: exploratorio",IF(AI80&lt;=5,"Slot 1-5: alto potencial",IF(R80&gt;=2.5,"Slot 6: handoff/dependencia",IF(S80&gt;=2.5,"Slot 7: transformación/objeto",IF(AND(K80&gt;=1,U80&gt;=2),"Slot 8 posible: exploratorio","Backlog/contexto")))))))</x:f>
      </x:c>
      <x:c r="AK80" s="69" t="str">
        <x:f>IF(A80="","",IF(Z80="BLOQUEADA","No seleccionable",IF(Z80="REVISIÓN","Revisión para slot exploratorio",IF(AI80&lt;=8,"Primaria propuesta","Contexto no primario"))))</x:f>
      </x:c>
      <x:c r="AL80" s="69" t="str">
        <x:f>IF(A80="","",IF(OR(Z80="REVISIÓN",Y80&gt;=3,V80&gt;=2),"Sí","No"))</x:f>
      </x:c>
      <x:c r="AM80" s="69" t="str">
        <x:f>IF(A80="","",IF(AK80="Primaria propuesta","Primaria propuesta",IF(AK80="Revisión para slot exploratorio","Revisión / posible primaria exploratoria",IF(AK80="No seleccionable","No seleccionable","Contexto no primario"))))</x:f>
      </x:c>
      <x:c r="AN80" s="69" t="str">
        <x:f>IF(A80="","",IF(AM80="Primaria propuesta",IF(AH80&gt;=75,"40+20 probable",IF(AH80&gt;=55,"40 base + causales selectivas","40 base + probes mínimos")),IF(AM80="Revisión / posible primaria exploratoria","B0/B0.5 reconstrucción antes de Runtime","No abre Runtime profundo")))</x:f>
      </x:c>
      <x:c r="AO80" s="69" t="str">
        <x:f>IF(A80="","",IF(Z80="BLOQUEADA","No probe",IF(AH80&gt;=75,"Alta",IF(AH80&gt;=55,"Media",IF(Z80="REVISIÓN","Exploratoria","Baja")))))</x:f>
      </x:c>
      <x:c r="AP80" s="69" t="str">
        <x:f>IF(A80="","",IF(M80="","unknown",IF(M80&gt;=2,"Prometedora","Débil / validar en B0.5-B1")))</x:f>
      </x:c>
      <x:c r="AQ80" s="69" t="str">
        <x:f>IF(A80="","",IF(N80="","unknown",IF(N80&gt;=2,"Prometedora","Débil / validar en B2")))</x:f>
      </x:c>
      <x:c r="AR80" s="69" t="str">
        <x:f>IF(A80="","",IF(O80="","unknown",IF(O80&gt;=2,"Prometedora","Débil / validar en B3-B4")))</x:f>
      </x:c>
      <x:c r="AS80" s="69" t="str">
        <x:f>IF(A80="","",IF(P80="","unknown",IF(P80&gt;=2,"Prometedora","Débil / validar en B2-B4")))</x:f>
      </x:c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 t="str">
        <x:f>IF(A81="","",COUNTBLANK(M81:P81))</x:f>
      </x:c>
      <x:c r="Z81" s="69" t="str">
        <x:f>IF(A81="","",IF(OR(E81="",G81="No",H81="No",I81="Responsabilidad genérica",I81="Demasiado amplia",I81="Microtarea",J81="Duplicado evidente"),"BLOQUEADA",IF(OR(I81="Ambigua",L81&lt;1,K81&lt;1),"REVISIÓN","ELEGIBLE")))</x:f>
      </x:c>
      <x:c r="AA81" s="69" t="str">
        <x:f>IF(A81="","",IF(Z81="BLOQUEADA",0,ROUND(100*(IF(M81="",1.5,M81)+IF(N81="",1.5,N81)+IF(O81="",1.5,O81)+IF(P81="",1.5,P81))/12,1)))</x:f>
      </x:c>
      <x:c r="AB81" s="69" t="str">
        <x:f>IF(A81="","",IF(Z81="BLOQUEADA",0,ROUND(100*IF(Q81="",1.5,Q81)/3,1)))</x:f>
      </x:c>
      <x:c r="AC81" s="69" t="str">
        <x:f>IF(A81="","",IF(Z81="BLOQUEADA",0,ROUND(100*IF(R81="",1.5,R81)/3,1)))</x:f>
      </x:c>
      <x:c r="AD81" s="69" t="str">
        <x:f>IF(A81="","",IF(Z81="BLOQUEADA",0,ROUND(100*IF(S81="",1.5,S81)/3,1)))</x:f>
      </x:c>
      <x:c r="AE81" s="69" t="str">
        <x:f>IF(A81="","",IF(Z81="BLOQUEADA",0,ROUND(100*IF(T81="",1.5,T81)/3,1)))</x:f>
      </x:c>
      <x:c r="AF81" s="69" t="str">
        <x:f>IF(A81="","",IF(Z81="BLOQUEADA",0,ROUND(100*IF(U81="",1.5,U81)/3,1)))</x:f>
      </x:c>
      <x:c r="AG81" s="69" t="str">
        <x:f>IF(A81="","",ROUND(IF(Z81="BLOQUEADA",100,(X81*10)+(V81*8)+(W81*8)),1))</x:f>
      </x:c>
      <x:c r="AH81" s="69" t="str">
        <x:f>IF(A81="","",IF(Z81="BLOQUEADA",0,MAX(0,ROUND(0.30*AA81+0.20*AB81+0.15*AC81+0.15*AD81+0.10*AE81+0.10*AF81-AG81,1))))</x:f>
      </x:c>
      <x:c r="AI81" s="69" t="str">
        <x:f>IF(A81="","",IF(Z81="ELEGIBLE",RANK.EQ(AH81,$AH$2:$AH$201,0),""))</x:f>
      </x:c>
      <x:c r="AJ81" s="69" t="str">
        <x:f>IF(A81="","",IF(Z81="BLOQUEADA","No aplica",IF(Z81="REVISIÓN","Slot 8 posible: exploratorio",IF(AI81&lt;=5,"Slot 1-5: alto potencial",IF(R81&gt;=2.5,"Slot 6: handoff/dependencia",IF(S81&gt;=2.5,"Slot 7: transformación/objeto",IF(AND(K81&gt;=1,U81&gt;=2),"Slot 8 posible: exploratorio","Backlog/contexto")))))))</x:f>
      </x:c>
      <x:c r="AK81" s="69" t="str">
        <x:f>IF(A81="","",IF(Z81="BLOQUEADA","No seleccionable",IF(Z81="REVISIÓN","Revisión para slot exploratorio",IF(AI81&lt;=8,"Primaria propuesta","Contexto no primario"))))</x:f>
      </x:c>
      <x:c r="AL81" s="69" t="str">
        <x:f>IF(A81="","",IF(OR(Z81="REVISIÓN",Y81&gt;=3,V81&gt;=2),"Sí","No"))</x:f>
      </x:c>
      <x:c r="AM81" s="69" t="str">
        <x:f>IF(A81="","",IF(AK81="Primaria propuesta","Primaria propuesta",IF(AK81="Revisión para slot exploratorio","Revisión / posible primaria exploratoria",IF(AK81="No seleccionable","No seleccionable","Contexto no primario"))))</x:f>
      </x:c>
      <x:c r="AN81" s="69" t="str">
        <x:f>IF(A81="","",IF(AM81="Primaria propuesta",IF(AH81&gt;=75,"40+20 probable",IF(AH81&gt;=55,"40 base + causales selectivas","40 base + probes mínimos")),IF(AM81="Revisión / posible primaria exploratoria","B0/B0.5 reconstrucción antes de Runtime","No abre Runtime profundo")))</x:f>
      </x:c>
      <x:c r="AO81" s="69" t="str">
        <x:f>IF(A81="","",IF(Z81="BLOQUEADA","No probe",IF(AH81&gt;=75,"Alta",IF(AH81&gt;=55,"Media",IF(Z81="REVISIÓN","Exploratoria","Baja")))))</x:f>
      </x:c>
      <x:c r="AP81" s="69" t="str">
        <x:f>IF(A81="","",IF(M81="","unknown",IF(M81&gt;=2,"Prometedora","Débil / validar en B0.5-B1")))</x:f>
      </x:c>
      <x:c r="AQ81" s="69" t="str">
        <x:f>IF(A81="","",IF(N81="","unknown",IF(N81&gt;=2,"Prometedora","Débil / validar en B2")))</x:f>
      </x:c>
      <x:c r="AR81" s="69" t="str">
        <x:f>IF(A81="","",IF(O81="","unknown",IF(O81&gt;=2,"Prometedora","Débil / validar en B3-B4")))</x:f>
      </x:c>
      <x:c r="AS81" s="69" t="str">
        <x:f>IF(A81="","",IF(P81="","unknown",IF(P81&gt;=2,"Prometedora","Débil / validar en B2-B4")))</x:f>
      </x:c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 t="str">
        <x:f>IF(A82="","",COUNTBLANK(M82:P82))</x:f>
      </x:c>
      <x:c r="Z82" s="69" t="str">
        <x:f>IF(A82="","",IF(OR(E82="",G82="No",H82="No",I82="Responsabilidad genérica",I82="Demasiado amplia",I82="Microtarea",J82="Duplicado evidente"),"BLOQUEADA",IF(OR(I82="Ambigua",L82&lt;1,K82&lt;1),"REVISIÓN","ELEGIBLE")))</x:f>
      </x:c>
      <x:c r="AA82" s="69" t="str">
        <x:f>IF(A82="","",IF(Z82="BLOQUEADA",0,ROUND(100*(IF(M82="",1.5,M82)+IF(N82="",1.5,N82)+IF(O82="",1.5,O82)+IF(P82="",1.5,P82))/12,1)))</x:f>
      </x:c>
      <x:c r="AB82" s="69" t="str">
        <x:f>IF(A82="","",IF(Z82="BLOQUEADA",0,ROUND(100*IF(Q82="",1.5,Q82)/3,1)))</x:f>
      </x:c>
      <x:c r="AC82" s="69" t="str">
        <x:f>IF(A82="","",IF(Z82="BLOQUEADA",0,ROUND(100*IF(R82="",1.5,R82)/3,1)))</x:f>
      </x:c>
      <x:c r="AD82" s="69" t="str">
        <x:f>IF(A82="","",IF(Z82="BLOQUEADA",0,ROUND(100*IF(S82="",1.5,S82)/3,1)))</x:f>
      </x:c>
      <x:c r="AE82" s="69" t="str">
        <x:f>IF(A82="","",IF(Z82="BLOQUEADA",0,ROUND(100*IF(T82="",1.5,T82)/3,1)))</x:f>
      </x:c>
      <x:c r="AF82" s="69" t="str">
        <x:f>IF(A82="","",IF(Z82="BLOQUEADA",0,ROUND(100*IF(U82="",1.5,U82)/3,1)))</x:f>
      </x:c>
      <x:c r="AG82" s="69" t="str">
        <x:f>IF(A82="","",ROUND(IF(Z82="BLOQUEADA",100,(X82*10)+(V82*8)+(W82*8)),1))</x:f>
      </x:c>
      <x:c r="AH82" s="69" t="str">
        <x:f>IF(A82="","",IF(Z82="BLOQUEADA",0,MAX(0,ROUND(0.30*AA82+0.20*AB82+0.15*AC82+0.15*AD82+0.10*AE82+0.10*AF82-AG82,1))))</x:f>
      </x:c>
      <x:c r="AI82" s="69" t="str">
        <x:f>IF(A82="","",IF(Z82="ELEGIBLE",RANK.EQ(AH82,$AH$2:$AH$201,0),""))</x:f>
      </x:c>
      <x:c r="AJ82" s="69" t="str">
        <x:f>IF(A82="","",IF(Z82="BLOQUEADA","No aplica",IF(Z82="REVISIÓN","Slot 8 posible: exploratorio",IF(AI82&lt;=5,"Slot 1-5: alto potencial",IF(R82&gt;=2.5,"Slot 6: handoff/dependencia",IF(S82&gt;=2.5,"Slot 7: transformación/objeto",IF(AND(K82&gt;=1,U82&gt;=2),"Slot 8 posible: exploratorio","Backlog/contexto")))))))</x:f>
      </x:c>
      <x:c r="AK82" s="69" t="str">
        <x:f>IF(A82="","",IF(Z82="BLOQUEADA","No seleccionable",IF(Z82="REVISIÓN","Revisión para slot exploratorio",IF(AI82&lt;=8,"Primaria propuesta","Contexto no primario"))))</x:f>
      </x:c>
      <x:c r="AL82" s="69" t="str">
        <x:f>IF(A82="","",IF(OR(Z82="REVISIÓN",Y82&gt;=3,V82&gt;=2),"Sí","No"))</x:f>
      </x:c>
      <x:c r="AM82" s="69" t="str">
        <x:f>IF(A82="","",IF(AK82="Primaria propuesta","Primaria propuesta",IF(AK82="Revisión para slot exploratorio","Revisión / posible primaria exploratoria",IF(AK82="No seleccionable","No seleccionable","Contexto no primario"))))</x:f>
      </x:c>
      <x:c r="AN82" s="69" t="str">
        <x:f>IF(A82="","",IF(AM82="Primaria propuesta",IF(AH82&gt;=75,"40+20 probable",IF(AH82&gt;=55,"40 base + causales selectivas","40 base + probes mínimos")),IF(AM82="Revisión / posible primaria exploratoria","B0/B0.5 reconstrucción antes de Runtime","No abre Runtime profundo")))</x:f>
      </x:c>
      <x:c r="AO82" s="69" t="str">
        <x:f>IF(A82="","",IF(Z82="BLOQUEADA","No probe",IF(AH82&gt;=75,"Alta",IF(AH82&gt;=55,"Media",IF(Z82="REVISIÓN","Exploratoria","Baja")))))</x:f>
      </x:c>
      <x:c r="AP82" s="69" t="str">
        <x:f>IF(A82="","",IF(M82="","unknown",IF(M82&gt;=2,"Prometedora","Débil / validar en B0.5-B1")))</x:f>
      </x:c>
      <x:c r="AQ82" s="69" t="str">
        <x:f>IF(A82="","",IF(N82="","unknown",IF(N82&gt;=2,"Prometedora","Débil / validar en B2")))</x:f>
      </x:c>
      <x:c r="AR82" s="69" t="str">
        <x:f>IF(A82="","",IF(O82="","unknown",IF(O82&gt;=2,"Prometedora","Débil / validar en B3-B4")))</x:f>
      </x:c>
      <x:c r="AS82" s="69" t="str">
        <x:f>IF(A82="","",IF(P82="","unknown",IF(P82&gt;=2,"Prometedora","Débil / validar en B2-B4")))</x:f>
      </x:c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 t="str">
        <x:f>IF(A83="","",COUNTBLANK(M83:P83))</x:f>
      </x:c>
      <x:c r="Z83" s="69" t="str">
        <x:f>IF(A83="","",IF(OR(E83="",G83="No",H83="No",I83="Responsabilidad genérica",I83="Demasiado amplia",I83="Microtarea",J83="Duplicado evidente"),"BLOQUEADA",IF(OR(I83="Ambigua",L83&lt;1,K83&lt;1),"REVISIÓN","ELEGIBLE")))</x:f>
      </x:c>
      <x:c r="AA83" s="69" t="str">
        <x:f>IF(A83="","",IF(Z83="BLOQUEADA",0,ROUND(100*(IF(M83="",1.5,M83)+IF(N83="",1.5,N83)+IF(O83="",1.5,O83)+IF(P83="",1.5,P83))/12,1)))</x:f>
      </x:c>
      <x:c r="AB83" s="69" t="str">
        <x:f>IF(A83="","",IF(Z83="BLOQUEADA",0,ROUND(100*IF(Q83="",1.5,Q83)/3,1)))</x:f>
      </x:c>
      <x:c r="AC83" s="69" t="str">
        <x:f>IF(A83="","",IF(Z83="BLOQUEADA",0,ROUND(100*IF(R83="",1.5,R83)/3,1)))</x:f>
      </x:c>
      <x:c r="AD83" s="69" t="str">
        <x:f>IF(A83="","",IF(Z83="BLOQUEADA",0,ROUND(100*IF(S83="",1.5,S83)/3,1)))</x:f>
      </x:c>
      <x:c r="AE83" s="69" t="str">
        <x:f>IF(A83="","",IF(Z83="BLOQUEADA",0,ROUND(100*IF(T83="",1.5,T83)/3,1)))</x:f>
      </x:c>
      <x:c r="AF83" s="69" t="str">
        <x:f>IF(A83="","",IF(Z83="BLOQUEADA",0,ROUND(100*IF(U83="",1.5,U83)/3,1)))</x:f>
      </x:c>
      <x:c r="AG83" s="69" t="str">
        <x:f>IF(A83="","",ROUND(IF(Z83="BLOQUEADA",100,(X83*10)+(V83*8)+(W83*8)),1))</x:f>
      </x:c>
      <x:c r="AH83" s="69" t="str">
        <x:f>IF(A83="","",IF(Z83="BLOQUEADA",0,MAX(0,ROUND(0.30*AA83+0.20*AB83+0.15*AC83+0.15*AD83+0.10*AE83+0.10*AF83-AG83,1))))</x:f>
      </x:c>
      <x:c r="AI83" s="69" t="str">
        <x:f>IF(A83="","",IF(Z83="ELEGIBLE",RANK.EQ(AH83,$AH$2:$AH$201,0),""))</x:f>
      </x:c>
      <x:c r="AJ83" s="69" t="str">
        <x:f>IF(A83="","",IF(Z83="BLOQUEADA","No aplica",IF(Z83="REVISIÓN","Slot 8 posible: exploratorio",IF(AI83&lt;=5,"Slot 1-5: alto potencial",IF(R83&gt;=2.5,"Slot 6: handoff/dependencia",IF(S83&gt;=2.5,"Slot 7: transformación/objeto",IF(AND(K83&gt;=1,U83&gt;=2),"Slot 8 posible: exploratorio","Backlog/contexto")))))))</x:f>
      </x:c>
      <x:c r="AK83" s="69" t="str">
        <x:f>IF(A83="","",IF(Z83="BLOQUEADA","No seleccionable",IF(Z83="REVISIÓN","Revisión para slot exploratorio",IF(AI83&lt;=8,"Primaria propuesta","Contexto no primario"))))</x:f>
      </x:c>
      <x:c r="AL83" s="69" t="str">
        <x:f>IF(A83="","",IF(OR(Z83="REVISIÓN",Y83&gt;=3,V83&gt;=2),"Sí","No"))</x:f>
      </x:c>
      <x:c r="AM83" s="69" t="str">
        <x:f>IF(A83="","",IF(AK83="Primaria propuesta","Primaria propuesta",IF(AK83="Revisión para slot exploratorio","Revisión / posible primaria exploratoria",IF(AK83="No seleccionable","No seleccionable","Contexto no primario"))))</x:f>
      </x:c>
      <x:c r="AN83" s="69" t="str">
        <x:f>IF(A83="","",IF(AM83="Primaria propuesta",IF(AH83&gt;=75,"40+20 probable",IF(AH83&gt;=55,"40 base + causales selectivas","40 base + probes mínimos")),IF(AM83="Revisión / posible primaria exploratoria","B0/B0.5 reconstrucción antes de Runtime","No abre Runtime profundo")))</x:f>
      </x:c>
      <x:c r="AO83" s="69" t="str">
        <x:f>IF(A83="","",IF(Z83="BLOQUEADA","No probe",IF(AH83&gt;=75,"Alta",IF(AH83&gt;=55,"Media",IF(Z83="REVISIÓN","Exploratoria","Baja")))))</x:f>
      </x:c>
      <x:c r="AP83" s="69" t="str">
        <x:f>IF(A83="","",IF(M83="","unknown",IF(M83&gt;=2,"Prometedora","Débil / validar en B0.5-B1")))</x:f>
      </x:c>
      <x:c r="AQ83" s="69" t="str">
        <x:f>IF(A83="","",IF(N83="","unknown",IF(N83&gt;=2,"Prometedora","Débil / validar en B2")))</x:f>
      </x:c>
      <x:c r="AR83" s="69" t="str">
        <x:f>IF(A83="","",IF(O83="","unknown",IF(O83&gt;=2,"Prometedora","Débil / validar en B3-B4")))</x:f>
      </x:c>
      <x:c r="AS83" s="69" t="str">
        <x:f>IF(A83="","",IF(P83="","unknown",IF(P83&gt;=2,"Prometedora","Débil / validar en B2-B4")))</x:f>
      </x:c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 t="str">
        <x:f>IF(A84="","",COUNTBLANK(M84:P84))</x:f>
      </x:c>
      <x:c r="Z84" s="69" t="str">
        <x:f>IF(A84="","",IF(OR(E84="",G84="No",H84="No",I84="Responsabilidad genérica",I84="Demasiado amplia",I84="Microtarea",J84="Duplicado evidente"),"BLOQUEADA",IF(OR(I84="Ambigua",L84&lt;1,K84&lt;1),"REVISIÓN","ELEGIBLE")))</x:f>
      </x:c>
      <x:c r="AA84" s="69" t="str">
        <x:f>IF(A84="","",IF(Z84="BLOQUEADA",0,ROUND(100*(IF(M84="",1.5,M84)+IF(N84="",1.5,N84)+IF(O84="",1.5,O84)+IF(P84="",1.5,P84))/12,1)))</x:f>
      </x:c>
      <x:c r="AB84" s="69" t="str">
        <x:f>IF(A84="","",IF(Z84="BLOQUEADA",0,ROUND(100*IF(Q84="",1.5,Q84)/3,1)))</x:f>
      </x:c>
      <x:c r="AC84" s="69" t="str">
        <x:f>IF(A84="","",IF(Z84="BLOQUEADA",0,ROUND(100*IF(R84="",1.5,R84)/3,1)))</x:f>
      </x:c>
      <x:c r="AD84" s="69" t="str">
        <x:f>IF(A84="","",IF(Z84="BLOQUEADA",0,ROUND(100*IF(S84="",1.5,S84)/3,1)))</x:f>
      </x:c>
      <x:c r="AE84" s="69" t="str">
        <x:f>IF(A84="","",IF(Z84="BLOQUEADA",0,ROUND(100*IF(T84="",1.5,T84)/3,1)))</x:f>
      </x:c>
      <x:c r="AF84" s="69" t="str">
        <x:f>IF(A84="","",IF(Z84="BLOQUEADA",0,ROUND(100*IF(U84="",1.5,U84)/3,1)))</x:f>
      </x:c>
      <x:c r="AG84" s="69" t="str">
        <x:f>IF(A84="","",ROUND(IF(Z84="BLOQUEADA",100,(X84*10)+(V84*8)+(W84*8)),1))</x:f>
      </x:c>
      <x:c r="AH84" s="69" t="str">
        <x:f>IF(A84="","",IF(Z84="BLOQUEADA",0,MAX(0,ROUND(0.30*AA84+0.20*AB84+0.15*AC84+0.15*AD84+0.10*AE84+0.10*AF84-AG84,1))))</x:f>
      </x:c>
      <x:c r="AI84" s="69" t="str">
        <x:f>IF(A84="","",IF(Z84="ELEGIBLE",RANK.EQ(AH84,$AH$2:$AH$201,0),""))</x:f>
      </x:c>
      <x:c r="AJ84" s="69" t="str">
        <x:f>IF(A84="","",IF(Z84="BLOQUEADA","No aplica",IF(Z84="REVISIÓN","Slot 8 posible: exploratorio",IF(AI84&lt;=5,"Slot 1-5: alto potencial",IF(R84&gt;=2.5,"Slot 6: handoff/dependencia",IF(S84&gt;=2.5,"Slot 7: transformación/objeto",IF(AND(K84&gt;=1,U84&gt;=2),"Slot 8 posible: exploratorio","Backlog/contexto")))))))</x:f>
      </x:c>
      <x:c r="AK84" s="69" t="str">
        <x:f>IF(A84="","",IF(Z84="BLOQUEADA","No seleccionable",IF(Z84="REVISIÓN","Revisión para slot exploratorio",IF(AI84&lt;=8,"Primaria propuesta","Contexto no primario"))))</x:f>
      </x:c>
      <x:c r="AL84" s="69" t="str">
        <x:f>IF(A84="","",IF(OR(Z84="REVISIÓN",Y84&gt;=3,V84&gt;=2),"Sí","No"))</x:f>
      </x:c>
      <x:c r="AM84" s="69" t="str">
        <x:f>IF(A84="","",IF(AK84="Primaria propuesta","Primaria propuesta",IF(AK84="Revisión para slot exploratorio","Revisión / posible primaria exploratoria",IF(AK84="No seleccionable","No seleccionable","Contexto no primario"))))</x:f>
      </x:c>
      <x:c r="AN84" s="69" t="str">
        <x:f>IF(A84="","",IF(AM84="Primaria propuesta",IF(AH84&gt;=75,"40+20 probable",IF(AH84&gt;=55,"40 base + causales selectivas","40 base + probes mínimos")),IF(AM84="Revisión / posible primaria exploratoria","B0/B0.5 reconstrucción antes de Runtime","No abre Runtime profundo")))</x:f>
      </x:c>
      <x:c r="AO84" s="69" t="str">
        <x:f>IF(A84="","",IF(Z84="BLOQUEADA","No probe",IF(AH84&gt;=75,"Alta",IF(AH84&gt;=55,"Media",IF(Z84="REVISIÓN","Exploratoria","Baja")))))</x:f>
      </x:c>
      <x:c r="AP84" s="69" t="str">
        <x:f>IF(A84="","",IF(M84="","unknown",IF(M84&gt;=2,"Prometedora","Débil / validar en B0.5-B1")))</x:f>
      </x:c>
      <x:c r="AQ84" s="69" t="str">
        <x:f>IF(A84="","",IF(N84="","unknown",IF(N84&gt;=2,"Prometedora","Débil / validar en B2")))</x:f>
      </x:c>
      <x:c r="AR84" s="69" t="str">
        <x:f>IF(A84="","",IF(O84="","unknown",IF(O84&gt;=2,"Prometedora","Débil / validar en B3-B4")))</x:f>
      </x:c>
      <x:c r="AS84" s="69" t="str">
        <x:f>IF(A84="","",IF(P84="","unknown",IF(P84&gt;=2,"Prometedora","Débil / validar en B2-B4")))</x:f>
      </x:c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 t="str">
        <x:f>IF(A85="","",COUNTBLANK(M85:P85))</x:f>
      </x:c>
      <x:c r="Z85" s="69" t="str">
        <x:f>IF(A85="","",IF(OR(E85="",G85="No",H85="No",I85="Responsabilidad genérica",I85="Demasiado amplia",I85="Microtarea",J85="Duplicado evidente"),"BLOQUEADA",IF(OR(I85="Ambigua",L85&lt;1,K85&lt;1),"REVISIÓN","ELEGIBLE")))</x:f>
      </x:c>
      <x:c r="AA85" s="69" t="str">
        <x:f>IF(A85="","",IF(Z85="BLOQUEADA",0,ROUND(100*(IF(M85="",1.5,M85)+IF(N85="",1.5,N85)+IF(O85="",1.5,O85)+IF(P85="",1.5,P85))/12,1)))</x:f>
      </x:c>
      <x:c r="AB85" s="69" t="str">
        <x:f>IF(A85="","",IF(Z85="BLOQUEADA",0,ROUND(100*IF(Q85="",1.5,Q85)/3,1)))</x:f>
      </x:c>
      <x:c r="AC85" s="69" t="str">
        <x:f>IF(A85="","",IF(Z85="BLOQUEADA",0,ROUND(100*IF(R85="",1.5,R85)/3,1)))</x:f>
      </x:c>
      <x:c r="AD85" s="69" t="str">
        <x:f>IF(A85="","",IF(Z85="BLOQUEADA",0,ROUND(100*IF(S85="",1.5,S85)/3,1)))</x:f>
      </x:c>
      <x:c r="AE85" s="69" t="str">
        <x:f>IF(A85="","",IF(Z85="BLOQUEADA",0,ROUND(100*IF(T85="",1.5,T85)/3,1)))</x:f>
      </x:c>
      <x:c r="AF85" s="69" t="str">
        <x:f>IF(A85="","",IF(Z85="BLOQUEADA",0,ROUND(100*IF(U85="",1.5,U85)/3,1)))</x:f>
      </x:c>
      <x:c r="AG85" s="69" t="str">
        <x:f>IF(A85="","",ROUND(IF(Z85="BLOQUEADA",100,(X85*10)+(V85*8)+(W85*8)),1))</x:f>
      </x:c>
      <x:c r="AH85" s="69" t="str">
        <x:f>IF(A85="","",IF(Z85="BLOQUEADA",0,MAX(0,ROUND(0.30*AA85+0.20*AB85+0.15*AC85+0.15*AD85+0.10*AE85+0.10*AF85-AG85,1))))</x:f>
      </x:c>
      <x:c r="AI85" s="69" t="str">
        <x:f>IF(A85="","",IF(Z85="ELEGIBLE",RANK.EQ(AH85,$AH$2:$AH$201,0),""))</x:f>
      </x:c>
      <x:c r="AJ85" s="69" t="str">
        <x:f>IF(A85="","",IF(Z85="BLOQUEADA","No aplica",IF(Z85="REVISIÓN","Slot 8 posible: exploratorio",IF(AI85&lt;=5,"Slot 1-5: alto potencial",IF(R85&gt;=2.5,"Slot 6: handoff/dependencia",IF(S85&gt;=2.5,"Slot 7: transformación/objeto",IF(AND(K85&gt;=1,U85&gt;=2),"Slot 8 posible: exploratorio","Backlog/contexto")))))))</x:f>
      </x:c>
      <x:c r="AK85" s="69" t="str">
        <x:f>IF(A85="","",IF(Z85="BLOQUEADA","No seleccionable",IF(Z85="REVISIÓN","Revisión para slot exploratorio",IF(AI85&lt;=8,"Primaria propuesta","Contexto no primario"))))</x:f>
      </x:c>
      <x:c r="AL85" s="69" t="str">
        <x:f>IF(A85="","",IF(OR(Z85="REVISIÓN",Y85&gt;=3,V85&gt;=2),"Sí","No"))</x:f>
      </x:c>
      <x:c r="AM85" s="69" t="str">
        <x:f>IF(A85="","",IF(AK85="Primaria propuesta","Primaria propuesta",IF(AK85="Revisión para slot exploratorio","Revisión / posible primaria exploratoria",IF(AK85="No seleccionable","No seleccionable","Contexto no primario"))))</x:f>
      </x:c>
      <x:c r="AN85" s="69" t="str">
        <x:f>IF(A85="","",IF(AM85="Primaria propuesta",IF(AH85&gt;=75,"40+20 probable",IF(AH85&gt;=55,"40 base + causales selectivas","40 base + probes mínimos")),IF(AM85="Revisión / posible primaria exploratoria","B0/B0.5 reconstrucción antes de Runtime","No abre Runtime profundo")))</x:f>
      </x:c>
      <x:c r="AO85" s="69" t="str">
        <x:f>IF(A85="","",IF(Z85="BLOQUEADA","No probe",IF(AH85&gt;=75,"Alta",IF(AH85&gt;=55,"Media",IF(Z85="REVISIÓN","Exploratoria","Baja")))))</x:f>
      </x:c>
      <x:c r="AP85" s="69" t="str">
        <x:f>IF(A85="","",IF(M85="","unknown",IF(M85&gt;=2,"Prometedora","Débil / validar en B0.5-B1")))</x:f>
      </x:c>
      <x:c r="AQ85" s="69" t="str">
        <x:f>IF(A85="","",IF(N85="","unknown",IF(N85&gt;=2,"Prometedora","Débil / validar en B2")))</x:f>
      </x:c>
      <x:c r="AR85" s="69" t="str">
        <x:f>IF(A85="","",IF(O85="","unknown",IF(O85&gt;=2,"Prometedora","Débil / validar en B3-B4")))</x:f>
      </x:c>
      <x:c r="AS85" s="69" t="str">
        <x:f>IF(A85="","",IF(P85="","unknown",IF(P85&gt;=2,"Prometedora","Débil / validar en B2-B4")))</x:f>
      </x:c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 t="str">
        <x:f>IF(A86="","",COUNTBLANK(M86:P86))</x:f>
      </x:c>
      <x:c r="Z86" s="69" t="str">
        <x:f>IF(A86="","",IF(OR(E86="",G86="No",H86="No",I86="Responsabilidad genérica",I86="Demasiado amplia",I86="Microtarea",J86="Duplicado evidente"),"BLOQUEADA",IF(OR(I86="Ambigua",L86&lt;1,K86&lt;1),"REVISIÓN","ELEGIBLE")))</x:f>
      </x:c>
      <x:c r="AA86" s="69" t="str">
        <x:f>IF(A86="","",IF(Z86="BLOQUEADA",0,ROUND(100*(IF(M86="",1.5,M86)+IF(N86="",1.5,N86)+IF(O86="",1.5,O86)+IF(P86="",1.5,P86))/12,1)))</x:f>
      </x:c>
      <x:c r="AB86" s="69" t="str">
        <x:f>IF(A86="","",IF(Z86="BLOQUEADA",0,ROUND(100*IF(Q86="",1.5,Q86)/3,1)))</x:f>
      </x:c>
      <x:c r="AC86" s="69" t="str">
        <x:f>IF(A86="","",IF(Z86="BLOQUEADA",0,ROUND(100*IF(R86="",1.5,R86)/3,1)))</x:f>
      </x:c>
      <x:c r="AD86" s="69" t="str">
        <x:f>IF(A86="","",IF(Z86="BLOQUEADA",0,ROUND(100*IF(S86="",1.5,S86)/3,1)))</x:f>
      </x:c>
      <x:c r="AE86" s="69" t="str">
        <x:f>IF(A86="","",IF(Z86="BLOQUEADA",0,ROUND(100*IF(T86="",1.5,T86)/3,1)))</x:f>
      </x:c>
      <x:c r="AF86" s="69" t="str">
        <x:f>IF(A86="","",IF(Z86="BLOQUEADA",0,ROUND(100*IF(U86="",1.5,U86)/3,1)))</x:f>
      </x:c>
      <x:c r="AG86" s="69" t="str">
        <x:f>IF(A86="","",ROUND(IF(Z86="BLOQUEADA",100,(X86*10)+(V86*8)+(W86*8)),1))</x:f>
      </x:c>
      <x:c r="AH86" s="69" t="str">
        <x:f>IF(A86="","",IF(Z86="BLOQUEADA",0,MAX(0,ROUND(0.30*AA86+0.20*AB86+0.15*AC86+0.15*AD86+0.10*AE86+0.10*AF86-AG86,1))))</x:f>
      </x:c>
      <x:c r="AI86" s="69" t="str">
        <x:f>IF(A86="","",IF(Z86="ELEGIBLE",RANK.EQ(AH86,$AH$2:$AH$201,0),""))</x:f>
      </x:c>
      <x:c r="AJ86" s="69" t="str">
        <x:f>IF(A86="","",IF(Z86="BLOQUEADA","No aplica",IF(Z86="REVISIÓN","Slot 8 posible: exploratorio",IF(AI86&lt;=5,"Slot 1-5: alto potencial",IF(R86&gt;=2.5,"Slot 6: handoff/dependencia",IF(S86&gt;=2.5,"Slot 7: transformación/objeto",IF(AND(K86&gt;=1,U86&gt;=2),"Slot 8 posible: exploratorio","Backlog/contexto")))))))</x:f>
      </x:c>
      <x:c r="AK86" s="69" t="str">
        <x:f>IF(A86="","",IF(Z86="BLOQUEADA","No seleccionable",IF(Z86="REVISIÓN","Revisión para slot exploratorio",IF(AI86&lt;=8,"Primaria propuesta","Contexto no primario"))))</x:f>
      </x:c>
      <x:c r="AL86" s="69" t="str">
        <x:f>IF(A86="","",IF(OR(Z86="REVISIÓN",Y86&gt;=3,V86&gt;=2),"Sí","No"))</x:f>
      </x:c>
      <x:c r="AM86" s="69" t="str">
        <x:f>IF(A86="","",IF(AK86="Primaria propuesta","Primaria propuesta",IF(AK86="Revisión para slot exploratorio","Revisión / posible primaria exploratoria",IF(AK86="No seleccionable","No seleccionable","Contexto no primario"))))</x:f>
      </x:c>
      <x:c r="AN86" s="69" t="str">
        <x:f>IF(A86="","",IF(AM86="Primaria propuesta",IF(AH86&gt;=75,"40+20 probable",IF(AH86&gt;=55,"40 base + causales selectivas","40 base + probes mínimos")),IF(AM86="Revisión / posible primaria exploratoria","B0/B0.5 reconstrucción antes de Runtime","No abre Runtime profundo")))</x:f>
      </x:c>
      <x:c r="AO86" s="69" t="str">
        <x:f>IF(A86="","",IF(Z86="BLOQUEADA","No probe",IF(AH86&gt;=75,"Alta",IF(AH86&gt;=55,"Media",IF(Z86="REVISIÓN","Exploratoria","Baja")))))</x:f>
      </x:c>
      <x:c r="AP86" s="69" t="str">
        <x:f>IF(A86="","",IF(M86="","unknown",IF(M86&gt;=2,"Prometedora","Débil / validar en B0.5-B1")))</x:f>
      </x:c>
      <x:c r="AQ86" s="69" t="str">
        <x:f>IF(A86="","",IF(N86="","unknown",IF(N86&gt;=2,"Prometedora","Débil / validar en B2")))</x:f>
      </x:c>
      <x:c r="AR86" s="69" t="str">
        <x:f>IF(A86="","",IF(O86="","unknown",IF(O86&gt;=2,"Prometedora","Débil / validar en B3-B4")))</x:f>
      </x:c>
      <x:c r="AS86" s="69" t="str">
        <x:f>IF(A86="","",IF(P86="","unknown",IF(P86&gt;=2,"Prometedora","Débil / validar en B2-B4")))</x:f>
      </x:c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 t="str">
        <x:f>IF(A87="","",COUNTBLANK(M87:P87))</x:f>
      </x:c>
      <x:c r="Z87" s="69" t="str">
        <x:f>IF(A87="","",IF(OR(E87="",G87="No",H87="No",I87="Responsabilidad genérica",I87="Demasiado amplia",I87="Microtarea",J87="Duplicado evidente"),"BLOQUEADA",IF(OR(I87="Ambigua",L87&lt;1,K87&lt;1),"REVISIÓN","ELEGIBLE")))</x:f>
      </x:c>
      <x:c r="AA87" s="69" t="str">
        <x:f>IF(A87="","",IF(Z87="BLOQUEADA",0,ROUND(100*(IF(M87="",1.5,M87)+IF(N87="",1.5,N87)+IF(O87="",1.5,O87)+IF(P87="",1.5,P87))/12,1)))</x:f>
      </x:c>
      <x:c r="AB87" s="69" t="str">
        <x:f>IF(A87="","",IF(Z87="BLOQUEADA",0,ROUND(100*IF(Q87="",1.5,Q87)/3,1)))</x:f>
      </x:c>
      <x:c r="AC87" s="69" t="str">
        <x:f>IF(A87="","",IF(Z87="BLOQUEADA",0,ROUND(100*IF(R87="",1.5,R87)/3,1)))</x:f>
      </x:c>
      <x:c r="AD87" s="69" t="str">
        <x:f>IF(A87="","",IF(Z87="BLOQUEADA",0,ROUND(100*IF(S87="",1.5,S87)/3,1)))</x:f>
      </x:c>
      <x:c r="AE87" s="69" t="str">
        <x:f>IF(A87="","",IF(Z87="BLOQUEADA",0,ROUND(100*IF(T87="",1.5,T87)/3,1)))</x:f>
      </x:c>
      <x:c r="AF87" s="69" t="str">
        <x:f>IF(A87="","",IF(Z87="BLOQUEADA",0,ROUND(100*IF(U87="",1.5,U87)/3,1)))</x:f>
      </x:c>
      <x:c r="AG87" s="69" t="str">
        <x:f>IF(A87="","",ROUND(IF(Z87="BLOQUEADA",100,(X87*10)+(V87*8)+(W87*8)),1))</x:f>
      </x:c>
      <x:c r="AH87" s="69" t="str">
        <x:f>IF(A87="","",IF(Z87="BLOQUEADA",0,MAX(0,ROUND(0.30*AA87+0.20*AB87+0.15*AC87+0.15*AD87+0.10*AE87+0.10*AF87-AG87,1))))</x:f>
      </x:c>
      <x:c r="AI87" s="69" t="str">
        <x:f>IF(A87="","",IF(Z87="ELEGIBLE",RANK.EQ(AH87,$AH$2:$AH$201,0),""))</x:f>
      </x:c>
      <x:c r="AJ87" s="69" t="str">
        <x:f>IF(A87="","",IF(Z87="BLOQUEADA","No aplica",IF(Z87="REVISIÓN","Slot 8 posible: exploratorio",IF(AI87&lt;=5,"Slot 1-5: alto potencial",IF(R87&gt;=2.5,"Slot 6: handoff/dependencia",IF(S87&gt;=2.5,"Slot 7: transformación/objeto",IF(AND(K87&gt;=1,U87&gt;=2),"Slot 8 posible: exploratorio","Backlog/contexto")))))))</x:f>
      </x:c>
      <x:c r="AK87" s="69" t="str">
        <x:f>IF(A87="","",IF(Z87="BLOQUEADA","No seleccionable",IF(Z87="REVISIÓN","Revisión para slot exploratorio",IF(AI87&lt;=8,"Primaria propuesta","Contexto no primario"))))</x:f>
      </x:c>
      <x:c r="AL87" s="69" t="str">
        <x:f>IF(A87="","",IF(OR(Z87="REVISIÓN",Y87&gt;=3,V87&gt;=2),"Sí","No"))</x:f>
      </x:c>
      <x:c r="AM87" s="69" t="str">
        <x:f>IF(A87="","",IF(AK87="Primaria propuesta","Primaria propuesta",IF(AK87="Revisión para slot exploratorio","Revisión / posible primaria exploratoria",IF(AK87="No seleccionable","No seleccionable","Contexto no primario"))))</x:f>
      </x:c>
      <x:c r="AN87" s="69" t="str">
        <x:f>IF(A87="","",IF(AM87="Primaria propuesta",IF(AH87&gt;=75,"40+20 probable",IF(AH87&gt;=55,"40 base + causales selectivas","40 base + probes mínimos")),IF(AM87="Revisión / posible primaria exploratoria","B0/B0.5 reconstrucción antes de Runtime","No abre Runtime profundo")))</x:f>
      </x:c>
      <x:c r="AO87" s="69" t="str">
        <x:f>IF(A87="","",IF(Z87="BLOQUEADA","No probe",IF(AH87&gt;=75,"Alta",IF(AH87&gt;=55,"Media",IF(Z87="REVISIÓN","Exploratoria","Baja")))))</x:f>
      </x:c>
      <x:c r="AP87" s="69" t="str">
        <x:f>IF(A87="","",IF(M87="","unknown",IF(M87&gt;=2,"Prometedora","Débil / validar en B0.5-B1")))</x:f>
      </x:c>
      <x:c r="AQ87" s="69" t="str">
        <x:f>IF(A87="","",IF(N87="","unknown",IF(N87&gt;=2,"Prometedora","Débil / validar en B2")))</x:f>
      </x:c>
      <x:c r="AR87" s="69" t="str">
        <x:f>IF(A87="","",IF(O87="","unknown",IF(O87&gt;=2,"Prometedora","Débil / validar en B3-B4")))</x:f>
      </x:c>
      <x:c r="AS87" s="69" t="str">
        <x:f>IF(A87="","",IF(P87="","unknown",IF(P87&gt;=2,"Prometedora","Débil / validar en B2-B4")))</x:f>
      </x:c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 t="str">
        <x:f>IF(A88="","",COUNTBLANK(M88:P88))</x:f>
      </x:c>
      <x:c r="Z88" s="69" t="str">
        <x:f>IF(A88="","",IF(OR(E88="",G88="No",H88="No",I88="Responsabilidad genérica",I88="Demasiado amplia",I88="Microtarea",J88="Duplicado evidente"),"BLOQUEADA",IF(OR(I88="Ambigua",L88&lt;1,K88&lt;1),"REVISIÓN","ELEGIBLE")))</x:f>
      </x:c>
      <x:c r="AA88" s="69" t="str">
        <x:f>IF(A88="","",IF(Z88="BLOQUEADA",0,ROUND(100*(IF(M88="",1.5,M88)+IF(N88="",1.5,N88)+IF(O88="",1.5,O88)+IF(P88="",1.5,P88))/12,1)))</x:f>
      </x:c>
      <x:c r="AB88" s="69" t="str">
        <x:f>IF(A88="","",IF(Z88="BLOQUEADA",0,ROUND(100*IF(Q88="",1.5,Q88)/3,1)))</x:f>
      </x:c>
      <x:c r="AC88" s="69" t="str">
        <x:f>IF(A88="","",IF(Z88="BLOQUEADA",0,ROUND(100*IF(R88="",1.5,R88)/3,1)))</x:f>
      </x:c>
      <x:c r="AD88" s="69" t="str">
        <x:f>IF(A88="","",IF(Z88="BLOQUEADA",0,ROUND(100*IF(S88="",1.5,S88)/3,1)))</x:f>
      </x:c>
      <x:c r="AE88" s="69" t="str">
        <x:f>IF(A88="","",IF(Z88="BLOQUEADA",0,ROUND(100*IF(T88="",1.5,T88)/3,1)))</x:f>
      </x:c>
      <x:c r="AF88" s="69" t="str">
        <x:f>IF(A88="","",IF(Z88="BLOQUEADA",0,ROUND(100*IF(U88="",1.5,U88)/3,1)))</x:f>
      </x:c>
      <x:c r="AG88" s="69" t="str">
        <x:f>IF(A88="","",ROUND(IF(Z88="BLOQUEADA",100,(X88*10)+(V88*8)+(W88*8)),1))</x:f>
      </x:c>
      <x:c r="AH88" s="69" t="str">
        <x:f>IF(A88="","",IF(Z88="BLOQUEADA",0,MAX(0,ROUND(0.30*AA88+0.20*AB88+0.15*AC88+0.15*AD88+0.10*AE88+0.10*AF88-AG88,1))))</x:f>
      </x:c>
      <x:c r="AI88" s="69" t="str">
        <x:f>IF(A88="","",IF(Z88="ELEGIBLE",RANK.EQ(AH88,$AH$2:$AH$201,0),""))</x:f>
      </x:c>
      <x:c r="AJ88" s="69" t="str">
        <x:f>IF(A88="","",IF(Z88="BLOQUEADA","No aplica",IF(Z88="REVISIÓN","Slot 8 posible: exploratorio",IF(AI88&lt;=5,"Slot 1-5: alto potencial",IF(R88&gt;=2.5,"Slot 6: handoff/dependencia",IF(S88&gt;=2.5,"Slot 7: transformación/objeto",IF(AND(K88&gt;=1,U88&gt;=2),"Slot 8 posible: exploratorio","Backlog/contexto")))))))</x:f>
      </x:c>
      <x:c r="AK88" s="69" t="str">
        <x:f>IF(A88="","",IF(Z88="BLOQUEADA","No seleccionable",IF(Z88="REVISIÓN","Revisión para slot exploratorio",IF(AI88&lt;=8,"Primaria propuesta","Contexto no primario"))))</x:f>
      </x:c>
      <x:c r="AL88" s="69" t="str">
        <x:f>IF(A88="","",IF(OR(Z88="REVISIÓN",Y88&gt;=3,V88&gt;=2),"Sí","No"))</x:f>
      </x:c>
      <x:c r="AM88" s="69" t="str">
        <x:f>IF(A88="","",IF(AK88="Primaria propuesta","Primaria propuesta",IF(AK88="Revisión para slot exploratorio","Revisión / posible primaria exploratoria",IF(AK88="No seleccionable","No seleccionable","Contexto no primario"))))</x:f>
      </x:c>
      <x:c r="AN88" s="69" t="str">
        <x:f>IF(A88="","",IF(AM88="Primaria propuesta",IF(AH88&gt;=75,"40+20 probable",IF(AH88&gt;=55,"40 base + causales selectivas","40 base + probes mínimos")),IF(AM88="Revisión / posible primaria exploratoria","B0/B0.5 reconstrucción antes de Runtime","No abre Runtime profundo")))</x:f>
      </x:c>
      <x:c r="AO88" s="69" t="str">
        <x:f>IF(A88="","",IF(Z88="BLOQUEADA","No probe",IF(AH88&gt;=75,"Alta",IF(AH88&gt;=55,"Media",IF(Z88="REVISIÓN","Exploratoria","Baja")))))</x:f>
      </x:c>
      <x:c r="AP88" s="69" t="str">
        <x:f>IF(A88="","",IF(M88="","unknown",IF(M88&gt;=2,"Prometedora","Débil / validar en B0.5-B1")))</x:f>
      </x:c>
      <x:c r="AQ88" s="69" t="str">
        <x:f>IF(A88="","",IF(N88="","unknown",IF(N88&gt;=2,"Prometedora","Débil / validar en B2")))</x:f>
      </x:c>
      <x:c r="AR88" s="69" t="str">
        <x:f>IF(A88="","",IF(O88="","unknown",IF(O88&gt;=2,"Prometedora","Débil / validar en B3-B4")))</x:f>
      </x:c>
      <x:c r="AS88" s="69" t="str">
        <x:f>IF(A88="","",IF(P88="","unknown",IF(P88&gt;=2,"Prometedora","Débil / validar en B2-B4")))</x:f>
      </x:c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 t="str">
        <x:f>IF(A89="","",COUNTBLANK(M89:P89))</x:f>
      </x:c>
      <x:c r="Z89" s="69" t="str">
        <x:f>IF(A89="","",IF(OR(E89="",G89="No",H89="No",I89="Responsabilidad genérica",I89="Demasiado amplia",I89="Microtarea",J89="Duplicado evidente"),"BLOQUEADA",IF(OR(I89="Ambigua",L89&lt;1,K89&lt;1),"REVISIÓN","ELEGIBLE")))</x:f>
      </x:c>
      <x:c r="AA89" s="69" t="str">
        <x:f>IF(A89="","",IF(Z89="BLOQUEADA",0,ROUND(100*(IF(M89="",1.5,M89)+IF(N89="",1.5,N89)+IF(O89="",1.5,O89)+IF(P89="",1.5,P89))/12,1)))</x:f>
      </x:c>
      <x:c r="AB89" s="69" t="str">
        <x:f>IF(A89="","",IF(Z89="BLOQUEADA",0,ROUND(100*IF(Q89="",1.5,Q89)/3,1)))</x:f>
      </x:c>
      <x:c r="AC89" s="69" t="str">
        <x:f>IF(A89="","",IF(Z89="BLOQUEADA",0,ROUND(100*IF(R89="",1.5,R89)/3,1)))</x:f>
      </x:c>
      <x:c r="AD89" s="69" t="str">
        <x:f>IF(A89="","",IF(Z89="BLOQUEADA",0,ROUND(100*IF(S89="",1.5,S89)/3,1)))</x:f>
      </x:c>
      <x:c r="AE89" s="69" t="str">
        <x:f>IF(A89="","",IF(Z89="BLOQUEADA",0,ROUND(100*IF(T89="",1.5,T89)/3,1)))</x:f>
      </x:c>
      <x:c r="AF89" s="69" t="str">
        <x:f>IF(A89="","",IF(Z89="BLOQUEADA",0,ROUND(100*IF(U89="",1.5,U89)/3,1)))</x:f>
      </x:c>
      <x:c r="AG89" s="69" t="str">
        <x:f>IF(A89="","",ROUND(IF(Z89="BLOQUEADA",100,(X89*10)+(V89*8)+(W89*8)),1))</x:f>
      </x:c>
      <x:c r="AH89" s="69" t="str">
        <x:f>IF(A89="","",IF(Z89="BLOQUEADA",0,MAX(0,ROUND(0.30*AA89+0.20*AB89+0.15*AC89+0.15*AD89+0.10*AE89+0.10*AF89-AG89,1))))</x:f>
      </x:c>
      <x:c r="AI89" s="69" t="str">
        <x:f>IF(A89="","",IF(Z89="ELEGIBLE",RANK.EQ(AH89,$AH$2:$AH$201,0),""))</x:f>
      </x:c>
      <x:c r="AJ89" s="69" t="str">
        <x:f>IF(A89="","",IF(Z89="BLOQUEADA","No aplica",IF(Z89="REVISIÓN","Slot 8 posible: exploratorio",IF(AI89&lt;=5,"Slot 1-5: alto potencial",IF(R89&gt;=2.5,"Slot 6: handoff/dependencia",IF(S89&gt;=2.5,"Slot 7: transformación/objeto",IF(AND(K89&gt;=1,U89&gt;=2),"Slot 8 posible: exploratorio","Backlog/contexto")))))))</x:f>
      </x:c>
      <x:c r="AK89" s="69" t="str">
        <x:f>IF(A89="","",IF(Z89="BLOQUEADA","No seleccionable",IF(Z89="REVISIÓN","Revisión para slot exploratorio",IF(AI89&lt;=8,"Primaria propuesta","Contexto no primario"))))</x:f>
      </x:c>
      <x:c r="AL89" s="69" t="str">
        <x:f>IF(A89="","",IF(OR(Z89="REVISIÓN",Y89&gt;=3,V89&gt;=2),"Sí","No"))</x:f>
      </x:c>
      <x:c r="AM89" s="69" t="str">
        <x:f>IF(A89="","",IF(AK89="Primaria propuesta","Primaria propuesta",IF(AK89="Revisión para slot exploratorio","Revisión / posible primaria exploratoria",IF(AK89="No seleccionable","No seleccionable","Contexto no primario"))))</x:f>
      </x:c>
      <x:c r="AN89" s="69" t="str">
        <x:f>IF(A89="","",IF(AM89="Primaria propuesta",IF(AH89&gt;=75,"40+20 probable",IF(AH89&gt;=55,"40 base + causales selectivas","40 base + probes mínimos")),IF(AM89="Revisión / posible primaria exploratoria","B0/B0.5 reconstrucción antes de Runtime","No abre Runtime profundo")))</x:f>
      </x:c>
      <x:c r="AO89" s="69" t="str">
        <x:f>IF(A89="","",IF(Z89="BLOQUEADA","No probe",IF(AH89&gt;=75,"Alta",IF(AH89&gt;=55,"Media",IF(Z89="REVISIÓN","Exploratoria","Baja")))))</x:f>
      </x:c>
      <x:c r="AP89" s="69" t="str">
        <x:f>IF(A89="","",IF(M89="","unknown",IF(M89&gt;=2,"Prometedora","Débil / validar en B0.5-B1")))</x:f>
      </x:c>
      <x:c r="AQ89" s="69" t="str">
        <x:f>IF(A89="","",IF(N89="","unknown",IF(N89&gt;=2,"Prometedora","Débil / validar en B2")))</x:f>
      </x:c>
      <x:c r="AR89" s="69" t="str">
        <x:f>IF(A89="","",IF(O89="","unknown",IF(O89&gt;=2,"Prometedora","Débil / validar en B3-B4")))</x:f>
      </x:c>
      <x:c r="AS89" s="69" t="str">
        <x:f>IF(A89="","",IF(P89="","unknown",IF(P89&gt;=2,"Prometedora","Débil / validar en B2-B4")))</x:f>
      </x:c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 t="str">
        <x:f>IF(A90="","",COUNTBLANK(M90:P90))</x:f>
      </x:c>
      <x:c r="Z90" s="69" t="str">
        <x:f>IF(A90="","",IF(OR(E90="",G90="No",H90="No",I90="Responsabilidad genérica",I90="Demasiado amplia",I90="Microtarea",J90="Duplicado evidente"),"BLOQUEADA",IF(OR(I90="Ambigua",L90&lt;1,K90&lt;1),"REVISIÓN","ELEGIBLE")))</x:f>
      </x:c>
      <x:c r="AA90" s="69" t="str">
        <x:f>IF(A90="","",IF(Z90="BLOQUEADA",0,ROUND(100*(IF(M90="",1.5,M90)+IF(N90="",1.5,N90)+IF(O90="",1.5,O90)+IF(P90="",1.5,P90))/12,1)))</x:f>
      </x:c>
      <x:c r="AB90" s="69" t="str">
        <x:f>IF(A90="","",IF(Z90="BLOQUEADA",0,ROUND(100*IF(Q90="",1.5,Q90)/3,1)))</x:f>
      </x:c>
      <x:c r="AC90" s="69" t="str">
        <x:f>IF(A90="","",IF(Z90="BLOQUEADA",0,ROUND(100*IF(R90="",1.5,R90)/3,1)))</x:f>
      </x:c>
      <x:c r="AD90" s="69" t="str">
        <x:f>IF(A90="","",IF(Z90="BLOQUEADA",0,ROUND(100*IF(S90="",1.5,S90)/3,1)))</x:f>
      </x:c>
      <x:c r="AE90" s="69" t="str">
        <x:f>IF(A90="","",IF(Z90="BLOQUEADA",0,ROUND(100*IF(T90="",1.5,T90)/3,1)))</x:f>
      </x:c>
      <x:c r="AF90" s="69" t="str">
        <x:f>IF(A90="","",IF(Z90="BLOQUEADA",0,ROUND(100*IF(U90="",1.5,U90)/3,1)))</x:f>
      </x:c>
      <x:c r="AG90" s="69" t="str">
        <x:f>IF(A90="","",ROUND(IF(Z90="BLOQUEADA",100,(X90*10)+(V90*8)+(W90*8)),1))</x:f>
      </x:c>
      <x:c r="AH90" s="69" t="str">
        <x:f>IF(A90="","",IF(Z90="BLOQUEADA",0,MAX(0,ROUND(0.30*AA90+0.20*AB90+0.15*AC90+0.15*AD90+0.10*AE90+0.10*AF90-AG90,1))))</x:f>
      </x:c>
      <x:c r="AI90" s="69" t="str">
        <x:f>IF(A90="","",IF(Z90="ELEGIBLE",RANK.EQ(AH90,$AH$2:$AH$201,0),""))</x:f>
      </x:c>
      <x:c r="AJ90" s="69" t="str">
        <x:f>IF(A90="","",IF(Z90="BLOQUEADA","No aplica",IF(Z90="REVISIÓN","Slot 8 posible: exploratorio",IF(AI90&lt;=5,"Slot 1-5: alto potencial",IF(R90&gt;=2.5,"Slot 6: handoff/dependencia",IF(S90&gt;=2.5,"Slot 7: transformación/objeto",IF(AND(K90&gt;=1,U90&gt;=2),"Slot 8 posible: exploratorio","Backlog/contexto")))))))</x:f>
      </x:c>
      <x:c r="AK90" s="69" t="str">
        <x:f>IF(A90="","",IF(Z90="BLOQUEADA","No seleccionable",IF(Z90="REVISIÓN","Revisión para slot exploratorio",IF(AI90&lt;=8,"Primaria propuesta","Contexto no primario"))))</x:f>
      </x:c>
      <x:c r="AL90" s="69" t="str">
        <x:f>IF(A90="","",IF(OR(Z90="REVISIÓN",Y90&gt;=3,V90&gt;=2),"Sí","No"))</x:f>
      </x:c>
      <x:c r="AM90" s="69" t="str">
        <x:f>IF(A90="","",IF(AK90="Primaria propuesta","Primaria propuesta",IF(AK90="Revisión para slot exploratorio","Revisión / posible primaria exploratoria",IF(AK90="No seleccionable","No seleccionable","Contexto no primario"))))</x:f>
      </x:c>
      <x:c r="AN90" s="69" t="str">
        <x:f>IF(A90="","",IF(AM90="Primaria propuesta",IF(AH90&gt;=75,"40+20 probable",IF(AH90&gt;=55,"40 base + causales selectivas","40 base + probes mínimos")),IF(AM90="Revisión / posible primaria exploratoria","B0/B0.5 reconstrucción antes de Runtime","No abre Runtime profundo")))</x:f>
      </x:c>
      <x:c r="AO90" s="69" t="str">
        <x:f>IF(A90="","",IF(Z90="BLOQUEADA","No probe",IF(AH90&gt;=75,"Alta",IF(AH90&gt;=55,"Media",IF(Z90="REVISIÓN","Exploratoria","Baja")))))</x:f>
      </x:c>
      <x:c r="AP90" s="69" t="str">
        <x:f>IF(A90="","",IF(M90="","unknown",IF(M90&gt;=2,"Prometedora","Débil / validar en B0.5-B1")))</x:f>
      </x:c>
      <x:c r="AQ90" s="69" t="str">
        <x:f>IF(A90="","",IF(N90="","unknown",IF(N90&gt;=2,"Prometedora","Débil / validar en B2")))</x:f>
      </x:c>
      <x:c r="AR90" s="69" t="str">
        <x:f>IF(A90="","",IF(O90="","unknown",IF(O90&gt;=2,"Prometedora","Débil / validar en B3-B4")))</x:f>
      </x:c>
      <x:c r="AS90" s="69" t="str">
        <x:f>IF(A90="","",IF(P90="","unknown",IF(P90&gt;=2,"Prometedora","Débil / validar en B2-B4")))</x:f>
      </x:c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 t="str">
        <x:f>IF(A91="","",COUNTBLANK(M91:P91))</x:f>
      </x:c>
      <x:c r="Z91" s="69" t="str">
        <x:f>IF(A91="","",IF(OR(E91="",G91="No",H91="No",I91="Responsabilidad genérica",I91="Demasiado amplia",I91="Microtarea",J91="Duplicado evidente"),"BLOQUEADA",IF(OR(I91="Ambigua",L91&lt;1,K91&lt;1),"REVISIÓN","ELEGIBLE")))</x:f>
      </x:c>
      <x:c r="AA91" s="69" t="str">
        <x:f>IF(A91="","",IF(Z91="BLOQUEADA",0,ROUND(100*(IF(M91="",1.5,M91)+IF(N91="",1.5,N91)+IF(O91="",1.5,O91)+IF(P91="",1.5,P91))/12,1)))</x:f>
      </x:c>
      <x:c r="AB91" s="69" t="str">
        <x:f>IF(A91="","",IF(Z91="BLOQUEADA",0,ROUND(100*IF(Q91="",1.5,Q91)/3,1)))</x:f>
      </x:c>
      <x:c r="AC91" s="69" t="str">
        <x:f>IF(A91="","",IF(Z91="BLOQUEADA",0,ROUND(100*IF(R91="",1.5,R91)/3,1)))</x:f>
      </x:c>
      <x:c r="AD91" s="69" t="str">
        <x:f>IF(A91="","",IF(Z91="BLOQUEADA",0,ROUND(100*IF(S91="",1.5,S91)/3,1)))</x:f>
      </x:c>
      <x:c r="AE91" s="69" t="str">
        <x:f>IF(A91="","",IF(Z91="BLOQUEADA",0,ROUND(100*IF(T91="",1.5,T91)/3,1)))</x:f>
      </x:c>
      <x:c r="AF91" s="69" t="str">
        <x:f>IF(A91="","",IF(Z91="BLOQUEADA",0,ROUND(100*IF(U91="",1.5,U91)/3,1)))</x:f>
      </x:c>
      <x:c r="AG91" s="69" t="str">
        <x:f>IF(A91="","",ROUND(IF(Z91="BLOQUEADA",100,(X91*10)+(V91*8)+(W91*8)),1))</x:f>
      </x:c>
      <x:c r="AH91" s="69" t="str">
        <x:f>IF(A91="","",IF(Z91="BLOQUEADA",0,MAX(0,ROUND(0.30*AA91+0.20*AB91+0.15*AC91+0.15*AD91+0.10*AE91+0.10*AF91-AG91,1))))</x:f>
      </x:c>
      <x:c r="AI91" s="69" t="str">
        <x:f>IF(A91="","",IF(Z91="ELEGIBLE",RANK.EQ(AH91,$AH$2:$AH$201,0),""))</x:f>
      </x:c>
      <x:c r="AJ91" s="69" t="str">
        <x:f>IF(A91="","",IF(Z91="BLOQUEADA","No aplica",IF(Z91="REVISIÓN","Slot 8 posible: exploratorio",IF(AI91&lt;=5,"Slot 1-5: alto potencial",IF(R91&gt;=2.5,"Slot 6: handoff/dependencia",IF(S91&gt;=2.5,"Slot 7: transformación/objeto",IF(AND(K91&gt;=1,U91&gt;=2),"Slot 8 posible: exploratorio","Backlog/contexto")))))))</x:f>
      </x:c>
      <x:c r="AK91" s="69" t="str">
        <x:f>IF(A91="","",IF(Z91="BLOQUEADA","No seleccionable",IF(Z91="REVISIÓN","Revisión para slot exploratorio",IF(AI91&lt;=8,"Primaria propuesta","Contexto no primario"))))</x:f>
      </x:c>
      <x:c r="AL91" s="69" t="str">
        <x:f>IF(A91="","",IF(OR(Z91="REVISIÓN",Y91&gt;=3,V91&gt;=2),"Sí","No"))</x:f>
      </x:c>
      <x:c r="AM91" s="69" t="str">
        <x:f>IF(A91="","",IF(AK91="Primaria propuesta","Primaria propuesta",IF(AK91="Revisión para slot exploratorio","Revisión / posible primaria exploratoria",IF(AK91="No seleccionable","No seleccionable","Contexto no primario"))))</x:f>
      </x:c>
      <x:c r="AN91" s="69" t="str">
        <x:f>IF(A91="","",IF(AM91="Primaria propuesta",IF(AH91&gt;=75,"40+20 probable",IF(AH91&gt;=55,"40 base + causales selectivas","40 base + probes mínimos")),IF(AM91="Revisión / posible primaria exploratoria","B0/B0.5 reconstrucción antes de Runtime","No abre Runtime profundo")))</x:f>
      </x:c>
      <x:c r="AO91" s="69" t="str">
        <x:f>IF(A91="","",IF(Z91="BLOQUEADA","No probe",IF(AH91&gt;=75,"Alta",IF(AH91&gt;=55,"Media",IF(Z91="REVISIÓN","Exploratoria","Baja")))))</x:f>
      </x:c>
      <x:c r="AP91" s="69" t="str">
        <x:f>IF(A91="","",IF(M91="","unknown",IF(M91&gt;=2,"Prometedora","Débil / validar en B0.5-B1")))</x:f>
      </x:c>
      <x:c r="AQ91" s="69" t="str">
        <x:f>IF(A91="","",IF(N91="","unknown",IF(N91&gt;=2,"Prometedora","Débil / validar en B2")))</x:f>
      </x:c>
      <x:c r="AR91" s="69" t="str">
        <x:f>IF(A91="","",IF(O91="","unknown",IF(O91&gt;=2,"Prometedora","Débil / validar en B3-B4")))</x:f>
      </x:c>
      <x:c r="AS91" s="69" t="str">
        <x:f>IF(A91="","",IF(P91="","unknown",IF(P91&gt;=2,"Prometedora","Débil / validar en B2-B4")))</x:f>
      </x:c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 t="str">
        <x:f>IF(A92="","",COUNTBLANK(M92:P92))</x:f>
      </x:c>
      <x:c r="Z92" s="69" t="str">
        <x:f>IF(A92="","",IF(OR(E92="",G92="No",H92="No",I92="Responsabilidad genérica",I92="Demasiado amplia",I92="Microtarea",J92="Duplicado evidente"),"BLOQUEADA",IF(OR(I92="Ambigua",L92&lt;1,K92&lt;1),"REVISIÓN","ELEGIBLE")))</x:f>
      </x:c>
      <x:c r="AA92" s="69" t="str">
        <x:f>IF(A92="","",IF(Z92="BLOQUEADA",0,ROUND(100*(IF(M92="",1.5,M92)+IF(N92="",1.5,N92)+IF(O92="",1.5,O92)+IF(P92="",1.5,P92))/12,1)))</x:f>
      </x:c>
      <x:c r="AB92" s="69" t="str">
        <x:f>IF(A92="","",IF(Z92="BLOQUEADA",0,ROUND(100*IF(Q92="",1.5,Q92)/3,1)))</x:f>
      </x:c>
      <x:c r="AC92" s="69" t="str">
        <x:f>IF(A92="","",IF(Z92="BLOQUEADA",0,ROUND(100*IF(R92="",1.5,R92)/3,1)))</x:f>
      </x:c>
      <x:c r="AD92" s="69" t="str">
        <x:f>IF(A92="","",IF(Z92="BLOQUEADA",0,ROUND(100*IF(S92="",1.5,S92)/3,1)))</x:f>
      </x:c>
      <x:c r="AE92" s="69" t="str">
        <x:f>IF(A92="","",IF(Z92="BLOQUEADA",0,ROUND(100*IF(T92="",1.5,T92)/3,1)))</x:f>
      </x:c>
      <x:c r="AF92" s="69" t="str">
        <x:f>IF(A92="","",IF(Z92="BLOQUEADA",0,ROUND(100*IF(U92="",1.5,U92)/3,1)))</x:f>
      </x:c>
      <x:c r="AG92" s="69" t="str">
        <x:f>IF(A92="","",ROUND(IF(Z92="BLOQUEADA",100,(X92*10)+(V92*8)+(W92*8)),1))</x:f>
      </x:c>
      <x:c r="AH92" s="69" t="str">
        <x:f>IF(A92="","",IF(Z92="BLOQUEADA",0,MAX(0,ROUND(0.30*AA92+0.20*AB92+0.15*AC92+0.15*AD92+0.10*AE92+0.10*AF92-AG92,1))))</x:f>
      </x:c>
      <x:c r="AI92" s="69" t="str">
        <x:f>IF(A92="","",IF(Z92="ELEGIBLE",RANK.EQ(AH92,$AH$2:$AH$201,0),""))</x:f>
      </x:c>
      <x:c r="AJ92" s="69" t="str">
        <x:f>IF(A92="","",IF(Z92="BLOQUEADA","No aplica",IF(Z92="REVISIÓN","Slot 8 posible: exploratorio",IF(AI92&lt;=5,"Slot 1-5: alto potencial",IF(R92&gt;=2.5,"Slot 6: handoff/dependencia",IF(S92&gt;=2.5,"Slot 7: transformación/objeto",IF(AND(K92&gt;=1,U92&gt;=2),"Slot 8 posible: exploratorio","Backlog/contexto")))))))</x:f>
      </x:c>
      <x:c r="AK92" s="69" t="str">
        <x:f>IF(A92="","",IF(Z92="BLOQUEADA","No seleccionable",IF(Z92="REVISIÓN","Revisión para slot exploratorio",IF(AI92&lt;=8,"Primaria propuesta","Contexto no primario"))))</x:f>
      </x:c>
      <x:c r="AL92" s="69" t="str">
        <x:f>IF(A92="","",IF(OR(Z92="REVISIÓN",Y92&gt;=3,V92&gt;=2),"Sí","No"))</x:f>
      </x:c>
      <x:c r="AM92" s="69" t="str">
        <x:f>IF(A92="","",IF(AK92="Primaria propuesta","Primaria propuesta",IF(AK92="Revisión para slot exploratorio","Revisión / posible primaria exploratoria",IF(AK92="No seleccionable","No seleccionable","Contexto no primario"))))</x:f>
      </x:c>
      <x:c r="AN92" s="69" t="str">
        <x:f>IF(A92="","",IF(AM92="Primaria propuesta",IF(AH92&gt;=75,"40+20 probable",IF(AH92&gt;=55,"40 base + causales selectivas","40 base + probes mínimos")),IF(AM92="Revisión / posible primaria exploratoria","B0/B0.5 reconstrucción antes de Runtime","No abre Runtime profundo")))</x:f>
      </x:c>
      <x:c r="AO92" s="69" t="str">
        <x:f>IF(A92="","",IF(Z92="BLOQUEADA","No probe",IF(AH92&gt;=75,"Alta",IF(AH92&gt;=55,"Media",IF(Z92="REVISIÓN","Exploratoria","Baja")))))</x:f>
      </x:c>
      <x:c r="AP92" s="69" t="str">
        <x:f>IF(A92="","",IF(M92="","unknown",IF(M92&gt;=2,"Prometedora","Débil / validar en B0.5-B1")))</x:f>
      </x:c>
      <x:c r="AQ92" s="69" t="str">
        <x:f>IF(A92="","",IF(N92="","unknown",IF(N92&gt;=2,"Prometedora","Débil / validar en B2")))</x:f>
      </x:c>
      <x:c r="AR92" s="69" t="str">
        <x:f>IF(A92="","",IF(O92="","unknown",IF(O92&gt;=2,"Prometedora","Débil / validar en B3-B4")))</x:f>
      </x:c>
      <x:c r="AS92" s="69" t="str">
        <x:f>IF(A92="","",IF(P92="","unknown",IF(P92&gt;=2,"Prometedora","Débil / validar en B2-B4")))</x:f>
      </x:c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 t="str">
        <x:f>IF(A93="","",COUNTBLANK(M93:P93))</x:f>
      </x:c>
      <x:c r="Z93" s="69" t="str">
        <x:f>IF(A93="","",IF(OR(E93="",G93="No",H93="No",I93="Responsabilidad genérica",I93="Demasiado amplia",I93="Microtarea",J93="Duplicado evidente"),"BLOQUEADA",IF(OR(I93="Ambigua",L93&lt;1,K93&lt;1),"REVISIÓN","ELEGIBLE")))</x:f>
      </x:c>
      <x:c r="AA93" s="69" t="str">
        <x:f>IF(A93="","",IF(Z93="BLOQUEADA",0,ROUND(100*(IF(M93="",1.5,M93)+IF(N93="",1.5,N93)+IF(O93="",1.5,O93)+IF(P93="",1.5,P93))/12,1)))</x:f>
      </x:c>
      <x:c r="AB93" s="69" t="str">
        <x:f>IF(A93="","",IF(Z93="BLOQUEADA",0,ROUND(100*IF(Q93="",1.5,Q93)/3,1)))</x:f>
      </x:c>
      <x:c r="AC93" s="69" t="str">
        <x:f>IF(A93="","",IF(Z93="BLOQUEADA",0,ROUND(100*IF(R93="",1.5,R93)/3,1)))</x:f>
      </x:c>
      <x:c r="AD93" s="69" t="str">
        <x:f>IF(A93="","",IF(Z93="BLOQUEADA",0,ROUND(100*IF(S93="",1.5,S93)/3,1)))</x:f>
      </x:c>
      <x:c r="AE93" s="69" t="str">
        <x:f>IF(A93="","",IF(Z93="BLOQUEADA",0,ROUND(100*IF(T93="",1.5,T93)/3,1)))</x:f>
      </x:c>
      <x:c r="AF93" s="69" t="str">
        <x:f>IF(A93="","",IF(Z93="BLOQUEADA",0,ROUND(100*IF(U93="",1.5,U93)/3,1)))</x:f>
      </x:c>
      <x:c r="AG93" s="69" t="str">
        <x:f>IF(A93="","",ROUND(IF(Z93="BLOQUEADA",100,(X93*10)+(V93*8)+(W93*8)),1))</x:f>
      </x:c>
      <x:c r="AH93" s="69" t="str">
        <x:f>IF(A93="","",IF(Z93="BLOQUEADA",0,MAX(0,ROUND(0.30*AA93+0.20*AB93+0.15*AC93+0.15*AD93+0.10*AE93+0.10*AF93-AG93,1))))</x:f>
      </x:c>
      <x:c r="AI93" s="69" t="str">
        <x:f>IF(A93="","",IF(Z93="ELEGIBLE",RANK.EQ(AH93,$AH$2:$AH$201,0),""))</x:f>
      </x:c>
      <x:c r="AJ93" s="69" t="str">
        <x:f>IF(A93="","",IF(Z93="BLOQUEADA","No aplica",IF(Z93="REVISIÓN","Slot 8 posible: exploratorio",IF(AI93&lt;=5,"Slot 1-5: alto potencial",IF(R93&gt;=2.5,"Slot 6: handoff/dependencia",IF(S93&gt;=2.5,"Slot 7: transformación/objeto",IF(AND(K93&gt;=1,U93&gt;=2),"Slot 8 posible: exploratorio","Backlog/contexto")))))))</x:f>
      </x:c>
      <x:c r="AK93" s="69" t="str">
        <x:f>IF(A93="","",IF(Z93="BLOQUEADA","No seleccionable",IF(Z93="REVISIÓN","Revisión para slot exploratorio",IF(AI93&lt;=8,"Primaria propuesta","Contexto no primario"))))</x:f>
      </x:c>
      <x:c r="AL93" s="69" t="str">
        <x:f>IF(A93="","",IF(OR(Z93="REVISIÓN",Y93&gt;=3,V93&gt;=2),"Sí","No"))</x:f>
      </x:c>
      <x:c r="AM93" s="69" t="str">
        <x:f>IF(A93="","",IF(AK93="Primaria propuesta","Primaria propuesta",IF(AK93="Revisión para slot exploratorio","Revisión / posible primaria exploratoria",IF(AK93="No seleccionable","No seleccionable","Contexto no primario"))))</x:f>
      </x:c>
      <x:c r="AN93" s="69" t="str">
        <x:f>IF(A93="","",IF(AM93="Primaria propuesta",IF(AH93&gt;=75,"40+20 probable",IF(AH93&gt;=55,"40 base + causales selectivas","40 base + probes mínimos")),IF(AM93="Revisión / posible primaria exploratoria","B0/B0.5 reconstrucción antes de Runtime","No abre Runtime profundo")))</x:f>
      </x:c>
      <x:c r="AO93" s="69" t="str">
        <x:f>IF(A93="","",IF(Z93="BLOQUEADA","No probe",IF(AH93&gt;=75,"Alta",IF(AH93&gt;=55,"Media",IF(Z93="REVISIÓN","Exploratoria","Baja")))))</x:f>
      </x:c>
      <x:c r="AP93" s="69" t="str">
        <x:f>IF(A93="","",IF(M93="","unknown",IF(M93&gt;=2,"Prometedora","Débil / validar en B0.5-B1")))</x:f>
      </x:c>
      <x:c r="AQ93" s="69" t="str">
        <x:f>IF(A93="","",IF(N93="","unknown",IF(N93&gt;=2,"Prometedora","Débil / validar en B2")))</x:f>
      </x:c>
      <x:c r="AR93" s="69" t="str">
        <x:f>IF(A93="","",IF(O93="","unknown",IF(O93&gt;=2,"Prometedora","Débil / validar en B3-B4")))</x:f>
      </x:c>
      <x:c r="AS93" s="69" t="str">
        <x:f>IF(A93="","",IF(P93="","unknown",IF(P93&gt;=2,"Prometedora","Débil / validar en B2-B4")))</x:f>
      </x:c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 t="str">
        <x:f>IF(A94="","",COUNTBLANK(M94:P94))</x:f>
      </x:c>
      <x:c r="Z94" s="69" t="str">
        <x:f>IF(A94="","",IF(OR(E94="",G94="No",H94="No",I94="Responsabilidad genérica",I94="Demasiado amplia",I94="Microtarea",J94="Duplicado evidente"),"BLOQUEADA",IF(OR(I94="Ambigua",L94&lt;1,K94&lt;1),"REVISIÓN","ELEGIBLE")))</x:f>
      </x:c>
      <x:c r="AA94" s="69" t="str">
        <x:f>IF(A94="","",IF(Z94="BLOQUEADA",0,ROUND(100*(IF(M94="",1.5,M94)+IF(N94="",1.5,N94)+IF(O94="",1.5,O94)+IF(P94="",1.5,P94))/12,1)))</x:f>
      </x:c>
      <x:c r="AB94" s="69" t="str">
        <x:f>IF(A94="","",IF(Z94="BLOQUEADA",0,ROUND(100*IF(Q94="",1.5,Q94)/3,1)))</x:f>
      </x:c>
      <x:c r="AC94" s="69" t="str">
        <x:f>IF(A94="","",IF(Z94="BLOQUEADA",0,ROUND(100*IF(R94="",1.5,R94)/3,1)))</x:f>
      </x:c>
      <x:c r="AD94" s="69" t="str">
        <x:f>IF(A94="","",IF(Z94="BLOQUEADA",0,ROUND(100*IF(S94="",1.5,S94)/3,1)))</x:f>
      </x:c>
      <x:c r="AE94" s="69" t="str">
        <x:f>IF(A94="","",IF(Z94="BLOQUEADA",0,ROUND(100*IF(T94="",1.5,T94)/3,1)))</x:f>
      </x:c>
      <x:c r="AF94" s="69" t="str">
        <x:f>IF(A94="","",IF(Z94="BLOQUEADA",0,ROUND(100*IF(U94="",1.5,U94)/3,1)))</x:f>
      </x:c>
      <x:c r="AG94" s="69" t="str">
        <x:f>IF(A94="","",ROUND(IF(Z94="BLOQUEADA",100,(X94*10)+(V94*8)+(W94*8)),1))</x:f>
      </x:c>
      <x:c r="AH94" s="69" t="str">
        <x:f>IF(A94="","",IF(Z94="BLOQUEADA",0,MAX(0,ROUND(0.30*AA94+0.20*AB94+0.15*AC94+0.15*AD94+0.10*AE94+0.10*AF94-AG94,1))))</x:f>
      </x:c>
      <x:c r="AI94" s="69" t="str">
        <x:f>IF(A94="","",IF(Z94="ELEGIBLE",RANK.EQ(AH94,$AH$2:$AH$201,0),""))</x:f>
      </x:c>
      <x:c r="AJ94" s="69" t="str">
        <x:f>IF(A94="","",IF(Z94="BLOQUEADA","No aplica",IF(Z94="REVISIÓN","Slot 8 posible: exploratorio",IF(AI94&lt;=5,"Slot 1-5: alto potencial",IF(R94&gt;=2.5,"Slot 6: handoff/dependencia",IF(S94&gt;=2.5,"Slot 7: transformación/objeto",IF(AND(K94&gt;=1,U94&gt;=2),"Slot 8 posible: exploratorio","Backlog/contexto")))))))</x:f>
      </x:c>
      <x:c r="AK94" s="69" t="str">
        <x:f>IF(A94="","",IF(Z94="BLOQUEADA","No seleccionable",IF(Z94="REVISIÓN","Revisión para slot exploratorio",IF(AI94&lt;=8,"Primaria propuesta","Contexto no primario"))))</x:f>
      </x:c>
      <x:c r="AL94" s="69" t="str">
        <x:f>IF(A94="","",IF(OR(Z94="REVISIÓN",Y94&gt;=3,V94&gt;=2),"Sí","No"))</x:f>
      </x:c>
      <x:c r="AM94" s="69" t="str">
        <x:f>IF(A94="","",IF(AK94="Primaria propuesta","Primaria propuesta",IF(AK94="Revisión para slot exploratorio","Revisión / posible primaria exploratoria",IF(AK94="No seleccionable","No seleccionable","Contexto no primario"))))</x:f>
      </x:c>
      <x:c r="AN94" s="69" t="str">
        <x:f>IF(A94="","",IF(AM94="Primaria propuesta",IF(AH94&gt;=75,"40+20 probable",IF(AH94&gt;=55,"40 base + causales selectivas","40 base + probes mínimos")),IF(AM94="Revisión / posible primaria exploratoria","B0/B0.5 reconstrucción antes de Runtime","No abre Runtime profundo")))</x:f>
      </x:c>
      <x:c r="AO94" s="69" t="str">
        <x:f>IF(A94="","",IF(Z94="BLOQUEADA","No probe",IF(AH94&gt;=75,"Alta",IF(AH94&gt;=55,"Media",IF(Z94="REVISIÓN","Exploratoria","Baja")))))</x:f>
      </x:c>
      <x:c r="AP94" s="69" t="str">
        <x:f>IF(A94="","",IF(M94="","unknown",IF(M94&gt;=2,"Prometedora","Débil / validar en B0.5-B1")))</x:f>
      </x:c>
      <x:c r="AQ94" s="69" t="str">
        <x:f>IF(A94="","",IF(N94="","unknown",IF(N94&gt;=2,"Prometedora","Débil / validar en B2")))</x:f>
      </x:c>
      <x:c r="AR94" s="69" t="str">
        <x:f>IF(A94="","",IF(O94="","unknown",IF(O94&gt;=2,"Prometedora","Débil / validar en B3-B4")))</x:f>
      </x:c>
      <x:c r="AS94" s="69" t="str">
        <x:f>IF(A94="","",IF(P94="","unknown",IF(P94&gt;=2,"Prometedora","Débil / validar en B2-B4")))</x:f>
      </x:c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 t="str">
        <x:f>IF(A95="","",COUNTBLANK(M95:P95))</x:f>
      </x:c>
      <x:c r="Z95" s="69" t="str">
        <x:f>IF(A95="","",IF(OR(E95="",G95="No",H95="No",I95="Responsabilidad genérica",I95="Demasiado amplia",I95="Microtarea",J95="Duplicado evidente"),"BLOQUEADA",IF(OR(I95="Ambigua",L95&lt;1,K95&lt;1),"REVISIÓN","ELEGIBLE")))</x:f>
      </x:c>
      <x:c r="AA95" s="69" t="str">
        <x:f>IF(A95="","",IF(Z95="BLOQUEADA",0,ROUND(100*(IF(M95="",1.5,M95)+IF(N95="",1.5,N95)+IF(O95="",1.5,O95)+IF(P95="",1.5,P95))/12,1)))</x:f>
      </x:c>
      <x:c r="AB95" s="69" t="str">
        <x:f>IF(A95="","",IF(Z95="BLOQUEADA",0,ROUND(100*IF(Q95="",1.5,Q95)/3,1)))</x:f>
      </x:c>
      <x:c r="AC95" s="69" t="str">
        <x:f>IF(A95="","",IF(Z95="BLOQUEADA",0,ROUND(100*IF(R95="",1.5,R95)/3,1)))</x:f>
      </x:c>
      <x:c r="AD95" s="69" t="str">
        <x:f>IF(A95="","",IF(Z95="BLOQUEADA",0,ROUND(100*IF(S95="",1.5,S95)/3,1)))</x:f>
      </x:c>
      <x:c r="AE95" s="69" t="str">
        <x:f>IF(A95="","",IF(Z95="BLOQUEADA",0,ROUND(100*IF(T95="",1.5,T95)/3,1)))</x:f>
      </x:c>
      <x:c r="AF95" s="69" t="str">
        <x:f>IF(A95="","",IF(Z95="BLOQUEADA",0,ROUND(100*IF(U95="",1.5,U95)/3,1)))</x:f>
      </x:c>
      <x:c r="AG95" s="69" t="str">
        <x:f>IF(A95="","",ROUND(IF(Z95="BLOQUEADA",100,(X95*10)+(V95*8)+(W95*8)),1))</x:f>
      </x:c>
      <x:c r="AH95" s="69" t="str">
        <x:f>IF(A95="","",IF(Z95="BLOQUEADA",0,MAX(0,ROUND(0.30*AA95+0.20*AB95+0.15*AC95+0.15*AD95+0.10*AE95+0.10*AF95-AG95,1))))</x:f>
      </x:c>
      <x:c r="AI95" s="69" t="str">
        <x:f>IF(A95="","",IF(Z95="ELEGIBLE",RANK.EQ(AH95,$AH$2:$AH$201,0),""))</x:f>
      </x:c>
      <x:c r="AJ95" s="69" t="str">
        <x:f>IF(A95="","",IF(Z95="BLOQUEADA","No aplica",IF(Z95="REVISIÓN","Slot 8 posible: exploratorio",IF(AI95&lt;=5,"Slot 1-5: alto potencial",IF(R95&gt;=2.5,"Slot 6: handoff/dependencia",IF(S95&gt;=2.5,"Slot 7: transformación/objeto",IF(AND(K95&gt;=1,U95&gt;=2),"Slot 8 posible: exploratorio","Backlog/contexto")))))))</x:f>
      </x:c>
      <x:c r="AK95" s="69" t="str">
        <x:f>IF(A95="","",IF(Z95="BLOQUEADA","No seleccionable",IF(Z95="REVISIÓN","Revisión para slot exploratorio",IF(AI95&lt;=8,"Primaria propuesta","Contexto no primario"))))</x:f>
      </x:c>
      <x:c r="AL95" s="69" t="str">
        <x:f>IF(A95="","",IF(OR(Z95="REVISIÓN",Y95&gt;=3,V95&gt;=2),"Sí","No"))</x:f>
      </x:c>
      <x:c r="AM95" s="69" t="str">
        <x:f>IF(A95="","",IF(AK95="Primaria propuesta","Primaria propuesta",IF(AK95="Revisión para slot exploratorio","Revisión / posible primaria exploratoria",IF(AK95="No seleccionable","No seleccionable","Contexto no primario"))))</x:f>
      </x:c>
      <x:c r="AN95" s="69" t="str">
        <x:f>IF(A95="","",IF(AM95="Primaria propuesta",IF(AH95&gt;=75,"40+20 probable",IF(AH95&gt;=55,"40 base + causales selectivas","40 base + probes mínimos")),IF(AM95="Revisión / posible primaria exploratoria","B0/B0.5 reconstrucción antes de Runtime","No abre Runtime profundo")))</x:f>
      </x:c>
      <x:c r="AO95" s="69" t="str">
        <x:f>IF(A95="","",IF(Z95="BLOQUEADA","No probe",IF(AH95&gt;=75,"Alta",IF(AH95&gt;=55,"Media",IF(Z95="REVISIÓN","Exploratoria","Baja")))))</x:f>
      </x:c>
      <x:c r="AP95" s="69" t="str">
        <x:f>IF(A95="","",IF(M95="","unknown",IF(M95&gt;=2,"Prometedora","Débil / validar en B0.5-B1")))</x:f>
      </x:c>
      <x:c r="AQ95" s="69" t="str">
        <x:f>IF(A95="","",IF(N95="","unknown",IF(N95&gt;=2,"Prometedora","Débil / validar en B2")))</x:f>
      </x:c>
      <x:c r="AR95" s="69" t="str">
        <x:f>IF(A95="","",IF(O95="","unknown",IF(O95&gt;=2,"Prometedora","Débil / validar en B3-B4")))</x:f>
      </x:c>
      <x:c r="AS95" s="69" t="str">
        <x:f>IF(A95="","",IF(P95="","unknown",IF(P95&gt;=2,"Prometedora","Débil / validar en B2-B4")))</x:f>
      </x:c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 t="str">
        <x:f>IF(A96="","",COUNTBLANK(M96:P96))</x:f>
      </x:c>
      <x:c r="Z96" s="69" t="str">
        <x:f>IF(A96="","",IF(OR(E96="",G96="No",H96="No",I96="Responsabilidad genérica",I96="Demasiado amplia",I96="Microtarea",J96="Duplicado evidente"),"BLOQUEADA",IF(OR(I96="Ambigua",L96&lt;1,K96&lt;1),"REVISIÓN","ELEGIBLE")))</x:f>
      </x:c>
      <x:c r="AA96" s="69" t="str">
        <x:f>IF(A96="","",IF(Z96="BLOQUEADA",0,ROUND(100*(IF(M96="",1.5,M96)+IF(N96="",1.5,N96)+IF(O96="",1.5,O96)+IF(P96="",1.5,P96))/12,1)))</x:f>
      </x:c>
      <x:c r="AB96" s="69" t="str">
        <x:f>IF(A96="","",IF(Z96="BLOQUEADA",0,ROUND(100*IF(Q96="",1.5,Q96)/3,1)))</x:f>
      </x:c>
      <x:c r="AC96" s="69" t="str">
        <x:f>IF(A96="","",IF(Z96="BLOQUEADA",0,ROUND(100*IF(R96="",1.5,R96)/3,1)))</x:f>
      </x:c>
      <x:c r="AD96" s="69" t="str">
        <x:f>IF(A96="","",IF(Z96="BLOQUEADA",0,ROUND(100*IF(S96="",1.5,S96)/3,1)))</x:f>
      </x:c>
      <x:c r="AE96" s="69" t="str">
        <x:f>IF(A96="","",IF(Z96="BLOQUEADA",0,ROUND(100*IF(T96="",1.5,T96)/3,1)))</x:f>
      </x:c>
      <x:c r="AF96" s="69" t="str">
        <x:f>IF(A96="","",IF(Z96="BLOQUEADA",0,ROUND(100*IF(U96="",1.5,U96)/3,1)))</x:f>
      </x:c>
      <x:c r="AG96" s="69" t="str">
        <x:f>IF(A96="","",ROUND(IF(Z96="BLOQUEADA",100,(X96*10)+(V96*8)+(W96*8)),1))</x:f>
      </x:c>
      <x:c r="AH96" s="69" t="str">
        <x:f>IF(A96="","",IF(Z96="BLOQUEADA",0,MAX(0,ROUND(0.30*AA96+0.20*AB96+0.15*AC96+0.15*AD96+0.10*AE96+0.10*AF96-AG96,1))))</x:f>
      </x:c>
      <x:c r="AI96" s="69" t="str">
        <x:f>IF(A96="","",IF(Z96="ELEGIBLE",RANK.EQ(AH96,$AH$2:$AH$201,0),""))</x:f>
      </x:c>
      <x:c r="AJ96" s="69" t="str">
        <x:f>IF(A96="","",IF(Z96="BLOQUEADA","No aplica",IF(Z96="REVISIÓN","Slot 8 posible: exploratorio",IF(AI96&lt;=5,"Slot 1-5: alto potencial",IF(R96&gt;=2.5,"Slot 6: handoff/dependencia",IF(S96&gt;=2.5,"Slot 7: transformación/objeto",IF(AND(K96&gt;=1,U96&gt;=2),"Slot 8 posible: exploratorio","Backlog/contexto")))))))</x:f>
      </x:c>
      <x:c r="AK96" s="69" t="str">
        <x:f>IF(A96="","",IF(Z96="BLOQUEADA","No seleccionable",IF(Z96="REVISIÓN","Revisión para slot exploratorio",IF(AI96&lt;=8,"Primaria propuesta","Contexto no primario"))))</x:f>
      </x:c>
      <x:c r="AL96" s="69" t="str">
        <x:f>IF(A96="","",IF(OR(Z96="REVISIÓN",Y96&gt;=3,V96&gt;=2),"Sí","No"))</x:f>
      </x:c>
      <x:c r="AM96" s="69" t="str">
        <x:f>IF(A96="","",IF(AK96="Primaria propuesta","Primaria propuesta",IF(AK96="Revisión para slot exploratorio","Revisión / posible primaria exploratoria",IF(AK96="No seleccionable","No seleccionable","Contexto no primario"))))</x:f>
      </x:c>
      <x:c r="AN96" s="69" t="str">
        <x:f>IF(A96="","",IF(AM96="Primaria propuesta",IF(AH96&gt;=75,"40+20 probable",IF(AH96&gt;=55,"40 base + causales selectivas","40 base + probes mínimos")),IF(AM96="Revisión / posible primaria exploratoria","B0/B0.5 reconstrucción antes de Runtime","No abre Runtime profundo")))</x:f>
      </x:c>
      <x:c r="AO96" s="69" t="str">
        <x:f>IF(A96="","",IF(Z96="BLOQUEADA","No probe",IF(AH96&gt;=75,"Alta",IF(AH96&gt;=55,"Media",IF(Z96="REVISIÓN","Exploratoria","Baja")))))</x:f>
      </x:c>
      <x:c r="AP96" s="69" t="str">
        <x:f>IF(A96="","",IF(M96="","unknown",IF(M96&gt;=2,"Prometedora","Débil / validar en B0.5-B1")))</x:f>
      </x:c>
      <x:c r="AQ96" s="69" t="str">
        <x:f>IF(A96="","",IF(N96="","unknown",IF(N96&gt;=2,"Prometedora","Débil / validar en B2")))</x:f>
      </x:c>
      <x:c r="AR96" s="69" t="str">
        <x:f>IF(A96="","",IF(O96="","unknown",IF(O96&gt;=2,"Prometedora","Débil / validar en B3-B4")))</x:f>
      </x:c>
      <x:c r="AS96" s="69" t="str">
        <x:f>IF(A96="","",IF(P96="","unknown",IF(P96&gt;=2,"Prometedora","Débil / validar en B2-B4")))</x:f>
      </x:c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 t="str">
        <x:f>IF(A97="","",COUNTBLANK(M97:P97))</x:f>
      </x:c>
      <x:c r="Z97" s="69" t="str">
        <x:f>IF(A97="","",IF(OR(E97="",G97="No",H97="No",I97="Responsabilidad genérica",I97="Demasiado amplia",I97="Microtarea",J97="Duplicado evidente"),"BLOQUEADA",IF(OR(I97="Ambigua",L97&lt;1,K97&lt;1),"REVISIÓN","ELEGIBLE")))</x:f>
      </x:c>
      <x:c r="AA97" s="69" t="str">
        <x:f>IF(A97="","",IF(Z97="BLOQUEADA",0,ROUND(100*(IF(M97="",1.5,M97)+IF(N97="",1.5,N97)+IF(O97="",1.5,O97)+IF(P97="",1.5,P97))/12,1)))</x:f>
      </x:c>
      <x:c r="AB97" s="69" t="str">
        <x:f>IF(A97="","",IF(Z97="BLOQUEADA",0,ROUND(100*IF(Q97="",1.5,Q97)/3,1)))</x:f>
      </x:c>
      <x:c r="AC97" s="69" t="str">
        <x:f>IF(A97="","",IF(Z97="BLOQUEADA",0,ROUND(100*IF(R97="",1.5,R97)/3,1)))</x:f>
      </x:c>
      <x:c r="AD97" s="69" t="str">
        <x:f>IF(A97="","",IF(Z97="BLOQUEADA",0,ROUND(100*IF(S97="",1.5,S97)/3,1)))</x:f>
      </x:c>
      <x:c r="AE97" s="69" t="str">
        <x:f>IF(A97="","",IF(Z97="BLOQUEADA",0,ROUND(100*IF(T97="",1.5,T97)/3,1)))</x:f>
      </x:c>
      <x:c r="AF97" s="69" t="str">
        <x:f>IF(A97="","",IF(Z97="BLOQUEADA",0,ROUND(100*IF(U97="",1.5,U97)/3,1)))</x:f>
      </x:c>
      <x:c r="AG97" s="69" t="str">
        <x:f>IF(A97="","",ROUND(IF(Z97="BLOQUEADA",100,(X97*10)+(V97*8)+(W97*8)),1))</x:f>
      </x:c>
      <x:c r="AH97" s="69" t="str">
        <x:f>IF(A97="","",IF(Z97="BLOQUEADA",0,MAX(0,ROUND(0.30*AA97+0.20*AB97+0.15*AC97+0.15*AD97+0.10*AE97+0.10*AF97-AG97,1))))</x:f>
      </x:c>
      <x:c r="AI97" s="69" t="str">
        <x:f>IF(A97="","",IF(Z97="ELEGIBLE",RANK.EQ(AH97,$AH$2:$AH$201,0),""))</x:f>
      </x:c>
      <x:c r="AJ97" s="69" t="str">
        <x:f>IF(A97="","",IF(Z97="BLOQUEADA","No aplica",IF(Z97="REVISIÓN","Slot 8 posible: exploratorio",IF(AI97&lt;=5,"Slot 1-5: alto potencial",IF(R97&gt;=2.5,"Slot 6: handoff/dependencia",IF(S97&gt;=2.5,"Slot 7: transformación/objeto",IF(AND(K97&gt;=1,U97&gt;=2),"Slot 8 posible: exploratorio","Backlog/contexto")))))))</x:f>
      </x:c>
      <x:c r="AK97" s="69" t="str">
        <x:f>IF(A97="","",IF(Z97="BLOQUEADA","No seleccionable",IF(Z97="REVISIÓN","Revisión para slot exploratorio",IF(AI97&lt;=8,"Primaria propuesta","Contexto no primario"))))</x:f>
      </x:c>
      <x:c r="AL97" s="69" t="str">
        <x:f>IF(A97="","",IF(OR(Z97="REVISIÓN",Y97&gt;=3,V97&gt;=2),"Sí","No"))</x:f>
      </x:c>
      <x:c r="AM97" s="69" t="str">
        <x:f>IF(A97="","",IF(AK97="Primaria propuesta","Primaria propuesta",IF(AK97="Revisión para slot exploratorio","Revisión / posible primaria exploratoria",IF(AK97="No seleccionable","No seleccionable","Contexto no primario"))))</x:f>
      </x:c>
      <x:c r="AN97" s="69" t="str">
        <x:f>IF(A97="","",IF(AM97="Primaria propuesta",IF(AH97&gt;=75,"40+20 probable",IF(AH97&gt;=55,"40 base + causales selectivas","40 base + probes mínimos")),IF(AM97="Revisión / posible primaria exploratoria","B0/B0.5 reconstrucción antes de Runtime","No abre Runtime profundo")))</x:f>
      </x:c>
      <x:c r="AO97" s="69" t="str">
        <x:f>IF(A97="","",IF(Z97="BLOQUEADA","No probe",IF(AH97&gt;=75,"Alta",IF(AH97&gt;=55,"Media",IF(Z97="REVISIÓN","Exploratoria","Baja")))))</x:f>
      </x:c>
      <x:c r="AP97" s="69" t="str">
        <x:f>IF(A97="","",IF(M97="","unknown",IF(M97&gt;=2,"Prometedora","Débil / validar en B0.5-B1")))</x:f>
      </x:c>
      <x:c r="AQ97" s="69" t="str">
        <x:f>IF(A97="","",IF(N97="","unknown",IF(N97&gt;=2,"Prometedora","Débil / validar en B2")))</x:f>
      </x:c>
      <x:c r="AR97" s="69" t="str">
        <x:f>IF(A97="","",IF(O97="","unknown",IF(O97&gt;=2,"Prometedora","Débil / validar en B3-B4")))</x:f>
      </x:c>
      <x:c r="AS97" s="69" t="str">
        <x:f>IF(A97="","",IF(P97="","unknown",IF(P97&gt;=2,"Prometedora","Débil / validar en B2-B4")))</x:f>
      </x:c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 t="str">
        <x:f>IF(A98="","",COUNTBLANK(M98:P98))</x:f>
      </x:c>
      <x:c r="Z98" s="69" t="str">
        <x:f>IF(A98="","",IF(OR(E98="",G98="No",H98="No",I98="Responsabilidad genérica",I98="Demasiado amplia",I98="Microtarea",J98="Duplicado evidente"),"BLOQUEADA",IF(OR(I98="Ambigua",L98&lt;1,K98&lt;1),"REVISIÓN","ELEGIBLE")))</x:f>
      </x:c>
      <x:c r="AA98" s="69" t="str">
        <x:f>IF(A98="","",IF(Z98="BLOQUEADA",0,ROUND(100*(IF(M98="",1.5,M98)+IF(N98="",1.5,N98)+IF(O98="",1.5,O98)+IF(P98="",1.5,P98))/12,1)))</x:f>
      </x:c>
      <x:c r="AB98" s="69" t="str">
        <x:f>IF(A98="","",IF(Z98="BLOQUEADA",0,ROUND(100*IF(Q98="",1.5,Q98)/3,1)))</x:f>
      </x:c>
      <x:c r="AC98" s="69" t="str">
        <x:f>IF(A98="","",IF(Z98="BLOQUEADA",0,ROUND(100*IF(R98="",1.5,R98)/3,1)))</x:f>
      </x:c>
      <x:c r="AD98" s="69" t="str">
        <x:f>IF(A98="","",IF(Z98="BLOQUEADA",0,ROUND(100*IF(S98="",1.5,S98)/3,1)))</x:f>
      </x:c>
      <x:c r="AE98" s="69" t="str">
        <x:f>IF(A98="","",IF(Z98="BLOQUEADA",0,ROUND(100*IF(T98="",1.5,T98)/3,1)))</x:f>
      </x:c>
      <x:c r="AF98" s="69" t="str">
        <x:f>IF(A98="","",IF(Z98="BLOQUEADA",0,ROUND(100*IF(U98="",1.5,U98)/3,1)))</x:f>
      </x:c>
      <x:c r="AG98" s="69" t="str">
        <x:f>IF(A98="","",ROUND(IF(Z98="BLOQUEADA",100,(X98*10)+(V98*8)+(W98*8)),1))</x:f>
      </x:c>
      <x:c r="AH98" s="69" t="str">
        <x:f>IF(A98="","",IF(Z98="BLOQUEADA",0,MAX(0,ROUND(0.30*AA98+0.20*AB98+0.15*AC98+0.15*AD98+0.10*AE98+0.10*AF98-AG98,1))))</x:f>
      </x:c>
      <x:c r="AI98" s="69" t="str">
        <x:f>IF(A98="","",IF(Z98="ELEGIBLE",RANK.EQ(AH98,$AH$2:$AH$201,0),""))</x:f>
      </x:c>
      <x:c r="AJ98" s="69" t="str">
        <x:f>IF(A98="","",IF(Z98="BLOQUEADA","No aplica",IF(Z98="REVISIÓN","Slot 8 posible: exploratorio",IF(AI98&lt;=5,"Slot 1-5: alto potencial",IF(R98&gt;=2.5,"Slot 6: handoff/dependencia",IF(S98&gt;=2.5,"Slot 7: transformación/objeto",IF(AND(K98&gt;=1,U98&gt;=2),"Slot 8 posible: exploratorio","Backlog/contexto")))))))</x:f>
      </x:c>
      <x:c r="AK98" s="69" t="str">
        <x:f>IF(A98="","",IF(Z98="BLOQUEADA","No seleccionable",IF(Z98="REVISIÓN","Revisión para slot exploratorio",IF(AI98&lt;=8,"Primaria propuesta","Contexto no primario"))))</x:f>
      </x:c>
      <x:c r="AL98" s="69" t="str">
        <x:f>IF(A98="","",IF(OR(Z98="REVISIÓN",Y98&gt;=3,V98&gt;=2),"Sí","No"))</x:f>
      </x:c>
      <x:c r="AM98" s="69" t="str">
        <x:f>IF(A98="","",IF(AK98="Primaria propuesta","Primaria propuesta",IF(AK98="Revisión para slot exploratorio","Revisión / posible primaria exploratoria",IF(AK98="No seleccionable","No seleccionable","Contexto no primario"))))</x:f>
      </x:c>
      <x:c r="AN98" s="69" t="str">
        <x:f>IF(A98="","",IF(AM98="Primaria propuesta",IF(AH98&gt;=75,"40+20 probable",IF(AH98&gt;=55,"40 base + causales selectivas","40 base + probes mínimos")),IF(AM98="Revisión / posible primaria exploratoria","B0/B0.5 reconstrucción antes de Runtime","No abre Runtime profundo")))</x:f>
      </x:c>
      <x:c r="AO98" s="69" t="str">
        <x:f>IF(A98="","",IF(Z98="BLOQUEADA","No probe",IF(AH98&gt;=75,"Alta",IF(AH98&gt;=55,"Media",IF(Z98="REVISIÓN","Exploratoria","Baja")))))</x:f>
      </x:c>
      <x:c r="AP98" s="69" t="str">
        <x:f>IF(A98="","",IF(M98="","unknown",IF(M98&gt;=2,"Prometedora","Débil / validar en B0.5-B1")))</x:f>
      </x:c>
      <x:c r="AQ98" s="69" t="str">
        <x:f>IF(A98="","",IF(N98="","unknown",IF(N98&gt;=2,"Prometedora","Débil / validar en B2")))</x:f>
      </x:c>
      <x:c r="AR98" s="69" t="str">
        <x:f>IF(A98="","",IF(O98="","unknown",IF(O98&gt;=2,"Prometedora","Débil / validar en B3-B4")))</x:f>
      </x:c>
      <x:c r="AS98" s="69" t="str">
        <x:f>IF(A98="","",IF(P98="","unknown",IF(P98&gt;=2,"Prometedora","Débil / validar en B2-B4")))</x:f>
      </x:c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 t="str">
        <x:f>IF(A99="","",COUNTBLANK(M99:P99))</x:f>
      </x:c>
      <x:c r="Z99" s="69" t="str">
        <x:f>IF(A99="","",IF(OR(E99="",G99="No",H99="No",I99="Responsabilidad genérica",I99="Demasiado amplia",I99="Microtarea",J99="Duplicado evidente"),"BLOQUEADA",IF(OR(I99="Ambigua",L99&lt;1,K99&lt;1),"REVISIÓN","ELEGIBLE")))</x:f>
      </x:c>
      <x:c r="AA99" s="69" t="str">
        <x:f>IF(A99="","",IF(Z99="BLOQUEADA",0,ROUND(100*(IF(M99="",1.5,M99)+IF(N99="",1.5,N99)+IF(O99="",1.5,O99)+IF(P99="",1.5,P99))/12,1)))</x:f>
      </x:c>
      <x:c r="AB99" s="69" t="str">
        <x:f>IF(A99="","",IF(Z99="BLOQUEADA",0,ROUND(100*IF(Q99="",1.5,Q99)/3,1)))</x:f>
      </x:c>
      <x:c r="AC99" s="69" t="str">
        <x:f>IF(A99="","",IF(Z99="BLOQUEADA",0,ROUND(100*IF(R99="",1.5,R99)/3,1)))</x:f>
      </x:c>
      <x:c r="AD99" s="69" t="str">
        <x:f>IF(A99="","",IF(Z99="BLOQUEADA",0,ROUND(100*IF(S99="",1.5,S99)/3,1)))</x:f>
      </x:c>
      <x:c r="AE99" s="69" t="str">
        <x:f>IF(A99="","",IF(Z99="BLOQUEADA",0,ROUND(100*IF(T99="",1.5,T99)/3,1)))</x:f>
      </x:c>
      <x:c r="AF99" s="69" t="str">
        <x:f>IF(A99="","",IF(Z99="BLOQUEADA",0,ROUND(100*IF(U99="",1.5,U99)/3,1)))</x:f>
      </x:c>
      <x:c r="AG99" s="69" t="str">
        <x:f>IF(A99="","",ROUND(IF(Z99="BLOQUEADA",100,(X99*10)+(V99*8)+(W99*8)),1))</x:f>
      </x:c>
      <x:c r="AH99" s="69" t="str">
        <x:f>IF(A99="","",IF(Z99="BLOQUEADA",0,MAX(0,ROUND(0.30*AA99+0.20*AB99+0.15*AC99+0.15*AD99+0.10*AE99+0.10*AF99-AG99,1))))</x:f>
      </x:c>
      <x:c r="AI99" s="69" t="str">
        <x:f>IF(A99="","",IF(Z99="ELEGIBLE",RANK.EQ(AH99,$AH$2:$AH$201,0),""))</x:f>
      </x:c>
      <x:c r="AJ99" s="69" t="str">
        <x:f>IF(A99="","",IF(Z99="BLOQUEADA","No aplica",IF(Z99="REVISIÓN","Slot 8 posible: exploratorio",IF(AI99&lt;=5,"Slot 1-5: alto potencial",IF(R99&gt;=2.5,"Slot 6: handoff/dependencia",IF(S99&gt;=2.5,"Slot 7: transformación/objeto",IF(AND(K99&gt;=1,U99&gt;=2),"Slot 8 posible: exploratorio","Backlog/contexto")))))))</x:f>
      </x:c>
      <x:c r="AK99" s="69" t="str">
        <x:f>IF(A99="","",IF(Z99="BLOQUEADA","No seleccionable",IF(Z99="REVISIÓN","Revisión para slot exploratorio",IF(AI99&lt;=8,"Primaria propuesta","Contexto no primario"))))</x:f>
      </x:c>
      <x:c r="AL99" s="69" t="str">
        <x:f>IF(A99="","",IF(OR(Z99="REVISIÓN",Y99&gt;=3,V99&gt;=2),"Sí","No"))</x:f>
      </x:c>
      <x:c r="AM99" s="69" t="str">
        <x:f>IF(A99="","",IF(AK99="Primaria propuesta","Primaria propuesta",IF(AK99="Revisión para slot exploratorio","Revisión / posible primaria exploratoria",IF(AK99="No seleccionable","No seleccionable","Contexto no primario"))))</x:f>
      </x:c>
      <x:c r="AN99" s="69" t="str">
        <x:f>IF(A99="","",IF(AM99="Primaria propuesta",IF(AH99&gt;=75,"40+20 probable",IF(AH99&gt;=55,"40 base + causales selectivas","40 base + probes mínimos")),IF(AM99="Revisión / posible primaria exploratoria","B0/B0.5 reconstrucción antes de Runtime","No abre Runtime profundo")))</x:f>
      </x:c>
      <x:c r="AO99" s="69" t="str">
        <x:f>IF(A99="","",IF(Z99="BLOQUEADA","No probe",IF(AH99&gt;=75,"Alta",IF(AH99&gt;=55,"Media",IF(Z99="REVISIÓN","Exploratoria","Baja")))))</x:f>
      </x:c>
      <x:c r="AP99" s="69" t="str">
        <x:f>IF(A99="","",IF(M99="","unknown",IF(M99&gt;=2,"Prometedora","Débil / validar en B0.5-B1")))</x:f>
      </x:c>
      <x:c r="AQ99" s="69" t="str">
        <x:f>IF(A99="","",IF(N99="","unknown",IF(N99&gt;=2,"Prometedora","Débil / validar en B2")))</x:f>
      </x:c>
      <x:c r="AR99" s="69" t="str">
        <x:f>IF(A99="","",IF(O99="","unknown",IF(O99&gt;=2,"Prometedora","Débil / validar en B3-B4")))</x:f>
      </x:c>
      <x:c r="AS99" s="69" t="str">
        <x:f>IF(A99="","",IF(P99="","unknown",IF(P99&gt;=2,"Prometedora","Débil / validar en B2-B4")))</x:f>
      </x:c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 t="str">
        <x:f>IF(A100="","",COUNTBLANK(M100:P100))</x:f>
      </x:c>
      <x:c r="Z100" s="69" t="str">
        <x:f>IF(A100="","",IF(OR(E100="",G100="No",H100="No",I100="Responsabilidad genérica",I100="Demasiado amplia",I100="Microtarea",J100="Duplicado evidente"),"BLOQUEADA",IF(OR(I100="Ambigua",L100&lt;1,K100&lt;1),"REVISIÓN","ELEGIBLE")))</x:f>
      </x:c>
      <x:c r="AA100" s="69" t="str">
        <x:f>IF(A100="","",IF(Z100="BLOQUEADA",0,ROUND(100*(IF(M100="",1.5,M100)+IF(N100="",1.5,N100)+IF(O100="",1.5,O100)+IF(P100="",1.5,P100))/12,1)))</x:f>
      </x:c>
      <x:c r="AB100" s="69" t="str">
        <x:f>IF(A100="","",IF(Z100="BLOQUEADA",0,ROUND(100*IF(Q100="",1.5,Q100)/3,1)))</x:f>
      </x:c>
      <x:c r="AC100" s="69" t="str">
        <x:f>IF(A100="","",IF(Z100="BLOQUEADA",0,ROUND(100*IF(R100="",1.5,R100)/3,1)))</x:f>
      </x:c>
      <x:c r="AD100" s="69" t="str">
        <x:f>IF(A100="","",IF(Z100="BLOQUEADA",0,ROUND(100*IF(S100="",1.5,S100)/3,1)))</x:f>
      </x:c>
      <x:c r="AE100" s="69" t="str">
        <x:f>IF(A100="","",IF(Z100="BLOQUEADA",0,ROUND(100*IF(T100="",1.5,T100)/3,1)))</x:f>
      </x:c>
      <x:c r="AF100" s="69" t="str">
        <x:f>IF(A100="","",IF(Z100="BLOQUEADA",0,ROUND(100*IF(U100="",1.5,U100)/3,1)))</x:f>
      </x:c>
      <x:c r="AG100" s="69" t="str">
        <x:f>IF(A100="","",ROUND(IF(Z100="BLOQUEADA",100,(X100*10)+(V100*8)+(W100*8)),1))</x:f>
      </x:c>
      <x:c r="AH100" s="69" t="str">
        <x:f>IF(A100="","",IF(Z100="BLOQUEADA",0,MAX(0,ROUND(0.30*AA100+0.20*AB100+0.15*AC100+0.15*AD100+0.10*AE100+0.10*AF100-AG100,1))))</x:f>
      </x:c>
      <x:c r="AI100" s="69" t="str">
        <x:f>IF(A100="","",IF(Z100="ELEGIBLE",RANK.EQ(AH100,$AH$2:$AH$201,0),""))</x:f>
      </x:c>
      <x:c r="AJ100" s="69" t="str">
        <x:f>IF(A100="","",IF(Z100="BLOQUEADA","No aplica",IF(Z100="REVISIÓN","Slot 8 posible: exploratorio",IF(AI100&lt;=5,"Slot 1-5: alto potencial",IF(R100&gt;=2.5,"Slot 6: handoff/dependencia",IF(S100&gt;=2.5,"Slot 7: transformación/objeto",IF(AND(K100&gt;=1,U100&gt;=2),"Slot 8 posible: exploratorio","Backlog/contexto")))))))</x:f>
      </x:c>
      <x:c r="AK100" s="69" t="str">
        <x:f>IF(A100="","",IF(Z100="BLOQUEADA","No seleccionable",IF(Z100="REVISIÓN","Revisión para slot exploratorio",IF(AI100&lt;=8,"Primaria propuesta","Contexto no primario"))))</x:f>
      </x:c>
      <x:c r="AL100" s="69" t="str">
        <x:f>IF(A100="","",IF(OR(Z100="REVISIÓN",Y100&gt;=3,V100&gt;=2),"Sí","No"))</x:f>
      </x:c>
      <x:c r="AM100" s="69" t="str">
        <x:f>IF(A100="","",IF(AK100="Primaria propuesta","Primaria propuesta",IF(AK100="Revisión para slot exploratorio","Revisión / posible primaria exploratoria",IF(AK100="No seleccionable","No seleccionable","Contexto no primario"))))</x:f>
      </x:c>
      <x:c r="AN100" s="69" t="str">
        <x:f>IF(A100="","",IF(AM100="Primaria propuesta",IF(AH100&gt;=75,"40+20 probable",IF(AH100&gt;=55,"40 base + causales selectivas","40 base + probes mínimos")),IF(AM100="Revisión / posible primaria exploratoria","B0/B0.5 reconstrucción antes de Runtime","No abre Runtime profundo")))</x:f>
      </x:c>
      <x:c r="AO100" s="69" t="str">
        <x:f>IF(A100="","",IF(Z100="BLOQUEADA","No probe",IF(AH100&gt;=75,"Alta",IF(AH100&gt;=55,"Media",IF(Z100="REVISIÓN","Exploratoria","Baja")))))</x:f>
      </x:c>
      <x:c r="AP100" s="69" t="str">
        <x:f>IF(A100="","",IF(M100="","unknown",IF(M100&gt;=2,"Prometedora","Débil / validar en B0.5-B1")))</x:f>
      </x:c>
      <x:c r="AQ100" s="69" t="str">
        <x:f>IF(A100="","",IF(N100="","unknown",IF(N100&gt;=2,"Prometedora","Débil / validar en B2")))</x:f>
      </x:c>
      <x:c r="AR100" s="69" t="str">
        <x:f>IF(A100="","",IF(O100="","unknown",IF(O100&gt;=2,"Prometedora","Débil / validar en B3-B4")))</x:f>
      </x:c>
      <x:c r="AS100" s="69" t="str">
        <x:f>IF(A100="","",IF(P100="","unknown",IF(P100&gt;=2,"Prometedora","Débil / validar en B2-B4")))</x:f>
      </x:c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 t="str">
        <x:f>IF(A101="","",COUNTBLANK(M101:P101))</x:f>
      </x:c>
      <x:c r="Z101" s="69" t="str">
        <x:f>IF(A101="","",IF(OR(E101="",G101="No",H101="No",I101="Responsabilidad genérica",I101="Demasiado amplia",I101="Microtarea",J101="Duplicado evidente"),"BLOQUEADA",IF(OR(I101="Ambigua",L101&lt;1,K101&lt;1),"REVISIÓN","ELEGIBLE")))</x:f>
      </x:c>
      <x:c r="AA101" s="69" t="str">
        <x:f>IF(A101="","",IF(Z101="BLOQUEADA",0,ROUND(100*(IF(M101="",1.5,M101)+IF(N101="",1.5,N101)+IF(O101="",1.5,O101)+IF(P101="",1.5,P101))/12,1)))</x:f>
      </x:c>
      <x:c r="AB101" s="69" t="str">
        <x:f>IF(A101="","",IF(Z101="BLOQUEADA",0,ROUND(100*IF(Q101="",1.5,Q101)/3,1)))</x:f>
      </x:c>
      <x:c r="AC101" s="69" t="str">
        <x:f>IF(A101="","",IF(Z101="BLOQUEADA",0,ROUND(100*IF(R101="",1.5,R101)/3,1)))</x:f>
      </x:c>
      <x:c r="AD101" s="69" t="str">
        <x:f>IF(A101="","",IF(Z101="BLOQUEADA",0,ROUND(100*IF(S101="",1.5,S101)/3,1)))</x:f>
      </x:c>
      <x:c r="AE101" s="69" t="str">
        <x:f>IF(A101="","",IF(Z101="BLOQUEADA",0,ROUND(100*IF(T101="",1.5,T101)/3,1)))</x:f>
      </x:c>
      <x:c r="AF101" s="69" t="str">
        <x:f>IF(A101="","",IF(Z101="BLOQUEADA",0,ROUND(100*IF(U101="",1.5,U101)/3,1)))</x:f>
      </x:c>
      <x:c r="AG101" s="69" t="str">
        <x:f>IF(A101="","",ROUND(IF(Z101="BLOQUEADA",100,(X101*10)+(V101*8)+(W101*8)),1))</x:f>
      </x:c>
      <x:c r="AH101" s="69" t="str">
        <x:f>IF(A101="","",IF(Z101="BLOQUEADA",0,MAX(0,ROUND(0.30*AA101+0.20*AB101+0.15*AC101+0.15*AD101+0.10*AE101+0.10*AF101-AG101,1))))</x:f>
      </x:c>
      <x:c r="AI101" s="69" t="str">
        <x:f>IF(A101="","",IF(Z101="ELEGIBLE",RANK.EQ(AH101,$AH$2:$AH$201,0),""))</x:f>
      </x:c>
      <x:c r="AJ101" s="69" t="str">
        <x:f>IF(A101="","",IF(Z101="BLOQUEADA","No aplica",IF(Z101="REVISIÓN","Slot 8 posible: exploratorio",IF(AI101&lt;=5,"Slot 1-5: alto potencial",IF(R101&gt;=2.5,"Slot 6: handoff/dependencia",IF(S101&gt;=2.5,"Slot 7: transformación/objeto",IF(AND(K101&gt;=1,U101&gt;=2),"Slot 8 posible: exploratorio","Backlog/contexto")))))))</x:f>
      </x:c>
      <x:c r="AK101" s="69" t="str">
        <x:f>IF(A101="","",IF(Z101="BLOQUEADA","No seleccionable",IF(Z101="REVISIÓN","Revisión para slot exploratorio",IF(AI101&lt;=8,"Primaria propuesta","Contexto no primario"))))</x:f>
      </x:c>
      <x:c r="AL101" s="69" t="str">
        <x:f>IF(A101="","",IF(OR(Z101="REVISIÓN",Y101&gt;=3,V101&gt;=2),"Sí","No"))</x:f>
      </x:c>
      <x:c r="AM101" s="69" t="str">
        <x:f>IF(A101="","",IF(AK101="Primaria propuesta","Primaria propuesta",IF(AK101="Revisión para slot exploratorio","Revisión / posible primaria exploratoria",IF(AK101="No seleccionable","No seleccionable","Contexto no primario"))))</x:f>
      </x:c>
      <x:c r="AN101" s="69" t="str">
        <x:f>IF(A101="","",IF(AM101="Primaria propuesta",IF(AH101&gt;=75,"40+20 probable",IF(AH101&gt;=55,"40 base + causales selectivas","40 base + probes mínimos")),IF(AM101="Revisión / posible primaria exploratoria","B0/B0.5 reconstrucción antes de Runtime","No abre Runtime profundo")))</x:f>
      </x:c>
      <x:c r="AO101" s="69" t="str">
        <x:f>IF(A101="","",IF(Z101="BLOQUEADA","No probe",IF(AH101&gt;=75,"Alta",IF(AH101&gt;=55,"Media",IF(Z101="REVISIÓN","Exploratoria","Baja")))))</x:f>
      </x:c>
      <x:c r="AP101" s="69" t="str">
        <x:f>IF(A101="","",IF(M101="","unknown",IF(M101&gt;=2,"Prometedora","Débil / validar en B0.5-B1")))</x:f>
      </x:c>
      <x:c r="AQ101" s="69" t="str">
        <x:f>IF(A101="","",IF(N101="","unknown",IF(N101&gt;=2,"Prometedora","Débil / validar en B2")))</x:f>
      </x:c>
      <x:c r="AR101" s="69" t="str">
        <x:f>IF(A101="","",IF(O101="","unknown",IF(O101&gt;=2,"Prometedora","Débil / validar en B3-B4")))</x:f>
      </x:c>
      <x:c r="AS101" s="69" t="str">
        <x:f>IF(A101="","",IF(P101="","unknown",IF(P101&gt;=2,"Prometedora","Débil / validar en B2-B4")))</x:f>
      </x:c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 t="str">
        <x:f>IF(A102="","",COUNTBLANK(M102:P102))</x:f>
      </x:c>
      <x:c r="Z102" s="69" t="str">
        <x:f>IF(A102="","",IF(OR(E102="",G102="No",H102="No",I102="Responsabilidad genérica",I102="Demasiado amplia",I102="Microtarea",J102="Duplicado evidente"),"BLOQUEADA",IF(OR(I102="Ambigua",L102&lt;1,K102&lt;1),"REVISIÓN","ELEGIBLE")))</x:f>
      </x:c>
      <x:c r="AA102" s="69" t="str">
        <x:f>IF(A102="","",IF(Z102="BLOQUEADA",0,ROUND(100*(IF(M102="",1.5,M102)+IF(N102="",1.5,N102)+IF(O102="",1.5,O102)+IF(P102="",1.5,P102))/12,1)))</x:f>
      </x:c>
      <x:c r="AB102" s="69" t="str">
        <x:f>IF(A102="","",IF(Z102="BLOQUEADA",0,ROUND(100*IF(Q102="",1.5,Q102)/3,1)))</x:f>
      </x:c>
      <x:c r="AC102" s="69" t="str">
        <x:f>IF(A102="","",IF(Z102="BLOQUEADA",0,ROUND(100*IF(R102="",1.5,R102)/3,1)))</x:f>
      </x:c>
      <x:c r="AD102" s="69" t="str">
        <x:f>IF(A102="","",IF(Z102="BLOQUEADA",0,ROUND(100*IF(S102="",1.5,S102)/3,1)))</x:f>
      </x:c>
      <x:c r="AE102" s="69" t="str">
        <x:f>IF(A102="","",IF(Z102="BLOQUEADA",0,ROUND(100*IF(T102="",1.5,T102)/3,1)))</x:f>
      </x:c>
      <x:c r="AF102" s="69" t="str">
        <x:f>IF(A102="","",IF(Z102="BLOQUEADA",0,ROUND(100*IF(U102="",1.5,U102)/3,1)))</x:f>
      </x:c>
      <x:c r="AG102" s="69" t="str">
        <x:f>IF(A102="","",ROUND(IF(Z102="BLOQUEADA",100,(X102*10)+(V102*8)+(W102*8)),1))</x:f>
      </x:c>
      <x:c r="AH102" s="69" t="str">
        <x:f>IF(A102="","",IF(Z102="BLOQUEADA",0,MAX(0,ROUND(0.30*AA102+0.20*AB102+0.15*AC102+0.15*AD102+0.10*AE102+0.10*AF102-AG102,1))))</x:f>
      </x:c>
      <x:c r="AI102" s="69" t="str">
        <x:f>IF(A102="","",IF(Z102="ELEGIBLE",RANK.EQ(AH102,$AH$2:$AH$201,0),""))</x:f>
      </x:c>
      <x:c r="AJ102" s="69" t="str">
        <x:f>IF(A102="","",IF(Z102="BLOQUEADA","No aplica",IF(Z102="REVISIÓN","Slot 8 posible: exploratorio",IF(AI102&lt;=5,"Slot 1-5: alto potencial",IF(R102&gt;=2.5,"Slot 6: handoff/dependencia",IF(S102&gt;=2.5,"Slot 7: transformación/objeto",IF(AND(K102&gt;=1,U102&gt;=2),"Slot 8 posible: exploratorio","Backlog/contexto")))))))</x:f>
      </x:c>
      <x:c r="AK102" s="69" t="str">
        <x:f>IF(A102="","",IF(Z102="BLOQUEADA","No seleccionable",IF(Z102="REVISIÓN","Revisión para slot exploratorio",IF(AI102&lt;=8,"Primaria propuesta","Contexto no primario"))))</x:f>
      </x:c>
      <x:c r="AL102" s="69" t="str">
        <x:f>IF(A102="","",IF(OR(Z102="REVISIÓN",Y102&gt;=3,V102&gt;=2),"Sí","No"))</x:f>
      </x:c>
      <x:c r="AM102" s="69" t="str">
        <x:f>IF(A102="","",IF(AK102="Primaria propuesta","Primaria propuesta",IF(AK102="Revisión para slot exploratorio","Revisión / posible primaria exploratoria",IF(AK102="No seleccionable","No seleccionable","Contexto no primario"))))</x:f>
      </x:c>
      <x:c r="AN102" s="69" t="str">
        <x:f>IF(A102="","",IF(AM102="Primaria propuesta",IF(AH102&gt;=75,"40+20 probable",IF(AH102&gt;=55,"40 base + causales selectivas","40 base + probes mínimos")),IF(AM102="Revisión / posible primaria exploratoria","B0/B0.5 reconstrucción antes de Runtime","No abre Runtime profundo")))</x:f>
      </x:c>
      <x:c r="AO102" s="69" t="str">
        <x:f>IF(A102="","",IF(Z102="BLOQUEADA","No probe",IF(AH102&gt;=75,"Alta",IF(AH102&gt;=55,"Media",IF(Z102="REVISIÓN","Exploratoria","Baja")))))</x:f>
      </x:c>
      <x:c r="AP102" s="69" t="str">
        <x:f>IF(A102="","",IF(M102="","unknown",IF(M102&gt;=2,"Prometedora","Débil / validar en B0.5-B1")))</x:f>
      </x:c>
      <x:c r="AQ102" s="69" t="str">
        <x:f>IF(A102="","",IF(N102="","unknown",IF(N102&gt;=2,"Prometedora","Débil / validar en B2")))</x:f>
      </x:c>
      <x:c r="AR102" s="69" t="str">
        <x:f>IF(A102="","",IF(O102="","unknown",IF(O102&gt;=2,"Prometedora","Débil / validar en B3-B4")))</x:f>
      </x:c>
      <x:c r="AS102" s="69" t="str">
        <x:f>IF(A102="","",IF(P102="","unknown",IF(P102&gt;=2,"Prometedora","Débil / validar en B2-B4")))</x:f>
      </x:c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 t="str">
        <x:f>IF(A103="","",COUNTBLANK(M103:P103))</x:f>
      </x:c>
      <x:c r="Z103" s="69" t="str">
        <x:f>IF(A103="","",IF(OR(E103="",G103="No",H103="No",I103="Responsabilidad genérica",I103="Demasiado amplia",I103="Microtarea",J103="Duplicado evidente"),"BLOQUEADA",IF(OR(I103="Ambigua",L103&lt;1,K103&lt;1),"REVISIÓN","ELEGIBLE")))</x:f>
      </x:c>
      <x:c r="AA103" s="69" t="str">
        <x:f>IF(A103="","",IF(Z103="BLOQUEADA",0,ROUND(100*(IF(M103="",1.5,M103)+IF(N103="",1.5,N103)+IF(O103="",1.5,O103)+IF(P103="",1.5,P103))/12,1)))</x:f>
      </x:c>
      <x:c r="AB103" s="69" t="str">
        <x:f>IF(A103="","",IF(Z103="BLOQUEADA",0,ROUND(100*IF(Q103="",1.5,Q103)/3,1)))</x:f>
      </x:c>
      <x:c r="AC103" s="69" t="str">
        <x:f>IF(A103="","",IF(Z103="BLOQUEADA",0,ROUND(100*IF(R103="",1.5,R103)/3,1)))</x:f>
      </x:c>
      <x:c r="AD103" s="69" t="str">
        <x:f>IF(A103="","",IF(Z103="BLOQUEADA",0,ROUND(100*IF(S103="",1.5,S103)/3,1)))</x:f>
      </x:c>
      <x:c r="AE103" s="69" t="str">
        <x:f>IF(A103="","",IF(Z103="BLOQUEADA",0,ROUND(100*IF(T103="",1.5,T103)/3,1)))</x:f>
      </x:c>
      <x:c r="AF103" s="69" t="str">
        <x:f>IF(A103="","",IF(Z103="BLOQUEADA",0,ROUND(100*IF(U103="",1.5,U103)/3,1)))</x:f>
      </x:c>
      <x:c r="AG103" s="69" t="str">
        <x:f>IF(A103="","",ROUND(IF(Z103="BLOQUEADA",100,(X103*10)+(V103*8)+(W103*8)),1))</x:f>
      </x:c>
      <x:c r="AH103" s="69" t="str">
        <x:f>IF(A103="","",IF(Z103="BLOQUEADA",0,MAX(0,ROUND(0.30*AA103+0.20*AB103+0.15*AC103+0.15*AD103+0.10*AE103+0.10*AF103-AG103,1))))</x:f>
      </x:c>
      <x:c r="AI103" s="69" t="str">
        <x:f>IF(A103="","",IF(Z103="ELEGIBLE",RANK.EQ(AH103,$AH$2:$AH$201,0),""))</x:f>
      </x:c>
      <x:c r="AJ103" s="69" t="str">
        <x:f>IF(A103="","",IF(Z103="BLOQUEADA","No aplica",IF(Z103="REVISIÓN","Slot 8 posible: exploratorio",IF(AI103&lt;=5,"Slot 1-5: alto potencial",IF(R103&gt;=2.5,"Slot 6: handoff/dependencia",IF(S103&gt;=2.5,"Slot 7: transformación/objeto",IF(AND(K103&gt;=1,U103&gt;=2),"Slot 8 posible: exploratorio","Backlog/contexto")))))))</x:f>
      </x:c>
      <x:c r="AK103" s="69" t="str">
        <x:f>IF(A103="","",IF(Z103="BLOQUEADA","No seleccionable",IF(Z103="REVISIÓN","Revisión para slot exploratorio",IF(AI103&lt;=8,"Primaria propuesta","Contexto no primario"))))</x:f>
      </x:c>
      <x:c r="AL103" s="69" t="str">
        <x:f>IF(A103="","",IF(OR(Z103="REVISIÓN",Y103&gt;=3,V103&gt;=2),"Sí","No"))</x:f>
      </x:c>
      <x:c r="AM103" s="69" t="str">
        <x:f>IF(A103="","",IF(AK103="Primaria propuesta","Primaria propuesta",IF(AK103="Revisión para slot exploratorio","Revisión / posible primaria exploratoria",IF(AK103="No seleccionable","No seleccionable","Contexto no primario"))))</x:f>
      </x:c>
      <x:c r="AN103" s="69" t="str">
        <x:f>IF(A103="","",IF(AM103="Primaria propuesta",IF(AH103&gt;=75,"40+20 probable",IF(AH103&gt;=55,"40 base + causales selectivas","40 base + probes mínimos")),IF(AM103="Revisión / posible primaria exploratoria","B0/B0.5 reconstrucción antes de Runtime","No abre Runtime profundo")))</x:f>
      </x:c>
      <x:c r="AO103" s="69" t="str">
        <x:f>IF(A103="","",IF(Z103="BLOQUEADA","No probe",IF(AH103&gt;=75,"Alta",IF(AH103&gt;=55,"Media",IF(Z103="REVISIÓN","Exploratoria","Baja")))))</x:f>
      </x:c>
      <x:c r="AP103" s="69" t="str">
        <x:f>IF(A103="","",IF(M103="","unknown",IF(M103&gt;=2,"Prometedora","Débil / validar en B0.5-B1")))</x:f>
      </x:c>
      <x:c r="AQ103" s="69" t="str">
        <x:f>IF(A103="","",IF(N103="","unknown",IF(N103&gt;=2,"Prometedora","Débil / validar en B2")))</x:f>
      </x:c>
      <x:c r="AR103" s="69" t="str">
        <x:f>IF(A103="","",IF(O103="","unknown",IF(O103&gt;=2,"Prometedora","Débil / validar en B3-B4")))</x:f>
      </x:c>
      <x:c r="AS103" s="69" t="str">
        <x:f>IF(A103="","",IF(P103="","unknown",IF(P103&gt;=2,"Prometedora","Débil / validar en B2-B4")))</x:f>
      </x:c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 t="str">
        <x:f>IF(A104="","",COUNTBLANK(M104:P104))</x:f>
      </x:c>
      <x:c r="Z104" s="69" t="str">
        <x:f>IF(A104="","",IF(OR(E104="",G104="No",H104="No",I104="Responsabilidad genérica",I104="Demasiado amplia",I104="Microtarea",J104="Duplicado evidente"),"BLOQUEADA",IF(OR(I104="Ambigua",L104&lt;1,K104&lt;1),"REVISIÓN","ELEGIBLE")))</x:f>
      </x:c>
      <x:c r="AA104" s="69" t="str">
        <x:f>IF(A104="","",IF(Z104="BLOQUEADA",0,ROUND(100*(IF(M104="",1.5,M104)+IF(N104="",1.5,N104)+IF(O104="",1.5,O104)+IF(P104="",1.5,P104))/12,1)))</x:f>
      </x:c>
      <x:c r="AB104" s="69" t="str">
        <x:f>IF(A104="","",IF(Z104="BLOQUEADA",0,ROUND(100*IF(Q104="",1.5,Q104)/3,1)))</x:f>
      </x:c>
      <x:c r="AC104" s="69" t="str">
        <x:f>IF(A104="","",IF(Z104="BLOQUEADA",0,ROUND(100*IF(R104="",1.5,R104)/3,1)))</x:f>
      </x:c>
      <x:c r="AD104" s="69" t="str">
        <x:f>IF(A104="","",IF(Z104="BLOQUEADA",0,ROUND(100*IF(S104="",1.5,S104)/3,1)))</x:f>
      </x:c>
      <x:c r="AE104" s="69" t="str">
        <x:f>IF(A104="","",IF(Z104="BLOQUEADA",0,ROUND(100*IF(T104="",1.5,T104)/3,1)))</x:f>
      </x:c>
      <x:c r="AF104" s="69" t="str">
        <x:f>IF(A104="","",IF(Z104="BLOQUEADA",0,ROUND(100*IF(U104="",1.5,U104)/3,1)))</x:f>
      </x:c>
      <x:c r="AG104" s="69" t="str">
        <x:f>IF(A104="","",ROUND(IF(Z104="BLOQUEADA",100,(X104*10)+(V104*8)+(W104*8)),1))</x:f>
      </x:c>
      <x:c r="AH104" s="69" t="str">
        <x:f>IF(A104="","",IF(Z104="BLOQUEADA",0,MAX(0,ROUND(0.30*AA104+0.20*AB104+0.15*AC104+0.15*AD104+0.10*AE104+0.10*AF104-AG104,1))))</x:f>
      </x:c>
      <x:c r="AI104" s="69" t="str">
        <x:f>IF(A104="","",IF(Z104="ELEGIBLE",RANK.EQ(AH104,$AH$2:$AH$201,0),""))</x:f>
      </x:c>
      <x:c r="AJ104" s="69" t="str">
        <x:f>IF(A104="","",IF(Z104="BLOQUEADA","No aplica",IF(Z104="REVISIÓN","Slot 8 posible: exploratorio",IF(AI104&lt;=5,"Slot 1-5: alto potencial",IF(R104&gt;=2.5,"Slot 6: handoff/dependencia",IF(S104&gt;=2.5,"Slot 7: transformación/objeto",IF(AND(K104&gt;=1,U104&gt;=2),"Slot 8 posible: exploratorio","Backlog/contexto")))))))</x:f>
      </x:c>
      <x:c r="AK104" s="69" t="str">
        <x:f>IF(A104="","",IF(Z104="BLOQUEADA","No seleccionable",IF(Z104="REVISIÓN","Revisión para slot exploratorio",IF(AI104&lt;=8,"Primaria propuesta","Contexto no primario"))))</x:f>
      </x:c>
      <x:c r="AL104" s="69" t="str">
        <x:f>IF(A104="","",IF(OR(Z104="REVISIÓN",Y104&gt;=3,V104&gt;=2),"Sí","No"))</x:f>
      </x:c>
      <x:c r="AM104" s="69" t="str">
        <x:f>IF(A104="","",IF(AK104="Primaria propuesta","Primaria propuesta",IF(AK104="Revisión para slot exploratorio","Revisión / posible primaria exploratoria",IF(AK104="No seleccionable","No seleccionable","Contexto no primario"))))</x:f>
      </x:c>
      <x:c r="AN104" s="69" t="str">
        <x:f>IF(A104="","",IF(AM104="Primaria propuesta",IF(AH104&gt;=75,"40+20 probable",IF(AH104&gt;=55,"40 base + causales selectivas","40 base + probes mínimos")),IF(AM104="Revisión / posible primaria exploratoria","B0/B0.5 reconstrucción antes de Runtime","No abre Runtime profundo")))</x:f>
      </x:c>
      <x:c r="AO104" s="69" t="str">
        <x:f>IF(A104="","",IF(Z104="BLOQUEADA","No probe",IF(AH104&gt;=75,"Alta",IF(AH104&gt;=55,"Media",IF(Z104="REVISIÓN","Exploratoria","Baja")))))</x:f>
      </x:c>
      <x:c r="AP104" s="69" t="str">
        <x:f>IF(A104="","",IF(M104="","unknown",IF(M104&gt;=2,"Prometedora","Débil / validar en B0.5-B1")))</x:f>
      </x:c>
      <x:c r="AQ104" s="69" t="str">
        <x:f>IF(A104="","",IF(N104="","unknown",IF(N104&gt;=2,"Prometedora","Débil / validar en B2")))</x:f>
      </x:c>
      <x:c r="AR104" s="69" t="str">
        <x:f>IF(A104="","",IF(O104="","unknown",IF(O104&gt;=2,"Prometedora","Débil / validar en B3-B4")))</x:f>
      </x:c>
      <x:c r="AS104" s="69" t="str">
        <x:f>IF(A104="","",IF(P104="","unknown",IF(P104&gt;=2,"Prometedora","Débil / validar en B2-B4")))</x:f>
      </x:c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 t="str">
        <x:f>IF(A105="","",COUNTBLANK(M105:P105))</x:f>
      </x:c>
      <x:c r="Z105" s="69" t="str">
        <x:f>IF(A105="","",IF(OR(E105="",G105="No",H105="No",I105="Responsabilidad genérica",I105="Demasiado amplia",I105="Microtarea",J105="Duplicado evidente"),"BLOQUEADA",IF(OR(I105="Ambigua",L105&lt;1,K105&lt;1),"REVISIÓN","ELEGIBLE")))</x:f>
      </x:c>
      <x:c r="AA105" s="69" t="str">
        <x:f>IF(A105="","",IF(Z105="BLOQUEADA",0,ROUND(100*(IF(M105="",1.5,M105)+IF(N105="",1.5,N105)+IF(O105="",1.5,O105)+IF(P105="",1.5,P105))/12,1)))</x:f>
      </x:c>
      <x:c r="AB105" s="69" t="str">
        <x:f>IF(A105="","",IF(Z105="BLOQUEADA",0,ROUND(100*IF(Q105="",1.5,Q105)/3,1)))</x:f>
      </x:c>
      <x:c r="AC105" s="69" t="str">
        <x:f>IF(A105="","",IF(Z105="BLOQUEADA",0,ROUND(100*IF(R105="",1.5,R105)/3,1)))</x:f>
      </x:c>
      <x:c r="AD105" s="69" t="str">
        <x:f>IF(A105="","",IF(Z105="BLOQUEADA",0,ROUND(100*IF(S105="",1.5,S105)/3,1)))</x:f>
      </x:c>
      <x:c r="AE105" s="69" t="str">
        <x:f>IF(A105="","",IF(Z105="BLOQUEADA",0,ROUND(100*IF(T105="",1.5,T105)/3,1)))</x:f>
      </x:c>
      <x:c r="AF105" s="69" t="str">
        <x:f>IF(A105="","",IF(Z105="BLOQUEADA",0,ROUND(100*IF(U105="",1.5,U105)/3,1)))</x:f>
      </x:c>
      <x:c r="AG105" s="69" t="str">
        <x:f>IF(A105="","",ROUND(IF(Z105="BLOQUEADA",100,(X105*10)+(V105*8)+(W105*8)),1))</x:f>
      </x:c>
      <x:c r="AH105" s="69" t="str">
        <x:f>IF(A105="","",IF(Z105="BLOQUEADA",0,MAX(0,ROUND(0.30*AA105+0.20*AB105+0.15*AC105+0.15*AD105+0.10*AE105+0.10*AF105-AG105,1))))</x:f>
      </x:c>
      <x:c r="AI105" s="69" t="str">
        <x:f>IF(A105="","",IF(Z105="ELEGIBLE",RANK.EQ(AH105,$AH$2:$AH$201,0),""))</x:f>
      </x:c>
      <x:c r="AJ105" s="69" t="str">
        <x:f>IF(A105="","",IF(Z105="BLOQUEADA","No aplica",IF(Z105="REVISIÓN","Slot 8 posible: exploratorio",IF(AI105&lt;=5,"Slot 1-5: alto potencial",IF(R105&gt;=2.5,"Slot 6: handoff/dependencia",IF(S105&gt;=2.5,"Slot 7: transformación/objeto",IF(AND(K105&gt;=1,U105&gt;=2),"Slot 8 posible: exploratorio","Backlog/contexto")))))))</x:f>
      </x:c>
      <x:c r="AK105" s="69" t="str">
        <x:f>IF(A105="","",IF(Z105="BLOQUEADA","No seleccionable",IF(Z105="REVISIÓN","Revisión para slot exploratorio",IF(AI105&lt;=8,"Primaria propuesta","Contexto no primario"))))</x:f>
      </x:c>
      <x:c r="AL105" s="69" t="str">
        <x:f>IF(A105="","",IF(OR(Z105="REVISIÓN",Y105&gt;=3,V105&gt;=2),"Sí","No"))</x:f>
      </x:c>
      <x:c r="AM105" s="69" t="str">
        <x:f>IF(A105="","",IF(AK105="Primaria propuesta","Primaria propuesta",IF(AK105="Revisión para slot exploratorio","Revisión / posible primaria exploratoria",IF(AK105="No seleccionable","No seleccionable","Contexto no primario"))))</x:f>
      </x:c>
      <x:c r="AN105" s="69" t="str">
        <x:f>IF(A105="","",IF(AM105="Primaria propuesta",IF(AH105&gt;=75,"40+20 probable",IF(AH105&gt;=55,"40 base + causales selectivas","40 base + probes mínimos")),IF(AM105="Revisión / posible primaria exploratoria","B0/B0.5 reconstrucción antes de Runtime","No abre Runtime profundo")))</x:f>
      </x:c>
      <x:c r="AO105" s="69" t="str">
        <x:f>IF(A105="","",IF(Z105="BLOQUEADA","No probe",IF(AH105&gt;=75,"Alta",IF(AH105&gt;=55,"Media",IF(Z105="REVISIÓN","Exploratoria","Baja")))))</x:f>
      </x:c>
      <x:c r="AP105" s="69" t="str">
        <x:f>IF(A105="","",IF(M105="","unknown",IF(M105&gt;=2,"Prometedora","Débil / validar en B0.5-B1")))</x:f>
      </x:c>
      <x:c r="AQ105" s="69" t="str">
        <x:f>IF(A105="","",IF(N105="","unknown",IF(N105&gt;=2,"Prometedora","Débil / validar en B2")))</x:f>
      </x:c>
      <x:c r="AR105" s="69" t="str">
        <x:f>IF(A105="","",IF(O105="","unknown",IF(O105&gt;=2,"Prometedora","Débil / validar en B3-B4")))</x:f>
      </x:c>
      <x:c r="AS105" s="69" t="str">
        <x:f>IF(A105="","",IF(P105="","unknown",IF(P105&gt;=2,"Prometedora","Débil / validar en B2-B4")))</x:f>
      </x:c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 t="str">
        <x:f>IF(A106="","",COUNTBLANK(M106:P106))</x:f>
      </x:c>
      <x:c r="Z106" s="69" t="str">
        <x:f>IF(A106="","",IF(OR(E106="",G106="No",H106="No",I106="Responsabilidad genérica",I106="Demasiado amplia",I106="Microtarea",J106="Duplicado evidente"),"BLOQUEADA",IF(OR(I106="Ambigua",L106&lt;1,K106&lt;1),"REVISIÓN","ELEGIBLE")))</x:f>
      </x:c>
      <x:c r="AA106" s="69" t="str">
        <x:f>IF(A106="","",IF(Z106="BLOQUEADA",0,ROUND(100*(IF(M106="",1.5,M106)+IF(N106="",1.5,N106)+IF(O106="",1.5,O106)+IF(P106="",1.5,P106))/12,1)))</x:f>
      </x:c>
      <x:c r="AB106" s="69" t="str">
        <x:f>IF(A106="","",IF(Z106="BLOQUEADA",0,ROUND(100*IF(Q106="",1.5,Q106)/3,1)))</x:f>
      </x:c>
      <x:c r="AC106" s="69" t="str">
        <x:f>IF(A106="","",IF(Z106="BLOQUEADA",0,ROUND(100*IF(R106="",1.5,R106)/3,1)))</x:f>
      </x:c>
      <x:c r="AD106" s="69" t="str">
        <x:f>IF(A106="","",IF(Z106="BLOQUEADA",0,ROUND(100*IF(S106="",1.5,S106)/3,1)))</x:f>
      </x:c>
      <x:c r="AE106" s="69" t="str">
        <x:f>IF(A106="","",IF(Z106="BLOQUEADA",0,ROUND(100*IF(T106="",1.5,T106)/3,1)))</x:f>
      </x:c>
      <x:c r="AF106" s="69" t="str">
        <x:f>IF(A106="","",IF(Z106="BLOQUEADA",0,ROUND(100*IF(U106="",1.5,U106)/3,1)))</x:f>
      </x:c>
      <x:c r="AG106" s="69" t="str">
        <x:f>IF(A106="","",ROUND(IF(Z106="BLOQUEADA",100,(X106*10)+(V106*8)+(W106*8)),1))</x:f>
      </x:c>
      <x:c r="AH106" s="69" t="str">
        <x:f>IF(A106="","",IF(Z106="BLOQUEADA",0,MAX(0,ROUND(0.30*AA106+0.20*AB106+0.15*AC106+0.15*AD106+0.10*AE106+0.10*AF106-AG106,1))))</x:f>
      </x:c>
      <x:c r="AI106" s="69" t="str">
        <x:f>IF(A106="","",IF(Z106="ELEGIBLE",RANK.EQ(AH106,$AH$2:$AH$201,0),""))</x:f>
      </x:c>
      <x:c r="AJ106" s="69" t="str">
        <x:f>IF(A106="","",IF(Z106="BLOQUEADA","No aplica",IF(Z106="REVISIÓN","Slot 8 posible: exploratorio",IF(AI106&lt;=5,"Slot 1-5: alto potencial",IF(R106&gt;=2.5,"Slot 6: handoff/dependencia",IF(S106&gt;=2.5,"Slot 7: transformación/objeto",IF(AND(K106&gt;=1,U106&gt;=2),"Slot 8 posible: exploratorio","Backlog/contexto")))))))</x:f>
      </x:c>
      <x:c r="AK106" s="69" t="str">
        <x:f>IF(A106="","",IF(Z106="BLOQUEADA","No seleccionable",IF(Z106="REVISIÓN","Revisión para slot exploratorio",IF(AI106&lt;=8,"Primaria propuesta","Contexto no primario"))))</x:f>
      </x:c>
      <x:c r="AL106" s="69" t="str">
        <x:f>IF(A106="","",IF(OR(Z106="REVISIÓN",Y106&gt;=3,V106&gt;=2),"Sí","No"))</x:f>
      </x:c>
      <x:c r="AM106" s="69" t="str">
        <x:f>IF(A106="","",IF(AK106="Primaria propuesta","Primaria propuesta",IF(AK106="Revisión para slot exploratorio","Revisión / posible primaria exploratoria",IF(AK106="No seleccionable","No seleccionable","Contexto no primario"))))</x:f>
      </x:c>
      <x:c r="AN106" s="69" t="str">
        <x:f>IF(A106="","",IF(AM106="Primaria propuesta",IF(AH106&gt;=75,"40+20 probable",IF(AH106&gt;=55,"40 base + causales selectivas","40 base + probes mínimos")),IF(AM106="Revisión / posible primaria exploratoria","B0/B0.5 reconstrucción antes de Runtime","No abre Runtime profundo")))</x:f>
      </x:c>
      <x:c r="AO106" s="69" t="str">
        <x:f>IF(A106="","",IF(Z106="BLOQUEADA","No probe",IF(AH106&gt;=75,"Alta",IF(AH106&gt;=55,"Media",IF(Z106="REVISIÓN","Exploratoria","Baja")))))</x:f>
      </x:c>
      <x:c r="AP106" s="69" t="str">
        <x:f>IF(A106="","",IF(M106="","unknown",IF(M106&gt;=2,"Prometedora","Débil / validar en B0.5-B1")))</x:f>
      </x:c>
      <x:c r="AQ106" s="69" t="str">
        <x:f>IF(A106="","",IF(N106="","unknown",IF(N106&gt;=2,"Prometedora","Débil / validar en B2")))</x:f>
      </x:c>
      <x:c r="AR106" s="69" t="str">
        <x:f>IF(A106="","",IF(O106="","unknown",IF(O106&gt;=2,"Prometedora","Débil / validar en B3-B4")))</x:f>
      </x:c>
      <x:c r="AS106" s="69" t="str">
        <x:f>IF(A106="","",IF(P106="","unknown",IF(P106&gt;=2,"Prometedora","Débil / validar en B2-B4")))</x:f>
      </x:c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 t="str">
        <x:f>IF(A107="","",COUNTBLANK(M107:P107))</x:f>
      </x:c>
      <x:c r="Z107" s="69" t="str">
        <x:f>IF(A107="","",IF(OR(E107="",G107="No",H107="No",I107="Responsabilidad genérica",I107="Demasiado amplia",I107="Microtarea",J107="Duplicado evidente"),"BLOQUEADA",IF(OR(I107="Ambigua",L107&lt;1,K107&lt;1),"REVISIÓN","ELEGIBLE")))</x:f>
      </x:c>
      <x:c r="AA107" s="69" t="str">
        <x:f>IF(A107="","",IF(Z107="BLOQUEADA",0,ROUND(100*(IF(M107="",1.5,M107)+IF(N107="",1.5,N107)+IF(O107="",1.5,O107)+IF(P107="",1.5,P107))/12,1)))</x:f>
      </x:c>
      <x:c r="AB107" s="69" t="str">
        <x:f>IF(A107="","",IF(Z107="BLOQUEADA",0,ROUND(100*IF(Q107="",1.5,Q107)/3,1)))</x:f>
      </x:c>
      <x:c r="AC107" s="69" t="str">
        <x:f>IF(A107="","",IF(Z107="BLOQUEADA",0,ROUND(100*IF(R107="",1.5,R107)/3,1)))</x:f>
      </x:c>
      <x:c r="AD107" s="69" t="str">
        <x:f>IF(A107="","",IF(Z107="BLOQUEADA",0,ROUND(100*IF(S107="",1.5,S107)/3,1)))</x:f>
      </x:c>
      <x:c r="AE107" s="69" t="str">
        <x:f>IF(A107="","",IF(Z107="BLOQUEADA",0,ROUND(100*IF(T107="",1.5,T107)/3,1)))</x:f>
      </x:c>
      <x:c r="AF107" s="69" t="str">
        <x:f>IF(A107="","",IF(Z107="BLOQUEADA",0,ROUND(100*IF(U107="",1.5,U107)/3,1)))</x:f>
      </x:c>
      <x:c r="AG107" s="69" t="str">
        <x:f>IF(A107="","",ROUND(IF(Z107="BLOQUEADA",100,(X107*10)+(V107*8)+(W107*8)),1))</x:f>
      </x:c>
      <x:c r="AH107" s="69" t="str">
        <x:f>IF(A107="","",IF(Z107="BLOQUEADA",0,MAX(0,ROUND(0.30*AA107+0.20*AB107+0.15*AC107+0.15*AD107+0.10*AE107+0.10*AF107-AG107,1))))</x:f>
      </x:c>
      <x:c r="AI107" s="69" t="str">
        <x:f>IF(A107="","",IF(Z107="ELEGIBLE",RANK.EQ(AH107,$AH$2:$AH$201,0),""))</x:f>
      </x:c>
      <x:c r="AJ107" s="69" t="str">
        <x:f>IF(A107="","",IF(Z107="BLOQUEADA","No aplica",IF(Z107="REVISIÓN","Slot 8 posible: exploratorio",IF(AI107&lt;=5,"Slot 1-5: alto potencial",IF(R107&gt;=2.5,"Slot 6: handoff/dependencia",IF(S107&gt;=2.5,"Slot 7: transformación/objeto",IF(AND(K107&gt;=1,U107&gt;=2),"Slot 8 posible: exploratorio","Backlog/contexto")))))))</x:f>
      </x:c>
      <x:c r="AK107" s="69" t="str">
        <x:f>IF(A107="","",IF(Z107="BLOQUEADA","No seleccionable",IF(Z107="REVISIÓN","Revisión para slot exploratorio",IF(AI107&lt;=8,"Primaria propuesta","Contexto no primario"))))</x:f>
      </x:c>
      <x:c r="AL107" s="69" t="str">
        <x:f>IF(A107="","",IF(OR(Z107="REVISIÓN",Y107&gt;=3,V107&gt;=2),"Sí","No"))</x:f>
      </x:c>
      <x:c r="AM107" s="69" t="str">
        <x:f>IF(A107="","",IF(AK107="Primaria propuesta","Primaria propuesta",IF(AK107="Revisión para slot exploratorio","Revisión / posible primaria exploratoria",IF(AK107="No seleccionable","No seleccionable","Contexto no primario"))))</x:f>
      </x:c>
      <x:c r="AN107" s="69" t="str">
        <x:f>IF(A107="","",IF(AM107="Primaria propuesta",IF(AH107&gt;=75,"40+20 probable",IF(AH107&gt;=55,"40 base + causales selectivas","40 base + probes mínimos")),IF(AM107="Revisión / posible primaria exploratoria","B0/B0.5 reconstrucción antes de Runtime","No abre Runtime profundo")))</x:f>
      </x:c>
      <x:c r="AO107" s="69" t="str">
        <x:f>IF(A107="","",IF(Z107="BLOQUEADA","No probe",IF(AH107&gt;=75,"Alta",IF(AH107&gt;=55,"Media",IF(Z107="REVISIÓN","Exploratoria","Baja")))))</x:f>
      </x:c>
      <x:c r="AP107" s="69" t="str">
        <x:f>IF(A107="","",IF(M107="","unknown",IF(M107&gt;=2,"Prometedora","Débil / validar en B0.5-B1")))</x:f>
      </x:c>
      <x:c r="AQ107" s="69" t="str">
        <x:f>IF(A107="","",IF(N107="","unknown",IF(N107&gt;=2,"Prometedora","Débil / validar en B2")))</x:f>
      </x:c>
      <x:c r="AR107" s="69" t="str">
        <x:f>IF(A107="","",IF(O107="","unknown",IF(O107&gt;=2,"Prometedora","Débil / validar en B3-B4")))</x:f>
      </x:c>
      <x:c r="AS107" s="69" t="str">
        <x:f>IF(A107="","",IF(P107="","unknown",IF(P107&gt;=2,"Prometedora","Débil / validar en B2-B4")))</x:f>
      </x:c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 t="str">
        <x:f>IF(A108="","",COUNTBLANK(M108:P108))</x:f>
      </x:c>
      <x:c r="Z108" s="69" t="str">
        <x:f>IF(A108="","",IF(OR(E108="",G108="No",H108="No",I108="Responsabilidad genérica",I108="Demasiado amplia",I108="Microtarea",J108="Duplicado evidente"),"BLOQUEADA",IF(OR(I108="Ambigua",L108&lt;1,K108&lt;1),"REVISIÓN","ELEGIBLE")))</x:f>
      </x:c>
      <x:c r="AA108" s="69" t="str">
        <x:f>IF(A108="","",IF(Z108="BLOQUEADA",0,ROUND(100*(IF(M108="",1.5,M108)+IF(N108="",1.5,N108)+IF(O108="",1.5,O108)+IF(P108="",1.5,P108))/12,1)))</x:f>
      </x:c>
      <x:c r="AB108" s="69" t="str">
        <x:f>IF(A108="","",IF(Z108="BLOQUEADA",0,ROUND(100*IF(Q108="",1.5,Q108)/3,1)))</x:f>
      </x:c>
      <x:c r="AC108" s="69" t="str">
        <x:f>IF(A108="","",IF(Z108="BLOQUEADA",0,ROUND(100*IF(R108="",1.5,R108)/3,1)))</x:f>
      </x:c>
      <x:c r="AD108" s="69" t="str">
        <x:f>IF(A108="","",IF(Z108="BLOQUEADA",0,ROUND(100*IF(S108="",1.5,S108)/3,1)))</x:f>
      </x:c>
      <x:c r="AE108" s="69" t="str">
        <x:f>IF(A108="","",IF(Z108="BLOQUEADA",0,ROUND(100*IF(T108="",1.5,T108)/3,1)))</x:f>
      </x:c>
      <x:c r="AF108" s="69" t="str">
        <x:f>IF(A108="","",IF(Z108="BLOQUEADA",0,ROUND(100*IF(U108="",1.5,U108)/3,1)))</x:f>
      </x:c>
      <x:c r="AG108" s="69" t="str">
        <x:f>IF(A108="","",ROUND(IF(Z108="BLOQUEADA",100,(X108*10)+(V108*8)+(W108*8)),1))</x:f>
      </x:c>
      <x:c r="AH108" s="69" t="str">
        <x:f>IF(A108="","",IF(Z108="BLOQUEADA",0,MAX(0,ROUND(0.30*AA108+0.20*AB108+0.15*AC108+0.15*AD108+0.10*AE108+0.10*AF108-AG108,1))))</x:f>
      </x:c>
      <x:c r="AI108" s="69" t="str">
        <x:f>IF(A108="","",IF(Z108="ELEGIBLE",RANK.EQ(AH108,$AH$2:$AH$201,0),""))</x:f>
      </x:c>
      <x:c r="AJ108" s="69" t="str">
        <x:f>IF(A108="","",IF(Z108="BLOQUEADA","No aplica",IF(Z108="REVISIÓN","Slot 8 posible: exploratorio",IF(AI108&lt;=5,"Slot 1-5: alto potencial",IF(R108&gt;=2.5,"Slot 6: handoff/dependencia",IF(S108&gt;=2.5,"Slot 7: transformación/objeto",IF(AND(K108&gt;=1,U108&gt;=2),"Slot 8 posible: exploratorio","Backlog/contexto")))))))</x:f>
      </x:c>
      <x:c r="AK108" s="69" t="str">
        <x:f>IF(A108="","",IF(Z108="BLOQUEADA","No seleccionable",IF(Z108="REVISIÓN","Revisión para slot exploratorio",IF(AI108&lt;=8,"Primaria propuesta","Contexto no primario"))))</x:f>
      </x:c>
      <x:c r="AL108" s="69" t="str">
        <x:f>IF(A108="","",IF(OR(Z108="REVISIÓN",Y108&gt;=3,V108&gt;=2),"Sí","No"))</x:f>
      </x:c>
      <x:c r="AM108" s="69" t="str">
        <x:f>IF(A108="","",IF(AK108="Primaria propuesta","Primaria propuesta",IF(AK108="Revisión para slot exploratorio","Revisión / posible primaria exploratoria",IF(AK108="No seleccionable","No seleccionable","Contexto no primario"))))</x:f>
      </x:c>
      <x:c r="AN108" s="69" t="str">
        <x:f>IF(A108="","",IF(AM108="Primaria propuesta",IF(AH108&gt;=75,"40+20 probable",IF(AH108&gt;=55,"40 base + causales selectivas","40 base + probes mínimos")),IF(AM108="Revisión / posible primaria exploratoria","B0/B0.5 reconstrucción antes de Runtime","No abre Runtime profundo")))</x:f>
      </x:c>
      <x:c r="AO108" s="69" t="str">
        <x:f>IF(A108="","",IF(Z108="BLOQUEADA","No probe",IF(AH108&gt;=75,"Alta",IF(AH108&gt;=55,"Media",IF(Z108="REVISIÓN","Exploratoria","Baja")))))</x:f>
      </x:c>
      <x:c r="AP108" s="69" t="str">
        <x:f>IF(A108="","",IF(M108="","unknown",IF(M108&gt;=2,"Prometedora","Débil / validar en B0.5-B1")))</x:f>
      </x:c>
      <x:c r="AQ108" s="69" t="str">
        <x:f>IF(A108="","",IF(N108="","unknown",IF(N108&gt;=2,"Prometedora","Débil / validar en B2")))</x:f>
      </x:c>
      <x:c r="AR108" s="69" t="str">
        <x:f>IF(A108="","",IF(O108="","unknown",IF(O108&gt;=2,"Prometedora","Débil / validar en B3-B4")))</x:f>
      </x:c>
      <x:c r="AS108" s="69" t="str">
        <x:f>IF(A108="","",IF(P108="","unknown",IF(P108&gt;=2,"Prometedora","Débil / validar en B2-B4")))</x:f>
      </x:c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 t="str">
        <x:f>IF(A109="","",COUNTBLANK(M109:P109))</x:f>
      </x:c>
      <x:c r="Z109" s="69" t="str">
        <x:f>IF(A109="","",IF(OR(E109="",G109="No",H109="No",I109="Responsabilidad genérica",I109="Demasiado amplia",I109="Microtarea",J109="Duplicado evidente"),"BLOQUEADA",IF(OR(I109="Ambigua",L109&lt;1,K109&lt;1),"REVISIÓN","ELEGIBLE")))</x:f>
      </x:c>
      <x:c r="AA109" s="69" t="str">
        <x:f>IF(A109="","",IF(Z109="BLOQUEADA",0,ROUND(100*(IF(M109="",1.5,M109)+IF(N109="",1.5,N109)+IF(O109="",1.5,O109)+IF(P109="",1.5,P109))/12,1)))</x:f>
      </x:c>
      <x:c r="AB109" s="69" t="str">
        <x:f>IF(A109="","",IF(Z109="BLOQUEADA",0,ROUND(100*IF(Q109="",1.5,Q109)/3,1)))</x:f>
      </x:c>
      <x:c r="AC109" s="69" t="str">
        <x:f>IF(A109="","",IF(Z109="BLOQUEADA",0,ROUND(100*IF(R109="",1.5,R109)/3,1)))</x:f>
      </x:c>
      <x:c r="AD109" s="69" t="str">
        <x:f>IF(A109="","",IF(Z109="BLOQUEADA",0,ROUND(100*IF(S109="",1.5,S109)/3,1)))</x:f>
      </x:c>
      <x:c r="AE109" s="69" t="str">
        <x:f>IF(A109="","",IF(Z109="BLOQUEADA",0,ROUND(100*IF(T109="",1.5,T109)/3,1)))</x:f>
      </x:c>
      <x:c r="AF109" s="69" t="str">
        <x:f>IF(A109="","",IF(Z109="BLOQUEADA",0,ROUND(100*IF(U109="",1.5,U109)/3,1)))</x:f>
      </x:c>
      <x:c r="AG109" s="69" t="str">
        <x:f>IF(A109="","",ROUND(IF(Z109="BLOQUEADA",100,(X109*10)+(V109*8)+(W109*8)),1))</x:f>
      </x:c>
      <x:c r="AH109" s="69" t="str">
        <x:f>IF(A109="","",IF(Z109="BLOQUEADA",0,MAX(0,ROUND(0.30*AA109+0.20*AB109+0.15*AC109+0.15*AD109+0.10*AE109+0.10*AF109-AG109,1))))</x:f>
      </x:c>
      <x:c r="AI109" s="69" t="str">
        <x:f>IF(A109="","",IF(Z109="ELEGIBLE",RANK.EQ(AH109,$AH$2:$AH$201,0),""))</x:f>
      </x:c>
      <x:c r="AJ109" s="69" t="str">
        <x:f>IF(A109="","",IF(Z109="BLOQUEADA","No aplica",IF(Z109="REVISIÓN","Slot 8 posible: exploratorio",IF(AI109&lt;=5,"Slot 1-5: alto potencial",IF(R109&gt;=2.5,"Slot 6: handoff/dependencia",IF(S109&gt;=2.5,"Slot 7: transformación/objeto",IF(AND(K109&gt;=1,U109&gt;=2),"Slot 8 posible: exploratorio","Backlog/contexto")))))))</x:f>
      </x:c>
      <x:c r="AK109" s="69" t="str">
        <x:f>IF(A109="","",IF(Z109="BLOQUEADA","No seleccionable",IF(Z109="REVISIÓN","Revisión para slot exploratorio",IF(AI109&lt;=8,"Primaria propuesta","Contexto no primario"))))</x:f>
      </x:c>
      <x:c r="AL109" s="69" t="str">
        <x:f>IF(A109="","",IF(OR(Z109="REVISIÓN",Y109&gt;=3,V109&gt;=2),"Sí","No"))</x:f>
      </x:c>
      <x:c r="AM109" s="69" t="str">
        <x:f>IF(A109="","",IF(AK109="Primaria propuesta","Primaria propuesta",IF(AK109="Revisión para slot exploratorio","Revisión / posible primaria exploratoria",IF(AK109="No seleccionable","No seleccionable","Contexto no primario"))))</x:f>
      </x:c>
      <x:c r="AN109" s="69" t="str">
        <x:f>IF(A109="","",IF(AM109="Primaria propuesta",IF(AH109&gt;=75,"40+20 probable",IF(AH109&gt;=55,"40 base + causales selectivas","40 base + probes mínimos")),IF(AM109="Revisión / posible primaria exploratoria","B0/B0.5 reconstrucción antes de Runtime","No abre Runtime profundo")))</x:f>
      </x:c>
      <x:c r="AO109" s="69" t="str">
        <x:f>IF(A109="","",IF(Z109="BLOQUEADA","No probe",IF(AH109&gt;=75,"Alta",IF(AH109&gt;=55,"Media",IF(Z109="REVISIÓN","Exploratoria","Baja")))))</x:f>
      </x:c>
      <x:c r="AP109" s="69" t="str">
        <x:f>IF(A109="","",IF(M109="","unknown",IF(M109&gt;=2,"Prometedora","Débil / validar en B0.5-B1")))</x:f>
      </x:c>
      <x:c r="AQ109" s="69" t="str">
        <x:f>IF(A109="","",IF(N109="","unknown",IF(N109&gt;=2,"Prometedora","Débil / validar en B2")))</x:f>
      </x:c>
      <x:c r="AR109" s="69" t="str">
        <x:f>IF(A109="","",IF(O109="","unknown",IF(O109&gt;=2,"Prometedora","Débil / validar en B3-B4")))</x:f>
      </x:c>
      <x:c r="AS109" s="69" t="str">
        <x:f>IF(A109="","",IF(P109="","unknown",IF(P109&gt;=2,"Prometedora","Débil / validar en B2-B4")))</x:f>
      </x:c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 t="str">
        <x:f>IF(A110="","",COUNTBLANK(M110:P110))</x:f>
      </x:c>
      <x:c r="Z110" s="69" t="str">
        <x:f>IF(A110="","",IF(OR(E110="",G110="No",H110="No",I110="Responsabilidad genérica",I110="Demasiado amplia",I110="Microtarea",J110="Duplicado evidente"),"BLOQUEADA",IF(OR(I110="Ambigua",L110&lt;1,K110&lt;1),"REVISIÓN","ELEGIBLE")))</x:f>
      </x:c>
      <x:c r="AA110" s="69" t="str">
        <x:f>IF(A110="","",IF(Z110="BLOQUEADA",0,ROUND(100*(IF(M110="",1.5,M110)+IF(N110="",1.5,N110)+IF(O110="",1.5,O110)+IF(P110="",1.5,P110))/12,1)))</x:f>
      </x:c>
      <x:c r="AB110" s="69" t="str">
        <x:f>IF(A110="","",IF(Z110="BLOQUEADA",0,ROUND(100*IF(Q110="",1.5,Q110)/3,1)))</x:f>
      </x:c>
      <x:c r="AC110" s="69" t="str">
        <x:f>IF(A110="","",IF(Z110="BLOQUEADA",0,ROUND(100*IF(R110="",1.5,R110)/3,1)))</x:f>
      </x:c>
      <x:c r="AD110" s="69" t="str">
        <x:f>IF(A110="","",IF(Z110="BLOQUEADA",0,ROUND(100*IF(S110="",1.5,S110)/3,1)))</x:f>
      </x:c>
      <x:c r="AE110" s="69" t="str">
        <x:f>IF(A110="","",IF(Z110="BLOQUEADA",0,ROUND(100*IF(T110="",1.5,T110)/3,1)))</x:f>
      </x:c>
      <x:c r="AF110" s="69" t="str">
        <x:f>IF(A110="","",IF(Z110="BLOQUEADA",0,ROUND(100*IF(U110="",1.5,U110)/3,1)))</x:f>
      </x:c>
      <x:c r="AG110" s="69" t="str">
        <x:f>IF(A110="","",ROUND(IF(Z110="BLOQUEADA",100,(X110*10)+(V110*8)+(W110*8)),1))</x:f>
      </x:c>
      <x:c r="AH110" s="69" t="str">
        <x:f>IF(A110="","",IF(Z110="BLOQUEADA",0,MAX(0,ROUND(0.30*AA110+0.20*AB110+0.15*AC110+0.15*AD110+0.10*AE110+0.10*AF110-AG110,1))))</x:f>
      </x:c>
      <x:c r="AI110" s="69" t="str">
        <x:f>IF(A110="","",IF(Z110="ELEGIBLE",RANK.EQ(AH110,$AH$2:$AH$201,0),""))</x:f>
      </x:c>
      <x:c r="AJ110" s="69" t="str">
        <x:f>IF(A110="","",IF(Z110="BLOQUEADA","No aplica",IF(Z110="REVISIÓN","Slot 8 posible: exploratorio",IF(AI110&lt;=5,"Slot 1-5: alto potencial",IF(R110&gt;=2.5,"Slot 6: handoff/dependencia",IF(S110&gt;=2.5,"Slot 7: transformación/objeto",IF(AND(K110&gt;=1,U110&gt;=2),"Slot 8 posible: exploratorio","Backlog/contexto")))))))</x:f>
      </x:c>
      <x:c r="AK110" s="69" t="str">
        <x:f>IF(A110="","",IF(Z110="BLOQUEADA","No seleccionable",IF(Z110="REVISIÓN","Revisión para slot exploratorio",IF(AI110&lt;=8,"Primaria propuesta","Contexto no primario"))))</x:f>
      </x:c>
      <x:c r="AL110" s="69" t="str">
        <x:f>IF(A110="","",IF(OR(Z110="REVISIÓN",Y110&gt;=3,V110&gt;=2),"Sí","No"))</x:f>
      </x:c>
      <x:c r="AM110" s="69" t="str">
        <x:f>IF(A110="","",IF(AK110="Primaria propuesta","Primaria propuesta",IF(AK110="Revisión para slot exploratorio","Revisión / posible primaria exploratoria",IF(AK110="No seleccionable","No seleccionable","Contexto no primario"))))</x:f>
      </x:c>
      <x:c r="AN110" s="69" t="str">
        <x:f>IF(A110="","",IF(AM110="Primaria propuesta",IF(AH110&gt;=75,"40+20 probable",IF(AH110&gt;=55,"40 base + causales selectivas","40 base + probes mínimos")),IF(AM110="Revisión / posible primaria exploratoria","B0/B0.5 reconstrucción antes de Runtime","No abre Runtime profundo")))</x:f>
      </x:c>
      <x:c r="AO110" s="69" t="str">
        <x:f>IF(A110="","",IF(Z110="BLOQUEADA","No probe",IF(AH110&gt;=75,"Alta",IF(AH110&gt;=55,"Media",IF(Z110="REVISIÓN","Exploratoria","Baja")))))</x:f>
      </x:c>
      <x:c r="AP110" s="69" t="str">
        <x:f>IF(A110="","",IF(M110="","unknown",IF(M110&gt;=2,"Prometedora","Débil / validar en B0.5-B1")))</x:f>
      </x:c>
      <x:c r="AQ110" s="69" t="str">
        <x:f>IF(A110="","",IF(N110="","unknown",IF(N110&gt;=2,"Prometedora","Débil / validar en B2")))</x:f>
      </x:c>
      <x:c r="AR110" s="69" t="str">
        <x:f>IF(A110="","",IF(O110="","unknown",IF(O110&gt;=2,"Prometedora","Débil / validar en B3-B4")))</x:f>
      </x:c>
      <x:c r="AS110" s="69" t="str">
        <x:f>IF(A110="","",IF(P110="","unknown",IF(P110&gt;=2,"Prometedora","Débil / validar en B2-B4")))</x:f>
      </x:c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 t="str">
        <x:f>IF(A111="","",COUNTBLANK(M111:P111))</x:f>
      </x:c>
      <x:c r="Z111" s="69" t="str">
        <x:f>IF(A111="","",IF(OR(E111="",G111="No",H111="No",I111="Responsabilidad genérica",I111="Demasiado amplia",I111="Microtarea",J111="Duplicado evidente"),"BLOQUEADA",IF(OR(I111="Ambigua",L111&lt;1,K111&lt;1),"REVISIÓN","ELEGIBLE")))</x:f>
      </x:c>
      <x:c r="AA111" s="69" t="str">
        <x:f>IF(A111="","",IF(Z111="BLOQUEADA",0,ROUND(100*(IF(M111="",1.5,M111)+IF(N111="",1.5,N111)+IF(O111="",1.5,O111)+IF(P111="",1.5,P111))/12,1)))</x:f>
      </x:c>
      <x:c r="AB111" s="69" t="str">
        <x:f>IF(A111="","",IF(Z111="BLOQUEADA",0,ROUND(100*IF(Q111="",1.5,Q111)/3,1)))</x:f>
      </x:c>
      <x:c r="AC111" s="69" t="str">
        <x:f>IF(A111="","",IF(Z111="BLOQUEADA",0,ROUND(100*IF(R111="",1.5,R111)/3,1)))</x:f>
      </x:c>
      <x:c r="AD111" s="69" t="str">
        <x:f>IF(A111="","",IF(Z111="BLOQUEADA",0,ROUND(100*IF(S111="",1.5,S111)/3,1)))</x:f>
      </x:c>
      <x:c r="AE111" s="69" t="str">
        <x:f>IF(A111="","",IF(Z111="BLOQUEADA",0,ROUND(100*IF(T111="",1.5,T111)/3,1)))</x:f>
      </x:c>
      <x:c r="AF111" s="69" t="str">
        <x:f>IF(A111="","",IF(Z111="BLOQUEADA",0,ROUND(100*IF(U111="",1.5,U111)/3,1)))</x:f>
      </x:c>
      <x:c r="AG111" s="69" t="str">
        <x:f>IF(A111="","",ROUND(IF(Z111="BLOQUEADA",100,(X111*10)+(V111*8)+(W111*8)),1))</x:f>
      </x:c>
      <x:c r="AH111" s="69" t="str">
        <x:f>IF(A111="","",IF(Z111="BLOQUEADA",0,MAX(0,ROUND(0.30*AA111+0.20*AB111+0.15*AC111+0.15*AD111+0.10*AE111+0.10*AF111-AG111,1))))</x:f>
      </x:c>
      <x:c r="AI111" s="69" t="str">
        <x:f>IF(A111="","",IF(Z111="ELEGIBLE",RANK.EQ(AH111,$AH$2:$AH$201,0),""))</x:f>
      </x:c>
      <x:c r="AJ111" s="69" t="str">
        <x:f>IF(A111="","",IF(Z111="BLOQUEADA","No aplica",IF(Z111="REVISIÓN","Slot 8 posible: exploratorio",IF(AI111&lt;=5,"Slot 1-5: alto potencial",IF(R111&gt;=2.5,"Slot 6: handoff/dependencia",IF(S111&gt;=2.5,"Slot 7: transformación/objeto",IF(AND(K111&gt;=1,U111&gt;=2),"Slot 8 posible: exploratorio","Backlog/contexto")))))))</x:f>
      </x:c>
      <x:c r="AK111" s="69" t="str">
        <x:f>IF(A111="","",IF(Z111="BLOQUEADA","No seleccionable",IF(Z111="REVISIÓN","Revisión para slot exploratorio",IF(AI111&lt;=8,"Primaria propuesta","Contexto no primario"))))</x:f>
      </x:c>
      <x:c r="AL111" s="69" t="str">
        <x:f>IF(A111="","",IF(OR(Z111="REVISIÓN",Y111&gt;=3,V111&gt;=2),"Sí","No"))</x:f>
      </x:c>
      <x:c r="AM111" s="69" t="str">
        <x:f>IF(A111="","",IF(AK111="Primaria propuesta","Primaria propuesta",IF(AK111="Revisión para slot exploratorio","Revisión / posible primaria exploratoria",IF(AK111="No seleccionable","No seleccionable","Contexto no primario"))))</x:f>
      </x:c>
      <x:c r="AN111" s="69" t="str">
        <x:f>IF(A111="","",IF(AM111="Primaria propuesta",IF(AH111&gt;=75,"40+20 probable",IF(AH111&gt;=55,"40 base + causales selectivas","40 base + probes mínimos")),IF(AM111="Revisión / posible primaria exploratoria","B0/B0.5 reconstrucción antes de Runtime","No abre Runtime profundo")))</x:f>
      </x:c>
      <x:c r="AO111" s="69" t="str">
        <x:f>IF(A111="","",IF(Z111="BLOQUEADA","No probe",IF(AH111&gt;=75,"Alta",IF(AH111&gt;=55,"Media",IF(Z111="REVISIÓN","Exploratoria","Baja")))))</x:f>
      </x:c>
      <x:c r="AP111" s="69" t="str">
        <x:f>IF(A111="","",IF(M111="","unknown",IF(M111&gt;=2,"Prometedora","Débil / validar en B0.5-B1")))</x:f>
      </x:c>
      <x:c r="AQ111" s="69" t="str">
        <x:f>IF(A111="","",IF(N111="","unknown",IF(N111&gt;=2,"Prometedora","Débil / validar en B2")))</x:f>
      </x:c>
      <x:c r="AR111" s="69" t="str">
        <x:f>IF(A111="","",IF(O111="","unknown",IF(O111&gt;=2,"Prometedora","Débil / validar en B3-B4")))</x:f>
      </x:c>
      <x:c r="AS111" s="69" t="str">
        <x:f>IF(A111="","",IF(P111="","unknown",IF(P111&gt;=2,"Prometedora","Débil / validar en B2-B4")))</x:f>
      </x:c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 t="str">
        <x:f>IF(A112="","",COUNTBLANK(M112:P112))</x:f>
      </x:c>
      <x:c r="Z112" s="69" t="str">
        <x:f>IF(A112="","",IF(OR(E112="",G112="No",H112="No",I112="Responsabilidad genérica",I112="Demasiado amplia",I112="Microtarea",J112="Duplicado evidente"),"BLOQUEADA",IF(OR(I112="Ambigua",L112&lt;1,K112&lt;1),"REVISIÓN","ELEGIBLE")))</x:f>
      </x:c>
      <x:c r="AA112" s="69" t="str">
        <x:f>IF(A112="","",IF(Z112="BLOQUEADA",0,ROUND(100*(IF(M112="",1.5,M112)+IF(N112="",1.5,N112)+IF(O112="",1.5,O112)+IF(P112="",1.5,P112))/12,1)))</x:f>
      </x:c>
      <x:c r="AB112" s="69" t="str">
        <x:f>IF(A112="","",IF(Z112="BLOQUEADA",0,ROUND(100*IF(Q112="",1.5,Q112)/3,1)))</x:f>
      </x:c>
      <x:c r="AC112" s="69" t="str">
        <x:f>IF(A112="","",IF(Z112="BLOQUEADA",0,ROUND(100*IF(R112="",1.5,R112)/3,1)))</x:f>
      </x:c>
      <x:c r="AD112" s="69" t="str">
        <x:f>IF(A112="","",IF(Z112="BLOQUEADA",0,ROUND(100*IF(S112="",1.5,S112)/3,1)))</x:f>
      </x:c>
      <x:c r="AE112" s="69" t="str">
        <x:f>IF(A112="","",IF(Z112="BLOQUEADA",0,ROUND(100*IF(T112="",1.5,T112)/3,1)))</x:f>
      </x:c>
      <x:c r="AF112" s="69" t="str">
        <x:f>IF(A112="","",IF(Z112="BLOQUEADA",0,ROUND(100*IF(U112="",1.5,U112)/3,1)))</x:f>
      </x:c>
      <x:c r="AG112" s="69" t="str">
        <x:f>IF(A112="","",ROUND(IF(Z112="BLOQUEADA",100,(X112*10)+(V112*8)+(W112*8)),1))</x:f>
      </x:c>
      <x:c r="AH112" s="69" t="str">
        <x:f>IF(A112="","",IF(Z112="BLOQUEADA",0,MAX(0,ROUND(0.30*AA112+0.20*AB112+0.15*AC112+0.15*AD112+0.10*AE112+0.10*AF112-AG112,1))))</x:f>
      </x:c>
      <x:c r="AI112" s="69" t="str">
        <x:f>IF(A112="","",IF(Z112="ELEGIBLE",RANK.EQ(AH112,$AH$2:$AH$201,0),""))</x:f>
      </x:c>
      <x:c r="AJ112" s="69" t="str">
        <x:f>IF(A112="","",IF(Z112="BLOQUEADA","No aplica",IF(Z112="REVISIÓN","Slot 8 posible: exploratorio",IF(AI112&lt;=5,"Slot 1-5: alto potencial",IF(R112&gt;=2.5,"Slot 6: handoff/dependencia",IF(S112&gt;=2.5,"Slot 7: transformación/objeto",IF(AND(K112&gt;=1,U112&gt;=2),"Slot 8 posible: exploratorio","Backlog/contexto")))))))</x:f>
      </x:c>
      <x:c r="AK112" s="69" t="str">
        <x:f>IF(A112="","",IF(Z112="BLOQUEADA","No seleccionable",IF(Z112="REVISIÓN","Revisión para slot exploratorio",IF(AI112&lt;=8,"Primaria propuesta","Contexto no primario"))))</x:f>
      </x:c>
      <x:c r="AL112" s="69" t="str">
        <x:f>IF(A112="","",IF(OR(Z112="REVISIÓN",Y112&gt;=3,V112&gt;=2),"Sí","No"))</x:f>
      </x:c>
      <x:c r="AM112" s="69" t="str">
        <x:f>IF(A112="","",IF(AK112="Primaria propuesta","Primaria propuesta",IF(AK112="Revisión para slot exploratorio","Revisión / posible primaria exploratoria",IF(AK112="No seleccionable","No seleccionable","Contexto no primario"))))</x:f>
      </x:c>
      <x:c r="AN112" s="69" t="str">
        <x:f>IF(A112="","",IF(AM112="Primaria propuesta",IF(AH112&gt;=75,"40+20 probable",IF(AH112&gt;=55,"40 base + causales selectivas","40 base + probes mínimos")),IF(AM112="Revisión / posible primaria exploratoria","B0/B0.5 reconstrucción antes de Runtime","No abre Runtime profundo")))</x:f>
      </x:c>
      <x:c r="AO112" s="69" t="str">
        <x:f>IF(A112="","",IF(Z112="BLOQUEADA","No probe",IF(AH112&gt;=75,"Alta",IF(AH112&gt;=55,"Media",IF(Z112="REVISIÓN","Exploratoria","Baja")))))</x:f>
      </x:c>
      <x:c r="AP112" s="69" t="str">
        <x:f>IF(A112="","",IF(M112="","unknown",IF(M112&gt;=2,"Prometedora","Débil / validar en B0.5-B1")))</x:f>
      </x:c>
      <x:c r="AQ112" s="69" t="str">
        <x:f>IF(A112="","",IF(N112="","unknown",IF(N112&gt;=2,"Prometedora","Débil / validar en B2")))</x:f>
      </x:c>
      <x:c r="AR112" s="69" t="str">
        <x:f>IF(A112="","",IF(O112="","unknown",IF(O112&gt;=2,"Prometedora","Débil / validar en B3-B4")))</x:f>
      </x:c>
      <x:c r="AS112" s="69" t="str">
        <x:f>IF(A112="","",IF(P112="","unknown",IF(P112&gt;=2,"Prometedora","Débil / validar en B2-B4")))</x:f>
      </x:c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 t="str">
        <x:f>IF(A113="","",COUNTBLANK(M113:P113))</x:f>
      </x:c>
      <x:c r="Z113" s="69" t="str">
        <x:f>IF(A113="","",IF(OR(E113="",G113="No",H113="No",I113="Responsabilidad genérica",I113="Demasiado amplia",I113="Microtarea",J113="Duplicado evidente"),"BLOQUEADA",IF(OR(I113="Ambigua",L113&lt;1,K113&lt;1),"REVISIÓN","ELEGIBLE")))</x:f>
      </x:c>
      <x:c r="AA113" s="69" t="str">
        <x:f>IF(A113="","",IF(Z113="BLOQUEADA",0,ROUND(100*(IF(M113="",1.5,M113)+IF(N113="",1.5,N113)+IF(O113="",1.5,O113)+IF(P113="",1.5,P113))/12,1)))</x:f>
      </x:c>
      <x:c r="AB113" s="69" t="str">
        <x:f>IF(A113="","",IF(Z113="BLOQUEADA",0,ROUND(100*IF(Q113="",1.5,Q113)/3,1)))</x:f>
      </x:c>
      <x:c r="AC113" s="69" t="str">
        <x:f>IF(A113="","",IF(Z113="BLOQUEADA",0,ROUND(100*IF(R113="",1.5,R113)/3,1)))</x:f>
      </x:c>
      <x:c r="AD113" s="69" t="str">
        <x:f>IF(A113="","",IF(Z113="BLOQUEADA",0,ROUND(100*IF(S113="",1.5,S113)/3,1)))</x:f>
      </x:c>
      <x:c r="AE113" s="69" t="str">
        <x:f>IF(A113="","",IF(Z113="BLOQUEADA",0,ROUND(100*IF(T113="",1.5,T113)/3,1)))</x:f>
      </x:c>
      <x:c r="AF113" s="69" t="str">
        <x:f>IF(A113="","",IF(Z113="BLOQUEADA",0,ROUND(100*IF(U113="",1.5,U113)/3,1)))</x:f>
      </x:c>
      <x:c r="AG113" s="69" t="str">
        <x:f>IF(A113="","",ROUND(IF(Z113="BLOQUEADA",100,(X113*10)+(V113*8)+(W113*8)),1))</x:f>
      </x:c>
      <x:c r="AH113" s="69" t="str">
        <x:f>IF(A113="","",IF(Z113="BLOQUEADA",0,MAX(0,ROUND(0.30*AA113+0.20*AB113+0.15*AC113+0.15*AD113+0.10*AE113+0.10*AF113-AG113,1))))</x:f>
      </x:c>
      <x:c r="AI113" s="69" t="str">
        <x:f>IF(A113="","",IF(Z113="ELEGIBLE",RANK.EQ(AH113,$AH$2:$AH$201,0),""))</x:f>
      </x:c>
      <x:c r="AJ113" s="69" t="str">
        <x:f>IF(A113="","",IF(Z113="BLOQUEADA","No aplica",IF(Z113="REVISIÓN","Slot 8 posible: exploratorio",IF(AI113&lt;=5,"Slot 1-5: alto potencial",IF(R113&gt;=2.5,"Slot 6: handoff/dependencia",IF(S113&gt;=2.5,"Slot 7: transformación/objeto",IF(AND(K113&gt;=1,U113&gt;=2),"Slot 8 posible: exploratorio","Backlog/contexto")))))))</x:f>
      </x:c>
      <x:c r="AK113" s="69" t="str">
        <x:f>IF(A113="","",IF(Z113="BLOQUEADA","No seleccionable",IF(Z113="REVISIÓN","Revisión para slot exploratorio",IF(AI113&lt;=8,"Primaria propuesta","Contexto no primario"))))</x:f>
      </x:c>
      <x:c r="AL113" s="69" t="str">
        <x:f>IF(A113="","",IF(OR(Z113="REVISIÓN",Y113&gt;=3,V113&gt;=2),"Sí","No"))</x:f>
      </x:c>
      <x:c r="AM113" s="69" t="str">
        <x:f>IF(A113="","",IF(AK113="Primaria propuesta","Primaria propuesta",IF(AK113="Revisión para slot exploratorio","Revisión / posible primaria exploratoria",IF(AK113="No seleccionable","No seleccionable","Contexto no primario"))))</x:f>
      </x:c>
      <x:c r="AN113" s="69" t="str">
        <x:f>IF(A113="","",IF(AM113="Primaria propuesta",IF(AH113&gt;=75,"40+20 probable",IF(AH113&gt;=55,"40 base + causales selectivas","40 base + probes mínimos")),IF(AM113="Revisión / posible primaria exploratoria","B0/B0.5 reconstrucción antes de Runtime","No abre Runtime profundo")))</x:f>
      </x:c>
      <x:c r="AO113" s="69" t="str">
        <x:f>IF(A113="","",IF(Z113="BLOQUEADA","No probe",IF(AH113&gt;=75,"Alta",IF(AH113&gt;=55,"Media",IF(Z113="REVISIÓN","Exploratoria","Baja")))))</x:f>
      </x:c>
      <x:c r="AP113" s="69" t="str">
        <x:f>IF(A113="","",IF(M113="","unknown",IF(M113&gt;=2,"Prometedora","Débil / validar en B0.5-B1")))</x:f>
      </x:c>
      <x:c r="AQ113" s="69" t="str">
        <x:f>IF(A113="","",IF(N113="","unknown",IF(N113&gt;=2,"Prometedora","Débil / validar en B2")))</x:f>
      </x:c>
      <x:c r="AR113" s="69" t="str">
        <x:f>IF(A113="","",IF(O113="","unknown",IF(O113&gt;=2,"Prometedora","Débil / validar en B3-B4")))</x:f>
      </x:c>
      <x:c r="AS113" s="69" t="str">
        <x:f>IF(A113="","",IF(P113="","unknown",IF(P113&gt;=2,"Prometedora","Débil / validar en B2-B4")))</x:f>
      </x:c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 t="str">
        <x:f>IF(A114="","",COUNTBLANK(M114:P114))</x:f>
      </x:c>
      <x:c r="Z114" s="69" t="str">
        <x:f>IF(A114="","",IF(OR(E114="",G114="No",H114="No",I114="Responsabilidad genérica",I114="Demasiado amplia",I114="Microtarea",J114="Duplicado evidente"),"BLOQUEADA",IF(OR(I114="Ambigua",L114&lt;1,K114&lt;1),"REVISIÓN","ELEGIBLE")))</x:f>
      </x:c>
      <x:c r="AA114" s="69" t="str">
        <x:f>IF(A114="","",IF(Z114="BLOQUEADA",0,ROUND(100*(IF(M114="",1.5,M114)+IF(N114="",1.5,N114)+IF(O114="",1.5,O114)+IF(P114="",1.5,P114))/12,1)))</x:f>
      </x:c>
      <x:c r="AB114" s="69" t="str">
        <x:f>IF(A114="","",IF(Z114="BLOQUEADA",0,ROUND(100*IF(Q114="",1.5,Q114)/3,1)))</x:f>
      </x:c>
      <x:c r="AC114" s="69" t="str">
        <x:f>IF(A114="","",IF(Z114="BLOQUEADA",0,ROUND(100*IF(R114="",1.5,R114)/3,1)))</x:f>
      </x:c>
      <x:c r="AD114" s="69" t="str">
        <x:f>IF(A114="","",IF(Z114="BLOQUEADA",0,ROUND(100*IF(S114="",1.5,S114)/3,1)))</x:f>
      </x:c>
      <x:c r="AE114" s="69" t="str">
        <x:f>IF(A114="","",IF(Z114="BLOQUEADA",0,ROUND(100*IF(T114="",1.5,T114)/3,1)))</x:f>
      </x:c>
      <x:c r="AF114" s="69" t="str">
        <x:f>IF(A114="","",IF(Z114="BLOQUEADA",0,ROUND(100*IF(U114="",1.5,U114)/3,1)))</x:f>
      </x:c>
      <x:c r="AG114" s="69" t="str">
        <x:f>IF(A114="","",ROUND(IF(Z114="BLOQUEADA",100,(X114*10)+(V114*8)+(W114*8)),1))</x:f>
      </x:c>
      <x:c r="AH114" s="69" t="str">
        <x:f>IF(A114="","",IF(Z114="BLOQUEADA",0,MAX(0,ROUND(0.30*AA114+0.20*AB114+0.15*AC114+0.15*AD114+0.10*AE114+0.10*AF114-AG114,1))))</x:f>
      </x:c>
      <x:c r="AI114" s="69" t="str">
        <x:f>IF(A114="","",IF(Z114="ELEGIBLE",RANK.EQ(AH114,$AH$2:$AH$201,0),""))</x:f>
      </x:c>
      <x:c r="AJ114" s="69" t="str">
        <x:f>IF(A114="","",IF(Z114="BLOQUEADA","No aplica",IF(Z114="REVISIÓN","Slot 8 posible: exploratorio",IF(AI114&lt;=5,"Slot 1-5: alto potencial",IF(R114&gt;=2.5,"Slot 6: handoff/dependencia",IF(S114&gt;=2.5,"Slot 7: transformación/objeto",IF(AND(K114&gt;=1,U114&gt;=2),"Slot 8 posible: exploratorio","Backlog/contexto")))))))</x:f>
      </x:c>
      <x:c r="AK114" s="69" t="str">
        <x:f>IF(A114="","",IF(Z114="BLOQUEADA","No seleccionable",IF(Z114="REVISIÓN","Revisión para slot exploratorio",IF(AI114&lt;=8,"Primaria propuesta","Contexto no primario"))))</x:f>
      </x:c>
      <x:c r="AL114" s="69" t="str">
        <x:f>IF(A114="","",IF(OR(Z114="REVISIÓN",Y114&gt;=3,V114&gt;=2),"Sí","No"))</x:f>
      </x:c>
      <x:c r="AM114" s="69" t="str">
        <x:f>IF(A114="","",IF(AK114="Primaria propuesta","Primaria propuesta",IF(AK114="Revisión para slot exploratorio","Revisión / posible primaria exploratoria",IF(AK114="No seleccionable","No seleccionable","Contexto no primario"))))</x:f>
      </x:c>
      <x:c r="AN114" s="69" t="str">
        <x:f>IF(A114="","",IF(AM114="Primaria propuesta",IF(AH114&gt;=75,"40+20 probable",IF(AH114&gt;=55,"40 base + causales selectivas","40 base + probes mínimos")),IF(AM114="Revisión / posible primaria exploratoria","B0/B0.5 reconstrucción antes de Runtime","No abre Runtime profundo")))</x:f>
      </x:c>
      <x:c r="AO114" s="69" t="str">
        <x:f>IF(A114="","",IF(Z114="BLOQUEADA","No probe",IF(AH114&gt;=75,"Alta",IF(AH114&gt;=55,"Media",IF(Z114="REVISIÓN","Exploratoria","Baja")))))</x:f>
      </x:c>
      <x:c r="AP114" s="69" t="str">
        <x:f>IF(A114="","",IF(M114="","unknown",IF(M114&gt;=2,"Prometedora","Débil / validar en B0.5-B1")))</x:f>
      </x:c>
      <x:c r="AQ114" s="69" t="str">
        <x:f>IF(A114="","",IF(N114="","unknown",IF(N114&gt;=2,"Prometedora","Débil / validar en B2")))</x:f>
      </x:c>
      <x:c r="AR114" s="69" t="str">
        <x:f>IF(A114="","",IF(O114="","unknown",IF(O114&gt;=2,"Prometedora","Débil / validar en B3-B4")))</x:f>
      </x:c>
      <x:c r="AS114" s="69" t="str">
        <x:f>IF(A114="","",IF(P114="","unknown",IF(P114&gt;=2,"Prometedora","Débil / validar en B2-B4")))</x:f>
      </x:c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 t="str">
        <x:f>IF(A115="","",COUNTBLANK(M115:P115))</x:f>
      </x:c>
      <x:c r="Z115" s="69" t="str">
        <x:f>IF(A115="","",IF(OR(E115="",G115="No",H115="No",I115="Responsabilidad genérica",I115="Demasiado amplia",I115="Microtarea",J115="Duplicado evidente"),"BLOQUEADA",IF(OR(I115="Ambigua",L115&lt;1,K115&lt;1),"REVISIÓN","ELEGIBLE")))</x:f>
      </x:c>
      <x:c r="AA115" s="69" t="str">
        <x:f>IF(A115="","",IF(Z115="BLOQUEADA",0,ROUND(100*(IF(M115="",1.5,M115)+IF(N115="",1.5,N115)+IF(O115="",1.5,O115)+IF(P115="",1.5,P115))/12,1)))</x:f>
      </x:c>
      <x:c r="AB115" s="69" t="str">
        <x:f>IF(A115="","",IF(Z115="BLOQUEADA",0,ROUND(100*IF(Q115="",1.5,Q115)/3,1)))</x:f>
      </x:c>
      <x:c r="AC115" s="69" t="str">
        <x:f>IF(A115="","",IF(Z115="BLOQUEADA",0,ROUND(100*IF(R115="",1.5,R115)/3,1)))</x:f>
      </x:c>
      <x:c r="AD115" s="69" t="str">
        <x:f>IF(A115="","",IF(Z115="BLOQUEADA",0,ROUND(100*IF(S115="",1.5,S115)/3,1)))</x:f>
      </x:c>
      <x:c r="AE115" s="69" t="str">
        <x:f>IF(A115="","",IF(Z115="BLOQUEADA",0,ROUND(100*IF(T115="",1.5,T115)/3,1)))</x:f>
      </x:c>
      <x:c r="AF115" s="69" t="str">
        <x:f>IF(A115="","",IF(Z115="BLOQUEADA",0,ROUND(100*IF(U115="",1.5,U115)/3,1)))</x:f>
      </x:c>
      <x:c r="AG115" s="69" t="str">
        <x:f>IF(A115="","",ROUND(IF(Z115="BLOQUEADA",100,(X115*10)+(V115*8)+(W115*8)),1))</x:f>
      </x:c>
      <x:c r="AH115" s="69" t="str">
        <x:f>IF(A115="","",IF(Z115="BLOQUEADA",0,MAX(0,ROUND(0.30*AA115+0.20*AB115+0.15*AC115+0.15*AD115+0.10*AE115+0.10*AF115-AG115,1))))</x:f>
      </x:c>
      <x:c r="AI115" s="69" t="str">
        <x:f>IF(A115="","",IF(Z115="ELEGIBLE",RANK.EQ(AH115,$AH$2:$AH$201,0),""))</x:f>
      </x:c>
      <x:c r="AJ115" s="69" t="str">
        <x:f>IF(A115="","",IF(Z115="BLOQUEADA","No aplica",IF(Z115="REVISIÓN","Slot 8 posible: exploratorio",IF(AI115&lt;=5,"Slot 1-5: alto potencial",IF(R115&gt;=2.5,"Slot 6: handoff/dependencia",IF(S115&gt;=2.5,"Slot 7: transformación/objeto",IF(AND(K115&gt;=1,U115&gt;=2),"Slot 8 posible: exploratorio","Backlog/contexto")))))))</x:f>
      </x:c>
      <x:c r="AK115" s="69" t="str">
        <x:f>IF(A115="","",IF(Z115="BLOQUEADA","No seleccionable",IF(Z115="REVISIÓN","Revisión para slot exploratorio",IF(AI115&lt;=8,"Primaria propuesta","Contexto no primario"))))</x:f>
      </x:c>
      <x:c r="AL115" s="69" t="str">
        <x:f>IF(A115="","",IF(OR(Z115="REVISIÓN",Y115&gt;=3,V115&gt;=2),"Sí","No"))</x:f>
      </x:c>
      <x:c r="AM115" s="69" t="str">
        <x:f>IF(A115="","",IF(AK115="Primaria propuesta","Primaria propuesta",IF(AK115="Revisión para slot exploratorio","Revisión / posible primaria exploratoria",IF(AK115="No seleccionable","No seleccionable","Contexto no primario"))))</x:f>
      </x:c>
      <x:c r="AN115" s="69" t="str">
        <x:f>IF(A115="","",IF(AM115="Primaria propuesta",IF(AH115&gt;=75,"40+20 probable",IF(AH115&gt;=55,"40 base + causales selectivas","40 base + probes mínimos")),IF(AM115="Revisión / posible primaria exploratoria","B0/B0.5 reconstrucción antes de Runtime","No abre Runtime profundo")))</x:f>
      </x:c>
      <x:c r="AO115" s="69" t="str">
        <x:f>IF(A115="","",IF(Z115="BLOQUEADA","No probe",IF(AH115&gt;=75,"Alta",IF(AH115&gt;=55,"Media",IF(Z115="REVISIÓN","Exploratoria","Baja")))))</x:f>
      </x:c>
      <x:c r="AP115" s="69" t="str">
        <x:f>IF(A115="","",IF(M115="","unknown",IF(M115&gt;=2,"Prometedora","Débil / validar en B0.5-B1")))</x:f>
      </x:c>
      <x:c r="AQ115" s="69" t="str">
        <x:f>IF(A115="","",IF(N115="","unknown",IF(N115&gt;=2,"Prometedora","Débil / validar en B2")))</x:f>
      </x:c>
      <x:c r="AR115" s="69" t="str">
        <x:f>IF(A115="","",IF(O115="","unknown",IF(O115&gt;=2,"Prometedora","Débil / validar en B3-B4")))</x:f>
      </x:c>
      <x:c r="AS115" s="69" t="str">
        <x:f>IF(A115="","",IF(P115="","unknown",IF(P115&gt;=2,"Prometedora","Débil / validar en B2-B4")))</x:f>
      </x:c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 t="str">
        <x:f>IF(A116="","",COUNTBLANK(M116:P116))</x:f>
      </x:c>
      <x:c r="Z116" s="69" t="str">
        <x:f>IF(A116="","",IF(OR(E116="",G116="No",H116="No",I116="Responsabilidad genérica",I116="Demasiado amplia",I116="Microtarea",J116="Duplicado evidente"),"BLOQUEADA",IF(OR(I116="Ambigua",L116&lt;1,K116&lt;1),"REVISIÓN","ELEGIBLE")))</x:f>
      </x:c>
      <x:c r="AA116" s="69" t="str">
        <x:f>IF(A116="","",IF(Z116="BLOQUEADA",0,ROUND(100*(IF(M116="",1.5,M116)+IF(N116="",1.5,N116)+IF(O116="",1.5,O116)+IF(P116="",1.5,P116))/12,1)))</x:f>
      </x:c>
      <x:c r="AB116" s="69" t="str">
        <x:f>IF(A116="","",IF(Z116="BLOQUEADA",0,ROUND(100*IF(Q116="",1.5,Q116)/3,1)))</x:f>
      </x:c>
      <x:c r="AC116" s="69" t="str">
        <x:f>IF(A116="","",IF(Z116="BLOQUEADA",0,ROUND(100*IF(R116="",1.5,R116)/3,1)))</x:f>
      </x:c>
      <x:c r="AD116" s="69" t="str">
        <x:f>IF(A116="","",IF(Z116="BLOQUEADA",0,ROUND(100*IF(S116="",1.5,S116)/3,1)))</x:f>
      </x:c>
      <x:c r="AE116" s="69" t="str">
        <x:f>IF(A116="","",IF(Z116="BLOQUEADA",0,ROUND(100*IF(T116="",1.5,T116)/3,1)))</x:f>
      </x:c>
      <x:c r="AF116" s="69" t="str">
        <x:f>IF(A116="","",IF(Z116="BLOQUEADA",0,ROUND(100*IF(U116="",1.5,U116)/3,1)))</x:f>
      </x:c>
      <x:c r="AG116" s="69" t="str">
        <x:f>IF(A116="","",ROUND(IF(Z116="BLOQUEADA",100,(X116*10)+(V116*8)+(W116*8)),1))</x:f>
      </x:c>
      <x:c r="AH116" s="69" t="str">
        <x:f>IF(A116="","",IF(Z116="BLOQUEADA",0,MAX(0,ROUND(0.30*AA116+0.20*AB116+0.15*AC116+0.15*AD116+0.10*AE116+0.10*AF116-AG116,1))))</x:f>
      </x:c>
      <x:c r="AI116" s="69" t="str">
        <x:f>IF(A116="","",IF(Z116="ELEGIBLE",RANK.EQ(AH116,$AH$2:$AH$201,0),""))</x:f>
      </x:c>
      <x:c r="AJ116" s="69" t="str">
        <x:f>IF(A116="","",IF(Z116="BLOQUEADA","No aplica",IF(Z116="REVISIÓN","Slot 8 posible: exploratorio",IF(AI116&lt;=5,"Slot 1-5: alto potencial",IF(R116&gt;=2.5,"Slot 6: handoff/dependencia",IF(S116&gt;=2.5,"Slot 7: transformación/objeto",IF(AND(K116&gt;=1,U116&gt;=2),"Slot 8 posible: exploratorio","Backlog/contexto")))))))</x:f>
      </x:c>
      <x:c r="AK116" s="69" t="str">
        <x:f>IF(A116="","",IF(Z116="BLOQUEADA","No seleccionable",IF(Z116="REVISIÓN","Revisión para slot exploratorio",IF(AI116&lt;=8,"Primaria propuesta","Contexto no primario"))))</x:f>
      </x:c>
      <x:c r="AL116" s="69" t="str">
        <x:f>IF(A116="","",IF(OR(Z116="REVISIÓN",Y116&gt;=3,V116&gt;=2),"Sí","No"))</x:f>
      </x:c>
      <x:c r="AM116" s="69" t="str">
        <x:f>IF(A116="","",IF(AK116="Primaria propuesta","Primaria propuesta",IF(AK116="Revisión para slot exploratorio","Revisión / posible primaria exploratoria",IF(AK116="No seleccionable","No seleccionable","Contexto no primario"))))</x:f>
      </x:c>
      <x:c r="AN116" s="69" t="str">
        <x:f>IF(A116="","",IF(AM116="Primaria propuesta",IF(AH116&gt;=75,"40+20 probable",IF(AH116&gt;=55,"40 base + causales selectivas","40 base + probes mínimos")),IF(AM116="Revisión / posible primaria exploratoria","B0/B0.5 reconstrucción antes de Runtime","No abre Runtime profundo")))</x:f>
      </x:c>
      <x:c r="AO116" s="69" t="str">
        <x:f>IF(A116="","",IF(Z116="BLOQUEADA","No probe",IF(AH116&gt;=75,"Alta",IF(AH116&gt;=55,"Media",IF(Z116="REVISIÓN","Exploratoria","Baja")))))</x:f>
      </x:c>
      <x:c r="AP116" s="69" t="str">
        <x:f>IF(A116="","",IF(M116="","unknown",IF(M116&gt;=2,"Prometedora","Débil / validar en B0.5-B1")))</x:f>
      </x:c>
      <x:c r="AQ116" s="69" t="str">
        <x:f>IF(A116="","",IF(N116="","unknown",IF(N116&gt;=2,"Prometedora","Débil / validar en B2")))</x:f>
      </x:c>
      <x:c r="AR116" s="69" t="str">
        <x:f>IF(A116="","",IF(O116="","unknown",IF(O116&gt;=2,"Prometedora","Débil / validar en B3-B4")))</x:f>
      </x:c>
      <x:c r="AS116" s="69" t="str">
        <x:f>IF(A116="","",IF(P116="","unknown",IF(P116&gt;=2,"Prometedora","Débil / validar en B2-B4")))</x:f>
      </x:c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 t="str">
        <x:f>IF(A117="","",COUNTBLANK(M117:P117))</x:f>
      </x:c>
      <x:c r="Z117" s="69" t="str">
        <x:f>IF(A117="","",IF(OR(E117="",G117="No",H117="No",I117="Responsabilidad genérica",I117="Demasiado amplia",I117="Microtarea",J117="Duplicado evidente"),"BLOQUEADA",IF(OR(I117="Ambigua",L117&lt;1,K117&lt;1),"REVISIÓN","ELEGIBLE")))</x:f>
      </x:c>
      <x:c r="AA117" s="69" t="str">
        <x:f>IF(A117="","",IF(Z117="BLOQUEADA",0,ROUND(100*(IF(M117="",1.5,M117)+IF(N117="",1.5,N117)+IF(O117="",1.5,O117)+IF(P117="",1.5,P117))/12,1)))</x:f>
      </x:c>
      <x:c r="AB117" s="69" t="str">
        <x:f>IF(A117="","",IF(Z117="BLOQUEADA",0,ROUND(100*IF(Q117="",1.5,Q117)/3,1)))</x:f>
      </x:c>
      <x:c r="AC117" s="69" t="str">
        <x:f>IF(A117="","",IF(Z117="BLOQUEADA",0,ROUND(100*IF(R117="",1.5,R117)/3,1)))</x:f>
      </x:c>
      <x:c r="AD117" s="69" t="str">
        <x:f>IF(A117="","",IF(Z117="BLOQUEADA",0,ROUND(100*IF(S117="",1.5,S117)/3,1)))</x:f>
      </x:c>
      <x:c r="AE117" s="69" t="str">
        <x:f>IF(A117="","",IF(Z117="BLOQUEADA",0,ROUND(100*IF(T117="",1.5,T117)/3,1)))</x:f>
      </x:c>
      <x:c r="AF117" s="69" t="str">
        <x:f>IF(A117="","",IF(Z117="BLOQUEADA",0,ROUND(100*IF(U117="",1.5,U117)/3,1)))</x:f>
      </x:c>
      <x:c r="AG117" s="69" t="str">
        <x:f>IF(A117="","",ROUND(IF(Z117="BLOQUEADA",100,(X117*10)+(V117*8)+(W117*8)),1))</x:f>
      </x:c>
      <x:c r="AH117" s="69" t="str">
        <x:f>IF(A117="","",IF(Z117="BLOQUEADA",0,MAX(0,ROUND(0.30*AA117+0.20*AB117+0.15*AC117+0.15*AD117+0.10*AE117+0.10*AF117-AG117,1))))</x:f>
      </x:c>
      <x:c r="AI117" s="69" t="str">
        <x:f>IF(A117="","",IF(Z117="ELEGIBLE",RANK.EQ(AH117,$AH$2:$AH$201,0),""))</x:f>
      </x:c>
      <x:c r="AJ117" s="69" t="str">
        <x:f>IF(A117="","",IF(Z117="BLOQUEADA","No aplica",IF(Z117="REVISIÓN","Slot 8 posible: exploratorio",IF(AI117&lt;=5,"Slot 1-5: alto potencial",IF(R117&gt;=2.5,"Slot 6: handoff/dependencia",IF(S117&gt;=2.5,"Slot 7: transformación/objeto",IF(AND(K117&gt;=1,U117&gt;=2),"Slot 8 posible: exploratorio","Backlog/contexto")))))))</x:f>
      </x:c>
      <x:c r="AK117" s="69" t="str">
        <x:f>IF(A117="","",IF(Z117="BLOQUEADA","No seleccionable",IF(Z117="REVISIÓN","Revisión para slot exploratorio",IF(AI117&lt;=8,"Primaria propuesta","Contexto no primario"))))</x:f>
      </x:c>
      <x:c r="AL117" s="69" t="str">
        <x:f>IF(A117="","",IF(OR(Z117="REVISIÓN",Y117&gt;=3,V117&gt;=2),"Sí","No"))</x:f>
      </x:c>
      <x:c r="AM117" s="69" t="str">
        <x:f>IF(A117="","",IF(AK117="Primaria propuesta","Primaria propuesta",IF(AK117="Revisión para slot exploratorio","Revisión / posible primaria exploratoria",IF(AK117="No seleccionable","No seleccionable","Contexto no primario"))))</x:f>
      </x:c>
      <x:c r="AN117" s="69" t="str">
        <x:f>IF(A117="","",IF(AM117="Primaria propuesta",IF(AH117&gt;=75,"40+20 probable",IF(AH117&gt;=55,"40 base + causales selectivas","40 base + probes mínimos")),IF(AM117="Revisión / posible primaria exploratoria","B0/B0.5 reconstrucción antes de Runtime","No abre Runtime profundo")))</x:f>
      </x:c>
      <x:c r="AO117" s="69" t="str">
        <x:f>IF(A117="","",IF(Z117="BLOQUEADA","No probe",IF(AH117&gt;=75,"Alta",IF(AH117&gt;=55,"Media",IF(Z117="REVISIÓN","Exploratoria","Baja")))))</x:f>
      </x:c>
      <x:c r="AP117" s="69" t="str">
        <x:f>IF(A117="","",IF(M117="","unknown",IF(M117&gt;=2,"Prometedora","Débil / validar en B0.5-B1")))</x:f>
      </x:c>
      <x:c r="AQ117" s="69" t="str">
        <x:f>IF(A117="","",IF(N117="","unknown",IF(N117&gt;=2,"Prometedora","Débil / validar en B2")))</x:f>
      </x:c>
      <x:c r="AR117" s="69" t="str">
        <x:f>IF(A117="","",IF(O117="","unknown",IF(O117&gt;=2,"Prometedora","Débil / validar en B3-B4")))</x:f>
      </x:c>
      <x:c r="AS117" s="69" t="str">
        <x:f>IF(A117="","",IF(P117="","unknown",IF(P117&gt;=2,"Prometedora","Débil / validar en B2-B4")))</x:f>
      </x:c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 t="str">
        <x:f>IF(A118="","",COUNTBLANK(M118:P118))</x:f>
      </x:c>
      <x:c r="Z118" s="69" t="str">
        <x:f>IF(A118="","",IF(OR(E118="",G118="No",H118="No",I118="Responsabilidad genérica",I118="Demasiado amplia",I118="Microtarea",J118="Duplicado evidente"),"BLOQUEADA",IF(OR(I118="Ambigua",L118&lt;1,K118&lt;1),"REVISIÓN","ELEGIBLE")))</x:f>
      </x:c>
      <x:c r="AA118" s="69" t="str">
        <x:f>IF(A118="","",IF(Z118="BLOQUEADA",0,ROUND(100*(IF(M118="",1.5,M118)+IF(N118="",1.5,N118)+IF(O118="",1.5,O118)+IF(P118="",1.5,P118))/12,1)))</x:f>
      </x:c>
      <x:c r="AB118" s="69" t="str">
        <x:f>IF(A118="","",IF(Z118="BLOQUEADA",0,ROUND(100*IF(Q118="",1.5,Q118)/3,1)))</x:f>
      </x:c>
      <x:c r="AC118" s="69" t="str">
        <x:f>IF(A118="","",IF(Z118="BLOQUEADA",0,ROUND(100*IF(R118="",1.5,R118)/3,1)))</x:f>
      </x:c>
      <x:c r="AD118" s="69" t="str">
        <x:f>IF(A118="","",IF(Z118="BLOQUEADA",0,ROUND(100*IF(S118="",1.5,S118)/3,1)))</x:f>
      </x:c>
      <x:c r="AE118" s="69" t="str">
        <x:f>IF(A118="","",IF(Z118="BLOQUEADA",0,ROUND(100*IF(T118="",1.5,T118)/3,1)))</x:f>
      </x:c>
      <x:c r="AF118" s="69" t="str">
        <x:f>IF(A118="","",IF(Z118="BLOQUEADA",0,ROUND(100*IF(U118="",1.5,U118)/3,1)))</x:f>
      </x:c>
      <x:c r="AG118" s="69" t="str">
        <x:f>IF(A118="","",ROUND(IF(Z118="BLOQUEADA",100,(X118*10)+(V118*8)+(W118*8)),1))</x:f>
      </x:c>
      <x:c r="AH118" s="69" t="str">
        <x:f>IF(A118="","",IF(Z118="BLOQUEADA",0,MAX(0,ROUND(0.30*AA118+0.20*AB118+0.15*AC118+0.15*AD118+0.10*AE118+0.10*AF118-AG118,1))))</x:f>
      </x:c>
      <x:c r="AI118" s="69" t="str">
        <x:f>IF(A118="","",IF(Z118="ELEGIBLE",RANK.EQ(AH118,$AH$2:$AH$201,0),""))</x:f>
      </x:c>
      <x:c r="AJ118" s="69" t="str">
        <x:f>IF(A118="","",IF(Z118="BLOQUEADA","No aplica",IF(Z118="REVISIÓN","Slot 8 posible: exploratorio",IF(AI118&lt;=5,"Slot 1-5: alto potencial",IF(R118&gt;=2.5,"Slot 6: handoff/dependencia",IF(S118&gt;=2.5,"Slot 7: transformación/objeto",IF(AND(K118&gt;=1,U118&gt;=2),"Slot 8 posible: exploratorio","Backlog/contexto")))))))</x:f>
      </x:c>
      <x:c r="AK118" s="69" t="str">
        <x:f>IF(A118="","",IF(Z118="BLOQUEADA","No seleccionable",IF(Z118="REVISIÓN","Revisión para slot exploratorio",IF(AI118&lt;=8,"Primaria propuesta","Contexto no primario"))))</x:f>
      </x:c>
      <x:c r="AL118" s="69" t="str">
        <x:f>IF(A118="","",IF(OR(Z118="REVISIÓN",Y118&gt;=3,V118&gt;=2),"Sí","No"))</x:f>
      </x:c>
      <x:c r="AM118" s="69" t="str">
        <x:f>IF(A118="","",IF(AK118="Primaria propuesta","Primaria propuesta",IF(AK118="Revisión para slot exploratorio","Revisión / posible primaria exploratoria",IF(AK118="No seleccionable","No seleccionable","Contexto no primario"))))</x:f>
      </x:c>
      <x:c r="AN118" s="69" t="str">
        <x:f>IF(A118="","",IF(AM118="Primaria propuesta",IF(AH118&gt;=75,"40+20 probable",IF(AH118&gt;=55,"40 base + causales selectivas","40 base + probes mínimos")),IF(AM118="Revisión / posible primaria exploratoria","B0/B0.5 reconstrucción antes de Runtime","No abre Runtime profundo")))</x:f>
      </x:c>
      <x:c r="AO118" s="69" t="str">
        <x:f>IF(A118="","",IF(Z118="BLOQUEADA","No probe",IF(AH118&gt;=75,"Alta",IF(AH118&gt;=55,"Media",IF(Z118="REVISIÓN","Exploratoria","Baja")))))</x:f>
      </x:c>
      <x:c r="AP118" s="69" t="str">
        <x:f>IF(A118="","",IF(M118="","unknown",IF(M118&gt;=2,"Prometedora","Débil / validar en B0.5-B1")))</x:f>
      </x:c>
      <x:c r="AQ118" s="69" t="str">
        <x:f>IF(A118="","",IF(N118="","unknown",IF(N118&gt;=2,"Prometedora","Débil / validar en B2")))</x:f>
      </x:c>
      <x:c r="AR118" s="69" t="str">
        <x:f>IF(A118="","",IF(O118="","unknown",IF(O118&gt;=2,"Prometedora","Débil / validar en B3-B4")))</x:f>
      </x:c>
      <x:c r="AS118" s="69" t="str">
        <x:f>IF(A118="","",IF(P118="","unknown",IF(P118&gt;=2,"Prometedora","Débil / validar en B2-B4")))</x:f>
      </x:c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 t="str">
        <x:f>IF(A119="","",COUNTBLANK(M119:P119))</x:f>
      </x:c>
      <x:c r="Z119" s="69" t="str">
        <x:f>IF(A119="","",IF(OR(E119="",G119="No",H119="No",I119="Responsabilidad genérica",I119="Demasiado amplia",I119="Microtarea",J119="Duplicado evidente"),"BLOQUEADA",IF(OR(I119="Ambigua",L119&lt;1,K119&lt;1),"REVISIÓN","ELEGIBLE")))</x:f>
      </x:c>
      <x:c r="AA119" s="69" t="str">
        <x:f>IF(A119="","",IF(Z119="BLOQUEADA",0,ROUND(100*(IF(M119="",1.5,M119)+IF(N119="",1.5,N119)+IF(O119="",1.5,O119)+IF(P119="",1.5,P119))/12,1)))</x:f>
      </x:c>
      <x:c r="AB119" s="69" t="str">
        <x:f>IF(A119="","",IF(Z119="BLOQUEADA",0,ROUND(100*IF(Q119="",1.5,Q119)/3,1)))</x:f>
      </x:c>
      <x:c r="AC119" s="69" t="str">
        <x:f>IF(A119="","",IF(Z119="BLOQUEADA",0,ROUND(100*IF(R119="",1.5,R119)/3,1)))</x:f>
      </x:c>
      <x:c r="AD119" s="69" t="str">
        <x:f>IF(A119="","",IF(Z119="BLOQUEADA",0,ROUND(100*IF(S119="",1.5,S119)/3,1)))</x:f>
      </x:c>
      <x:c r="AE119" s="69" t="str">
        <x:f>IF(A119="","",IF(Z119="BLOQUEADA",0,ROUND(100*IF(T119="",1.5,T119)/3,1)))</x:f>
      </x:c>
      <x:c r="AF119" s="69" t="str">
        <x:f>IF(A119="","",IF(Z119="BLOQUEADA",0,ROUND(100*IF(U119="",1.5,U119)/3,1)))</x:f>
      </x:c>
      <x:c r="AG119" s="69" t="str">
        <x:f>IF(A119="","",ROUND(IF(Z119="BLOQUEADA",100,(X119*10)+(V119*8)+(W119*8)),1))</x:f>
      </x:c>
      <x:c r="AH119" s="69" t="str">
        <x:f>IF(A119="","",IF(Z119="BLOQUEADA",0,MAX(0,ROUND(0.30*AA119+0.20*AB119+0.15*AC119+0.15*AD119+0.10*AE119+0.10*AF119-AG119,1))))</x:f>
      </x:c>
      <x:c r="AI119" s="69" t="str">
        <x:f>IF(A119="","",IF(Z119="ELEGIBLE",RANK.EQ(AH119,$AH$2:$AH$201,0),""))</x:f>
      </x:c>
      <x:c r="AJ119" s="69" t="str">
        <x:f>IF(A119="","",IF(Z119="BLOQUEADA","No aplica",IF(Z119="REVISIÓN","Slot 8 posible: exploratorio",IF(AI119&lt;=5,"Slot 1-5: alto potencial",IF(R119&gt;=2.5,"Slot 6: handoff/dependencia",IF(S119&gt;=2.5,"Slot 7: transformación/objeto",IF(AND(K119&gt;=1,U119&gt;=2),"Slot 8 posible: exploratorio","Backlog/contexto")))))))</x:f>
      </x:c>
      <x:c r="AK119" s="69" t="str">
        <x:f>IF(A119="","",IF(Z119="BLOQUEADA","No seleccionable",IF(Z119="REVISIÓN","Revisión para slot exploratorio",IF(AI119&lt;=8,"Primaria propuesta","Contexto no primario"))))</x:f>
      </x:c>
      <x:c r="AL119" s="69" t="str">
        <x:f>IF(A119="","",IF(OR(Z119="REVISIÓN",Y119&gt;=3,V119&gt;=2),"Sí","No"))</x:f>
      </x:c>
      <x:c r="AM119" s="69" t="str">
        <x:f>IF(A119="","",IF(AK119="Primaria propuesta","Primaria propuesta",IF(AK119="Revisión para slot exploratorio","Revisión / posible primaria exploratoria",IF(AK119="No seleccionable","No seleccionable","Contexto no primario"))))</x:f>
      </x:c>
      <x:c r="AN119" s="69" t="str">
        <x:f>IF(A119="","",IF(AM119="Primaria propuesta",IF(AH119&gt;=75,"40+20 probable",IF(AH119&gt;=55,"40 base + causales selectivas","40 base + probes mínimos")),IF(AM119="Revisión / posible primaria exploratoria","B0/B0.5 reconstrucción antes de Runtime","No abre Runtime profundo")))</x:f>
      </x:c>
      <x:c r="AO119" s="69" t="str">
        <x:f>IF(A119="","",IF(Z119="BLOQUEADA","No probe",IF(AH119&gt;=75,"Alta",IF(AH119&gt;=55,"Media",IF(Z119="REVISIÓN","Exploratoria","Baja")))))</x:f>
      </x:c>
      <x:c r="AP119" s="69" t="str">
        <x:f>IF(A119="","",IF(M119="","unknown",IF(M119&gt;=2,"Prometedora","Débil / validar en B0.5-B1")))</x:f>
      </x:c>
      <x:c r="AQ119" s="69" t="str">
        <x:f>IF(A119="","",IF(N119="","unknown",IF(N119&gt;=2,"Prometedora","Débil / validar en B2")))</x:f>
      </x:c>
      <x:c r="AR119" s="69" t="str">
        <x:f>IF(A119="","",IF(O119="","unknown",IF(O119&gt;=2,"Prometedora","Débil / validar en B3-B4")))</x:f>
      </x:c>
      <x:c r="AS119" s="69" t="str">
        <x:f>IF(A119="","",IF(P119="","unknown",IF(P119&gt;=2,"Prometedora","Débil / validar en B2-B4")))</x:f>
      </x:c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 t="str">
        <x:f>IF(A120="","",COUNTBLANK(M120:P120))</x:f>
      </x:c>
      <x:c r="Z120" s="69" t="str">
        <x:f>IF(A120="","",IF(OR(E120="",G120="No",H120="No",I120="Responsabilidad genérica",I120="Demasiado amplia",I120="Microtarea",J120="Duplicado evidente"),"BLOQUEADA",IF(OR(I120="Ambigua",L120&lt;1,K120&lt;1),"REVISIÓN","ELEGIBLE")))</x:f>
      </x:c>
      <x:c r="AA120" s="69" t="str">
        <x:f>IF(A120="","",IF(Z120="BLOQUEADA",0,ROUND(100*(IF(M120="",1.5,M120)+IF(N120="",1.5,N120)+IF(O120="",1.5,O120)+IF(P120="",1.5,P120))/12,1)))</x:f>
      </x:c>
      <x:c r="AB120" s="69" t="str">
        <x:f>IF(A120="","",IF(Z120="BLOQUEADA",0,ROUND(100*IF(Q120="",1.5,Q120)/3,1)))</x:f>
      </x:c>
      <x:c r="AC120" s="69" t="str">
        <x:f>IF(A120="","",IF(Z120="BLOQUEADA",0,ROUND(100*IF(R120="",1.5,R120)/3,1)))</x:f>
      </x:c>
      <x:c r="AD120" s="69" t="str">
        <x:f>IF(A120="","",IF(Z120="BLOQUEADA",0,ROUND(100*IF(S120="",1.5,S120)/3,1)))</x:f>
      </x:c>
      <x:c r="AE120" s="69" t="str">
        <x:f>IF(A120="","",IF(Z120="BLOQUEADA",0,ROUND(100*IF(T120="",1.5,T120)/3,1)))</x:f>
      </x:c>
      <x:c r="AF120" s="69" t="str">
        <x:f>IF(A120="","",IF(Z120="BLOQUEADA",0,ROUND(100*IF(U120="",1.5,U120)/3,1)))</x:f>
      </x:c>
      <x:c r="AG120" s="69" t="str">
        <x:f>IF(A120="","",ROUND(IF(Z120="BLOQUEADA",100,(X120*10)+(V120*8)+(W120*8)),1))</x:f>
      </x:c>
      <x:c r="AH120" s="69" t="str">
        <x:f>IF(A120="","",IF(Z120="BLOQUEADA",0,MAX(0,ROUND(0.30*AA120+0.20*AB120+0.15*AC120+0.15*AD120+0.10*AE120+0.10*AF120-AG120,1))))</x:f>
      </x:c>
      <x:c r="AI120" s="69" t="str">
        <x:f>IF(A120="","",IF(Z120="ELEGIBLE",RANK.EQ(AH120,$AH$2:$AH$201,0),""))</x:f>
      </x:c>
      <x:c r="AJ120" s="69" t="str">
        <x:f>IF(A120="","",IF(Z120="BLOQUEADA","No aplica",IF(Z120="REVISIÓN","Slot 8 posible: exploratorio",IF(AI120&lt;=5,"Slot 1-5: alto potencial",IF(R120&gt;=2.5,"Slot 6: handoff/dependencia",IF(S120&gt;=2.5,"Slot 7: transformación/objeto",IF(AND(K120&gt;=1,U120&gt;=2),"Slot 8 posible: exploratorio","Backlog/contexto")))))))</x:f>
      </x:c>
      <x:c r="AK120" s="69" t="str">
        <x:f>IF(A120="","",IF(Z120="BLOQUEADA","No seleccionable",IF(Z120="REVISIÓN","Revisión para slot exploratorio",IF(AI120&lt;=8,"Primaria propuesta","Contexto no primario"))))</x:f>
      </x:c>
      <x:c r="AL120" s="69" t="str">
        <x:f>IF(A120="","",IF(OR(Z120="REVISIÓN",Y120&gt;=3,V120&gt;=2),"Sí","No"))</x:f>
      </x:c>
      <x:c r="AM120" s="69" t="str">
        <x:f>IF(A120="","",IF(AK120="Primaria propuesta","Primaria propuesta",IF(AK120="Revisión para slot exploratorio","Revisión / posible primaria exploratoria",IF(AK120="No seleccionable","No seleccionable","Contexto no primario"))))</x:f>
      </x:c>
      <x:c r="AN120" s="69" t="str">
        <x:f>IF(A120="","",IF(AM120="Primaria propuesta",IF(AH120&gt;=75,"40+20 probable",IF(AH120&gt;=55,"40 base + causales selectivas","40 base + probes mínimos")),IF(AM120="Revisión / posible primaria exploratoria","B0/B0.5 reconstrucción antes de Runtime","No abre Runtime profundo")))</x:f>
      </x:c>
      <x:c r="AO120" s="69" t="str">
        <x:f>IF(A120="","",IF(Z120="BLOQUEADA","No probe",IF(AH120&gt;=75,"Alta",IF(AH120&gt;=55,"Media",IF(Z120="REVISIÓN","Exploratoria","Baja")))))</x:f>
      </x:c>
      <x:c r="AP120" s="69" t="str">
        <x:f>IF(A120="","",IF(M120="","unknown",IF(M120&gt;=2,"Prometedora","Débil / validar en B0.5-B1")))</x:f>
      </x:c>
      <x:c r="AQ120" s="69" t="str">
        <x:f>IF(A120="","",IF(N120="","unknown",IF(N120&gt;=2,"Prometedora","Débil / validar en B2")))</x:f>
      </x:c>
      <x:c r="AR120" s="69" t="str">
        <x:f>IF(A120="","",IF(O120="","unknown",IF(O120&gt;=2,"Prometedora","Débil / validar en B3-B4")))</x:f>
      </x:c>
      <x:c r="AS120" s="69" t="str">
        <x:f>IF(A120="","",IF(P120="","unknown",IF(P120&gt;=2,"Prometedora","Débil / validar en B2-B4")))</x:f>
      </x:c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 t="str">
        <x:f>IF(A121="","",COUNTBLANK(M121:P121))</x:f>
      </x:c>
      <x:c r="Z121" s="69" t="str">
        <x:f>IF(A121="","",IF(OR(E121="",G121="No",H121="No",I121="Responsabilidad genérica",I121="Demasiado amplia",I121="Microtarea",J121="Duplicado evidente"),"BLOQUEADA",IF(OR(I121="Ambigua",L121&lt;1,K121&lt;1),"REVISIÓN","ELEGIBLE")))</x:f>
      </x:c>
      <x:c r="AA121" s="69" t="str">
        <x:f>IF(A121="","",IF(Z121="BLOQUEADA",0,ROUND(100*(IF(M121="",1.5,M121)+IF(N121="",1.5,N121)+IF(O121="",1.5,O121)+IF(P121="",1.5,P121))/12,1)))</x:f>
      </x:c>
      <x:c r="AB121" s="69" t="str">
        <x:f>IF(A121="","",IF(Z121="BLOQUEADA",0,ROUND(100*IF(Q121="",1.5,Q121)/3,1)))</x:f>
      </x:c>
      <x:c r="AC121" s="69" t="str">
        <x:f>IF(A121="","",IF(Z121="BLOQUEADA",0,ROUND(100*IF(R121="",1.5,R121)/3,1)))</x:f>
      </x:c>
      <x:c r="AD121" s="69" t="str">
        <x:f>IF(A121="","",IF(Z121="BLOQUEADA",0,ROUND(100*IF(S121="",1.5,S121)/3,1)))</x:f>
      </x:c>
      <x:c r="AE121" s="69" t="str">
        <x:f>IF(A121="","",IF(Z121="BLOQUEADA",0,ROUND(100*IF(T121="",1.5,T121)/3,1)))</x:f>
      </x:c>
      <x:c r="AF121" s="69" t="str">
        <x:f>IF(A121="","",IF(Z121="BLOQUEADA",0,ROUND(100*IF(U121="",1.5,U121)/3,1)))</x:f>
      </x:c>
      <x:c r="AG121" s="69" t="str">
        <x:f>IF(A121="","",ROUND(IF(Z121="BLOQUEADA",100,(X121*10)+(V121*8)+(W121*8)),1))</x:f>
      </x:c>
      <x:c r="AH121" s="69" t="str">
        <x:f>IF(A121="","",IF(Z121="BLOQUEADA",0,MAX(0,ROUND(0.30*AA121+0.20*AB121+0.15*AC121+0.15*AD121+0.10*AE121+0.10*AF121-AG121,1))))</x:f>
      </x:c>
      <x:c r="AI121" s="69" t="str">
        <x:f>IF(A121="","",IF(Z121="ELEGIBLE",RANK.EQ(AH121,$AH$2:$AH$201,0),""))</x:f>
      </x:c>
      <x:c r="AJ121" s="69" t="str">
        <x:f>IF(A121="","",IF(Z121="BLOQUEADA","No aplica",IF(Z121="REVISIÓN","Slot 8 posible: exploratorio",IF(AI121&lt;=5,"Slot 1-5: alto potencial",IF(R121&gt;=2.5,"Slot 6: handoff/dependencia",IF(S121&gt;=2.5,"Slot 7: transformación/objeto",IF(AND(K121&gt;=1,U121&gt;=2),"Slot 8 posible: exploratorio","Backlog/contexto")))))))</x:f>
      </x:c>
      <x:c r="AK121" s="69" t="str">
        <x:f>IF(A121="","",IF(Z121="BLOQUEADA","No seleccionable",IF(Z121="REVISIÓN","Revisión para slot exploratorio",IF(AI121&lt;=8,"Primaria propuesta","Contexto no primario"))))</x:f>
      </x:c>
      <x:c r="AL121" s="69" t="str">
        <x:f>IF(A121="","",IF(OR(Z121="REVISIÓN",Y121&gt;=3,V121&gt;=2),"Sí","No"))</x:f>
      </x:c>
      <x:c r="AM121" s="69" t="str">
        <x:f>IF(A121="","",IF(AK121="Primaria propuesta","Primaria propuesta",IF(AK121="Revisión para slot exploratorio","Revisión / posible primaria exploratoria",IF(AK121="No seleccionable","No seleccionable","Contexto no primario"))))</x:f>
      </x:c>
      <x:c r="AN121" s="69" t="str">
        <x:f>IF(A121="","",IF(AM121="Primaria propuesta",IF(AH121&gt;=75,"40+20 probable",IF(AH121&gt;=55,"40 base + causales selectivas","40 base + probes mínimos")),IF(AM121="Revisión / posible primaria exploratoria","B0/B0.5 reconstrucción antes de Runtime","No abre Runtime profundo")))</x:f>
      </x:c>
      <x:c r="AO121" s="69" t="str">
        <x:f>IF(A121="","",IF(Z121="BLOQUEADA","No probe",IF(AH121&gt;=75,"Alta",IF(AH121&gt;=55,"Media",IF(Z121="REVISIÓN","Exploratoria","Baja")))))</x:f>
      </x:c>
      <x:c r="AP121" s="69" t="str">
        <x:f>IF(A121="","",IF(M121="","unknown",IF(M121&gt;=2,"Prometedora","Débil / validar en B0.5-B1")))</x:f>
      </x:c>
      <x:c r="AQ121" s="69" t="str">
        <x:f>IF(A121="","",IF(N121="","unknown",IF(N121&gt;=2,"Prometedora","Débil / validar en B2")))</x:f>
      </x:c>
      <x:c r="AR121" s="69" t="str">
        <x:f>IF(A121="","",IF(O121="","unknown",IF(O121&gt;=2,"Prometedora","Débil / validar en B3-B4")))</x:f>
      </x:c>
      <x:c r="AS121" s="69" t="str">
        <x:f>IF(A121="","",IF(P121="","unknown",IF(P121&gt;=2,"Prometedora","Débil / validar en B2-B4")))</x:f>
      </x:c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 t="str">
        <x:f>IF(A122="","",COUNTBLANK(M122:P122))</x:f>
      </x:c>
      <x:c r="Z122" s="69" t="str">
        <x:f>IF(A122="","",IF(OR(E122="",G122="No",H122="No",I122="Responsabilidad genérica",I122="Demasiado amplia",I122="Microtarea",J122="Duplicado evidente"),"BLOQUEADA",IF(OR(I122="Ambigua",L122&lt;1,K122&lt;1),"REVISIÓN","ELEGIBLE")))</x:f>
      </x:c>
      <x:c r="AA122" s="69" t="str">
        <x:f>IF(A122="","",IF(Z122="BLOQUEADA",0,ROUND(100*(IF(M122="",1.5,M122)+IF(N122="",1.5,N122)+IF(O122="",1.5,O122)+IF(P122="",1.5,P122))/12,1)))</x:f>
      </x:c>
      <x:c r="AB122" s="69" t="str">
        <x:f>IF(A122="","",IF(Z122="BLOQUEADA",0,ROUND(100*IF(Q122="",1.5,Q122)/3,1)))</x:f>
      </x:c>
      <x:c r="AC122" s="69" t="str">
        <x:f>IF(A122="","",IF(Z122="BLOQUEADA",0,ROUND(100*IF(R122="",1.5,R122)/3,1)))</x:f>
      </x:c>
      <x:c r="AD122" s="69" t="str">
        <x:f>IF(A122="","",IF(Z122="BLOQUEADA",0,ROUND(100*IF(S122="",1.5,S122)/3,1)))</x:f>
      </x:c>
      <x:c r="AE122" s="69" t="str">
        <x:f>IF(A122="","",IF(Z122="BLOQUEADA",0,ROUND(100*IF(T122="",1.5,T122)/3,1)))</x:f>
      </x:c>
      <x:c r="AF122" s="69" t="str">
        <x:f>IF(A122="","",IF(Z122="BLOQUEADA",0,ROUND(100*IF(U122="",1.5,U122)/3,1)))</x:f>
      </x:c>
      <x:c r="AG122" s="69" t="str">
        <x:f>IF(A122="","",ROUND(IF(Z122="BLOQUEADA",100,(X122*10)+(V122*8)+(W122*8)),1))</x:f>
      </x:c>
      <x:c r="AH122" s="69" t="str">
        <x:f>IF(A122="","",IF(Z122="BLOQUEADA",0,MAX(0,ROUND(0.30*AA122+0.20*AB122+0.15*AC122+0.15*AD122+0.10*AE122+0.10*AF122-AG122,1))))</x:f>
      </x:c>
      <x:c r="AI122" s="69" t="str">
        <x:f>IF(A122="","",IF(Z122="ELEGIBLE",RANK.EQ(AH122,$AH$2:$AH$201,0),""))</x:f>
      </x:c>
      <x:c r="AJ122" s="69" t="str">
        <x:f>IF(A122="","",IF(Z122="BLOQUEADA","No aplica",IF(Z122="REVISIÓN","Slot 8 posible: exploratorio",IF(AI122&lt;=5,"Slot 1-5: alto potencial",IF(R122&gt;=2.5,"Slot 6: handoff/dependencia",IF(S122&gt;=2.5,"Slot 7: transformación/objeto",IF(AND(K122&gt;=1,U122&gt;=2),"Slot 8 posible: exploratorio","Backlog/contexto")))))))</x:f>
      </x:c>
      <x:c r="AK122" s="69" t="str">
        <x:f>IF(A122="","",IF(Z122="BLOQUEADA","No seleccionable",IF(Z122="REVISIÓN","Revisión para slot exploratorio",IF(AI122&lt;=8,"Primaria propuesta","Contexto no primario"))))</x:f>
      </x:c>
      <x:c r="AL122" s="69" t="str">
        <x:f>IF(A122="","",IF(OR(Z122="REVISIÓN",Y122&gt;=3,V122&gt;=2),"Sí","No"))</x:f>
      </x:c>
      <x:c r="AM122" s="69" t="str">
        <x:f>IF(A122="","",IF(AK122="Primaria propuesta","Primaria propuesta",IF(AK122="Revisión para slot exploratorio","Revisión / posible primaria exploratoria",IF(AK122="No seleccionable","No seleccionable","Contexto no primario"))))</x:f>
      </x:c>
      <x:c r="AN122" s="69" t="str">
        <x:f>IF(A122="","",IF(AM122="Primaria propuesta",IF(AH122&gt;=75,"40+20 probable",IF(AH122&gt;=55,"40 base + causales selectivas","40 base + probes mínimos")),IF(AM122="Revisión / posible primaria exploratoria","B0/B0.5 reconstrucción antes de Runtime","No abre Runtime profundo")))</x:f>
      </x:c>
      <x:c r="AO122" s="69" t="str">
        <x:f>IF(A122="","",IF(Z122="BLOQUEADA","No probe",IF(AH122&gt;=75,"Alta",IF(AH122&gt;=55,"Media",IF(Z122="REVISIÓN","Exploratoria","Baja")))))</x:f>
      </x:c>
      <x:c r="AP122" s="69" t="str">
        <x:f>IF(A122="","",IF(M122="","unknown",IF(M122&gt;=2,"Prometedora","Débil / validar en B0.5-B1")))</x:f>
      </x:c>
      <x:c r="AQ122" s="69" t="str">
        <x:f>IF(A122="","",IF(N122="","unknown",IF(N122&gt;=2,"Prometedora","Débil / validar en B2")))</x:f>
      </x:c>
      <x:c r="AR122" s="69" t="str">
        <x:f>IF(A122="","",IF(O122="","unknown",IF(O122&gt;=2,"Prometedora","Débil / validar en B3-B4")))</x:f>
      </x:c>
      <x:c r="AS122" s="69" t="str">
        <x:f>IF(A122="","",IF(P122="","unknown",IF(P122&gt;=2,"Prometedora","Débil / validar en B2-B4")))</x:f>
      </x:c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 t="str">
        <x:f>IF(A123="","",COUNTBLANK(M123:P123))</x:f>
      </x:c>
      <x:c r="Z123" s="69" t="str">
        <x:f>IF(A123="","",IF(OR(E123="",G123="No",H123="No",I123="Responsabilidad genérica",I123="Demasiado amplia",I123="Microtarea",J123="Duplicado evidente"),"BLOQUEADA",IF(OR(I123="Ambigua",L123&lt;1,K123&lt;1),"REVISIÓN","ELEGIBLE")))</x:f>
      </x:c>
      <x:c r="AA123" s="69" t="str">
        <x:f>IF(A123="","",IF(Z123="BLOQUEADA",0,ROUND(100*(IF(M123="",1.5,M123)+IF(N123="",1.5,N123)+IF(O123="",1.5,O123)+IF(P123="",1.5,P123))/12,1)))</x:f>
      </x:c>
      <x:c r="AB123" s="69" t="str">
        <x:f>IF(A123="","",IF(Z123="BLOQUEADA",0,ROUND(100*IF(Q123="",1.5,Q123)/3,1)))</x:f>
      </x:c>
      <x:c r="AC123" s="69" t="str">
        <x:f>IF(A123="","",IF(Z123="BLOQUEADA",0,ROUND(100*IF(R123="",1.5,R123)/3,1)))</x:f>
      </x:c>
      <x:c r="AD123" s="69" t="str">
        <x:f>IF(A123="","",IF(Z123="BLOQUEADA",0,ROUND(100*IF(S123="",1.5,S123)/3,1)))</x:f>
      </x:c>
      <x:c r="AE123" s="69" t="str">
        <x:f>IF(A123="","",IF(Z123="BLOQUEADA",0,ROUND(100*IF(T123="",1.5,T123)/3,1)))</x:f>
      </x:c>
      <x:c r="AF123" s="69" t="str">
        <x:f>IF(A123="","",IF(Z123="BLOQUEADA",0,ROUND(100*IF(U123="",1.5,U123)/3,1)))</x:f>
      </x:c>
      <x:c r="AG123" s="69" t="str">
        <x:f>IF(A123="","",ROUND(IF(Z123="BLOQUEADA",100,(X123*10)+(V123*8)+(W123*8)),1))</x:f>
      </x:c>
      <x:c r="AH123" s="69" t="str">
        <x:f>IF(A123="","",IF(Z123="BLOQUEADA",0,MAX(0,ROUND(0.30*AA123+0.20*AB123+0.15*AC123+0.15*AD123+0.10*AE123+0.10*AF123-AG123,1))))</x:f>
      </x:c>
      <x:c r="AI123" s="69" t="str">
        <x:f>IF(A123="","",IF(Z123="ELEGIBLE",RANK.EQ(AH123,$AH$2:$AH$201,0),""))</x:f>
      </x:c>
      <x:c r="AJ123" s="69" t="str">
        <x:f>IF(A123="","",IF(Z123="BLOQUEADA","No aplica",IF(Z123="REVISIÓN","Slot 8 posible: exploratorio",IF(AI123&lt;=5,"Slot 1-5: alto potencial",IF(R123&gt;=2.5,"Slot 6: handoff/dependencia",IF(S123&gt;=2.5,"Slot 7: transformación/objeto",IF(AND(K123&gt;=1,U123&gt;=2),"Slot 8 posible: exploratorio","Backlog/contexto")))))))</x:f>
      </x:c>
      <x:c r="AK123" s="69" t="str">
        <x:f>IF(A123="","",IF(Z123="BLOQUEADA","No seleccionable",IF(Z123="REVISIÓN","Revisión para slot exploratorio",IF(AI123&lt;=8,"Primaria propuesta","Contexto no primario"))))</x:f>
      </x:c>
      <x:c r="AL123" s="69" t="str">
        <x:f>IF(A123="","",IF(OR(Z123="REVISIÓN",Y123&gt;=3,V123&gt;=2),"Sí","No"))</x:f>
      </x:c>
      <x:c r="AM123" s="69" t="str">
        <x:f>IF(A123="","",IF(AK123="Primaria propuesta","Primaria propuesta",IF(AK123="Revisión para slot exploratorio","Revisión / posible primaria exploratoria",IF(AK123="No seleccionable","No seleccionable","Contexto no primario"))))</x:f>
      </x:c>
      <x:c r="AN123" s="69" t="str">
        <x:f>IF(A123="","",IF(AM123="Primaria propuesta",IF(AH123&gt;=75,"40+20 probable",IF(AH123&gt;=55,"40 base + causales selectivas","40 base + probes mínimos")),IF(AM123="Revisión / posible primaria exploratoria","B0/B0.5 reconstrucción antes de Runtime","No abre Runtime profundo")))</x:f>
      </x:c>
      <x:c r="AO123" s="69" t="str">
        <x:f>IF(A123="","",IF(Z123="BLOQUEADA","No probe",IF(AH123&gt;=75,"Alta",IF(AH123&gt;=55,"Media",IF(Z123="REVISIÓN","Exploratoria","Baja")))))</x:f>
      </x:c>
      <x:c r="AP123" s="69" t="str">
        <x:f>IF(A123="","",IF(M123="","unknown",IF(M123&gt;=2,"Prometedora","Débil / validar en B0.5-B1")))</x:f>
      </x:c>
      <x:c r="AQ123" s="69" t="str">
        <x:f>IF(A123="","",IF(N123="","unknown",IF(N123&gt;=2,"Prometedora","Débil / validar en B2")))</x:f>
      </x:c>
      <x:c r="AR123" s="69" t="str">
        <x:f>IF(A123="","",IF(O123="","unknown",IF(O123&gt;=2,"Prometedora","Débil / validar en B3-B4")))</x:f>
      </x:c>
      <x:c r="AS123" s="69" t="str">
        <x:f>IF(A123="","",IF(P123="","unknown",IF(P123&gt;=2,"Prometedora","Débil / validar en B2-B4")))</x:f>
      </x:c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 t="str">
        <x:f>IF(A124="","",COUNTBLANK(M124:P124))</x:f>
      </x:c>
      <x:c r="Z124" s="69" t="str">
        <x:f>IF(A124="","",IF(OR(E124="",G124="No",H124="No",I124="Responsabilidad genérica",I124="Demasiado amplia",I124="Microtarea",J124="Duplicado evidente"),"BLOQUEADA",IF(OR(I124="Ambigua",L124&lt;1,K124&lt;1),"REVISIÓN","ELEGIBLE")))</x:f>
      </x:c>
      <x:c r="AA124" s="69" t="str">
        <x:f>IF(A124="","",IF(Z124="BLOQUEADA",0,ROUND(100*(IF(M124="",1.5,M124)+IF(N124="",1.5,N124)+IF(O124="",1.5,O124)+IF(P124="",1.5,P124))/12,1)))</x:f>
      </x:c>
      <x:c r="AB124" s="69" t="str">
        <x:f>IF(A124="","",IF(Z124="BLOQUEADA",0,ROUND(100*IF(Q124="",1.5,Q124)/3,1)))</x:f>
      </x:c>
      <x:c r="AC124" s="69" t="str">
        <x:f>IF(A124="","",IF(Z124="BLOQUEADA",0,ROUND(100*IF(R124="",1.5,R124)/3,1)))</x:f>
      </x:c>
      <x:c r="AD124" s="69" t="str">
        <x:f>IF(A124="","",IF(Z124="BLOQUEADA",0,ROUND(100*IF(S124="",1.5,S124)/3,1)))</x:f>
      </x:c>
      <x:c r="AE124" s="69" t="str">
        <x:f>IF(A124="","",IF(Z124="BLOQUEADA",0,ROUND(100*IF(T124="",1.5,T124)/3,1)))</x:f>
      </x:c>
      <x:c r="AF124" s="69" t="str">
        <x:f>IF(A124="","",IF(Z124="BLOQUEADA",0,ROUND(100*IF(U124="",1.5,U124)/3,1)))</x:f>
      </x:c>
      <x:c r="AG124" s="69" t="str">
        <x:f>IF(A124="","",ROUND(IF(Z124="BLOQUEADA",100,(X124*10)+(V124*8)+(W124*8)),1))</x:f>
      </x:c>
      <x:c r="AH124" s="69" t="str">
        <x:f>IF(A124="","",IF(Z124="BLOQUEADA",0,MAX(0,ROUND(0.30*AA124+0.20*AB124+0.15*AC124+0.15*AD124+0.10*AE124+0.10*AF124-AG124,1))))</x:f>
      </x:c>
      <x:c r="AI124" s="69" t="str">
        <x:f>IF(A124="","",IF(Z124="ELEGIBLE",RANK.EQ(AH124,$AH$2:$AH$201,0),""))</x:f>
      </x:c>
      <x:c r="AJ124" s="69" t="str">
        <x:f>IF(A124="","",IF(Z124="BLOQUEADA","No aplica",IF(Z124="REVISIÓN","Slot 8 posible: exploratorio",IF(AI124&lt;=5,"Slot 1-5: alto potencial",IF(R124&gt;=2.5,"Slot 6: handoff/dependencia",IF(S124&gt;=2.5,"Slot 7: transformación/objeto",IF(AND(K124&gt;=1,U124&gt;=2),"Slot 8 posible: exploratorio","Backlog/contexto")))))))</x:f>
      </x:c>
      <x:c r="AK124" s="69" t="str">
        <x:f>IF(A124="","",IF(Z124="BLOQUEADA","No seleccionable",IF(Z124="REVISIÓN","Revisión para slot exploratorio",IF(AI124&lt;=8,"Primaria propuesta","Contexto no primario"))))</x:f>
      </x:c>
      <x:c r="AL124" s="69" t="str">
        <x:f>IF(A124="","",IF(OR(Z124="REVISIÓN",Y124&gt;=3,V124&gt;=2),"Sí","No"))</x:f>
      </x:c>
      <x:c r="AM124" s="69" t="str">
        <x:f>IF(A124="","",IF(AK124="Primaria propuesta","Primaria propuesta",IF(AK124="Revisión para slot exploratorio","Revisión / posible primaria exploratoria",IF(AK124="No seleccionable","No seleccionable","Contexto no primario"))))</x:f>
      </x:c>
      <x:c r="AN124" s="69" t="str">
        <x:f>IF(A124="","",IF(AM124="Primaria propuesta",IF(AH124&gt;=75,"40+20 probable",IF(AH124&gt;=55,"40 base + causales selectivas","40 base + probes mínimos")),IF(AM124="Revisión / posible primaria exploratoria","B0/B0.5 reconstrucción antes de Runtime","No abre Runtime profundo")))</x:f>
      </x:c>
      <x:c r="AO124" s="69" t="str">
        <x:f>IF(A124="","",IF(Z124="BLOQUEADA","No probe",IF(AH124&gt;=75,"Alta",IF(AH124&gt;=55,"Media",IF(Z124="REVISIÓN","Exploratoria","Baja")))))</x:f>
      </x:c>
      <x:c r="AP124" s="69" t="str">
        <x:f>IF(A124="","",IF(M124="","unknown",IF(M124&gt;=2,"Prometedora","Débil / validar en B0.5-B1")))</x:f>
      </x:c>
      <x:c r="AQ124" s="69" t="str">
        <x:f>IF(A124="","",IF(N124="","unknown",IF(N124&gt;=2,"Prometedora","Débil / validar en B2")))</x:f>
      </x:c>
      <x:c r="AR124" s="69" t="str">
        <x:f>IF(A124="","",IF(O124="","unknown",IF(O124&gt;=2,"Prometedora","Débil / validar en B3-B4")))</x:f>
      </x:c>
      <x:c r="AS124" s="69" t="str">
        <x:f>IF(A124="","",IF(P124="","unknown",IF(P124&gt;=2,"Prometedora","Débil / validar en B2-B4")))</x:f>
      </x:c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 t="str">
        <x:f>IF(A125="","",COUNTBLANK(M125:P125))</x:f>
      </x:c>
      <x:c r="Z125" s="69" t="str">
        <x:f>IF(A125="","",IF(OR(E125="",G125="No",H125="No",I125="Responsabilidad genérica",I125="Demasiado amplia",I125="Microtarea",J125="Duplicado evidente"),"BLOQUEADA",IF(OR(I125="Ambigua",L125&lt;1,K125&lt;1),"REVISIÓN","ELEGIBLE")))</x:f>
      </x:c>
      <x:c r="AA125" s="69" t="str">
        <x:f>IF(A125="","",IF(Z125="BLOQUEADA",0,ROUND(100*(IF(M125="",1.5,M125)+IF(N125="",1.5,N125)+IF(O125="",1.5,O125)+IF(P125="",1.5,P125))/12,1)))</x:f>
      </x:c>
      <x:c r="AB125" s="69" t="str">
        <x:f>IF(A125="","",IF(Z125="BLOQUEADA",0,ROUND(100*IF(Q125="",1.5,Q125)/3,1)))</x:f>
      </x:c>
      <x:c r="AC125" s="69" t="str">
        <x:f>IF(A125="","",IF(Z125="BLOQUEADA",0,ROUND(100*IF(R125="",1.5,R125)/3,1)))</x:f>
      </x:c>
      <x:c r="AD125" s="69" t="str">
        <x:f>IF(A125="","",IF(Z125="BLOQUEADA",0,ROUND(100*IF(S125="",1.5,S125)/3,1)))</x:f>
      </x:c>
      <x:c r="AE125" s="69" t="str">
        <x:f>IF(A125="","",IF(Z125="BLOQUEADA",0,ROUND(100*IF(T125="",1.5,T125)/3,1)))</x:f>
      </x:c>
      <x:c r="AF125" s="69" t="str">
        <x:f>IF(A125="","",IF(Z125="BLOQUEADA",0,ROUND(100*IF(U125="",1.5,U125)/3,1)))</x:f>
      </x:c>
      <x:c r="AG125" s="69" t="str">
        <x:f>IF(A125="","",ROUND(IF(Z125="BLOQUEADA",100,(X125*10)+(V125*8)+(W125*8)),1))</x:f>
      </x:c>
      <x:c r="AH125" s="69" t="str">
        <x:f>IF(A125="","",IF(Z125="BLOQUEADA",0,MAX(0,ROUND(0.30*AA125+0.20*AB125+0.15*AC125+0.15*AD125+0.10*AE125+0.10*AF125-AG125,1))))</x:f>
      </x:c>
      <x:c r="AI125" s="69" t="str">
        <x:f>IF(A125="","",IF(Z125="ELEGIBLE",RANK.EQ(AH125,$AH$2:$AH$201,0),""))</x:f>
      </x:c>
      <x:c r="AJ125" s="69" t="str">
        <x:f>IF(A125="","",IF(Z125="BLOQUEADA","No aplica",IF(Z125="REVISIÓN","Slot 8 posible: exploratorio",IF(AI125&lt;=5,"Slot 1-5: alto potencial",IF(R125&gt;=2.5,"Slot 6: handoff/dependencia",IF(S125&gt;=2.5,"Slot 7: transformación/objeto",IF(AND(K125&gt;=1,U125&gt;=2),"Slot 8 posible: exploratorio","Backlog/contexto")))))))</x:f>
      </x:c>
      <x:c r="AK125" s="69" t="str">
        <x:f>IF(A125="","",IF(Z125="BLOQUEADA","No seleccionable",IF(Z125="REVISIÓN","Revisión para slot exploratorio",IF(AI125&lt;=8,"Primaria propuesta","Contexto no primario"))))</x:f>
      </x:c>
      <x:c r="AL125" s="69" t="str">
        <x:f>IF(A125="","",IF(OR(Z125="REVISIÓN",Y125&gt;=3,V125&gt;=2),"Sí","No"))</x:f>
      </x:c>
      <x:c r="AM125" s="69" t="str">
        <x:f>IF(A125="","",IF(AK125="Primaria propuesta","Primaria propuesta",IF(AK125="Revisión para slot exploratorio","Revisión / posible primaria exploratoria",IF(AK125="No seleccionable","No seleccionable","Contexto no primario"))))</x:f>
      </x:c>
      <x:c r="AN125" s="69" t="str">
        <x:f>IF(A125="","",IF(AM125="Primaria propuesta",IF(AH125&gt;=75,"40+20 probable",IF(AH125&gt;=55,"40 base + causales selectivas","40 base + probes mínimos")),IF(AM125="Revisión / posible primaria exploratoria","B0/B0.5 reconstrucción antes de Runtime","No abre Runtime profundo")))</x:f>
      </x:c>
      <x:c r="AO125" s="69" t="str">
        <x:f>IF(A125="","",IF(Z125="BLOQUEADA","No probe",IF(AH125&gt;=75,"Alta",IF(AH125&gt;=55,"Media",IF(Z125="REVISIÓN","Exploratoria","Baja")))))</x:f>
      </x:c>
      <x:c r="AP125" s="69" t="str">
        <x:f>IF(A125="","",IF(M125="","unknown",IF(M125&gt;=2,"Prometedora","Débil / validar en B0.5-B1")))</x:f>
      </x:c>
      <x:c r="AQ125" s="69" t="str">
        <x:f>IF(A125="","",IF(N125="","unknown",IF(N125&gt;=2,"Prometedora","Débil / validar en B2")))</x:f>
      </x:c>
      <x:c r="AR125" s="69" t="str">
        <x:f>IF(A125="","",IF(O125="","unknown",IF(O125&gt;=2,"Prometedora","Débil / validar en B3-B4")))</x:f>
      </x:c>
      <x:c r="AS125" s="69" t="str">
        <x:f>IF(A125="","",IF(P125="","unknown",IF(P125&gt;=2,"Prometedora","Débil / validar en B2-B4")))</x:f>
      </x:c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 t="str">
        <x:f>IF(A126="","",COUNTBLANK(M126:P126))</x:f>
      </x:c>
      <x:c r="Z126" s="69" t="str">
        <x:f>IF(A126="","",IF(OR(E126="",G126="No",H126="No",I126="Responsabilidad genérica",I126="Demasiado amplia",I126="Microtarea",J126="Duplicado evidente"),"BLOQUEADA",IF(OR(I126="Ambigua",L126&lt;1,K126&lt;1),"REVISIÓN","ELEGIBLE")))</x:f>
      </x:c>
      <x:c r="AA126" s="69" t="str">
        <x:f>IF(A126="","",IF(Z126="BLOQUEADA",0,ROUND(100*(IF(M126="",1.5,M126)+IF(N126="",1.5,N126)+IF(O126="",1.5,O126)+IF(P126="",1.5,P126))/12,1)))</x:f>
      </x:c>
      <x:c r="AB126" s="69" t="str">
        <x:f>IF(A126="","",IF(Z126="BLOQUEADA",0,ROUND(100*IF(Q126="",1.5,Q126)/3,1)))</x:f>
      </x:c>
      <x:c r="AC126" s="69" t="str">
        <x:f>IF(A126="","",IF(Z126="BLOQUEADA",0,ROUND(100*IF(R126="",1.5,R126)/3,1)))</x:f>
      </x:c>
      <x:c r="AD126" s="69" t="str">
        <x:f>IF(A126="","",IF(Z126="BLOQUEADA",0,ROUND(100*IF(S126="",1.5,S126)/3,1)))</x:f>
      </x:c>
      <x:c r="AE126" s="69" t="str">
        <x:f>IF(A126="","",IF(Z126="BLOQUEADA",0,ROUND(100*IF(T126="",1.5,T126)/3,1)))</x:f>
      </x:c>
      <x:c r="AF126" s="69" t="str">
        <x:f>IF(A126="","",IF(Z126="BLOQUEADA",0,ROUND(100*IF(U126="",1.5,U126)/3,1)))</x:f>
      </x:c>
      <x:c r="AG126" s="69" t="str">
        <x:f>IF(A126="","",ROUND(IF(Z126="BLOQUEADA",100,(X126*10)+(V126*8)+(W126*8)),1))</x:f>
      </x:c>
      <x:c r="AH126" s="69" t="str">
        <x:f>IF(A126="","",IF(Z126="BLOQUEADA",0,MAX(0,ROUND(0.30*AA126+0.20*AB126+0.15*AC126+0.15*AD126+0.10*AE126+0.10*AF126-AG126,1))))</x:f>
      </x:c>
      <x:c r="AI126" s="69" t="str">
        <x:f>IF(A126="","",IF(Z126="ELEGIBLE",RANK.EQ(AH126,$AH$2:$AH$201,0),""))</x:f>
      </x:c>
      <x:c r="AJ126" s="69" t="str">
        <x:f>IF(A126="","",IF(Z126="BLOQUEADA","No aplica",IF(Z126="REVISIÓN","Slot 8 posible: exploratorio",IF(AI126&lt;=5,"Slot 1-5: alto potencial",IF(R126&gt;=2.5,"Slot 6: handoff/dependencia",IF(S126&gt;=2.5,"Slot 7: transformación/objeto",IF(AND(K126&gt;=1,U126&gt;=2),"Slot 8 posible: exploratorio","Backlog/contexto")))))))</x:f>
      </x:c>
      <x:c r="AK126" s="69" t="str">
        <x:f>IF(A126="","",IF(Z126="BLOQUEADA","No seleccionable",IF(Z126="REVISIÓN","Revisión para slot exploratorio",IF(AI126&lt;=8,"Primaria propuesta","Contexto no primario"))))</x:f>
      </x:c>
      <x:c r="AL126" s="69" t="str">
        <x:f>IF(A126="","",IF(OR(Z126="REVISIÓN",Y126&gt;=3,V126&gt;=2),"Sí","No"))</x:f>
      </x:c>
      <x:c r="AM126" s="69" t="str">
        <x:f>IF(A126="","",IF(AK126="Primaria propuesta","Primaria propuesta",IF(AK126="Revisión para slot exploratorio","Revisión / posible primaria exploratoria",IF(AK126="No seleccionable","No seleccionable","Contexto no primario"))))</x:f>
      </x:c>
      <x:c r="AN126" s="69" t="str">
        <x:f>IF(A126="","",IF(AM126="Primaria propuesta",IF(AH126&gt;=75,"40+20 probable",IF(AH126&gt;=55,"40 base + causales selectivas","40 base + probes mínimos")),IF(AM126="Revisión / posible primaria exploratoria","B0/B0.5 reconstrucción antes de Runtime","No abre Runtime profundo")))</x:f>
      </x:c>
      <x:c r="AO126" s="69" t="str">
        <x:f>IF(A126="","",IF(Z126="BLOQUEADA","No probe",IF(AH126&gt;=75,"Alta",IF(AH126&gt;=55,"Media",IF(Z126="REVISIÓN","Exploratoria","Baja")))))</x:f>
      </x:c>
      <x:c r="AP126" s="69" t="str">
        <x:f>IF(A126="","",IF(M126="","unknown",IF(M126&gt;=2,"Prometedora","Débil / validar en B0.5-B1")))</x:f>
      </x:c>
      <x:c r="AQ126" s="69" t="str">
        <x:f>IF(A126="","",IF(N126="","unknown",IF(N126&gt;=2,"Prometedora","Débil / validar en B2")))</x:f>
      </x:c>
      <x:c r="AR126" s="69" t="str">
        <x:f>IF(A126="","",IF(O126="","unknown",IF(O126&gt;=2,"Prometedora","Débil / validar en B3-B4")))</x:f>
      </x:c>
      <x:c r="AS126" s="69" t="str">
        <x:f>IF(A126="","",IF(P126="","unknown",IF(P126&gt;=2,"Prometedora","Débil / validar en B2-B4")))</x:f>
      </x:c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 t="str">
        <x:f>IF(A127="","",COUNTBLANK(M127:P127))</x:f>
      </x:c>
      <x:c r="Z127" s="69" t="str">
        <x:f>IF(A127="","",IF(OR(E127="",G127="No",H127="No",I127="Responsabilidad genérica",I127="Demasiado amplia",I127="Microtarea",J127="Duplicado evidente"),"BLOQUEADA",IF(OR(I127="Ambigua",L127&lt;1,K127&lt;1),"REVISIÓN","ELEGIBLE")))</x:f>
      </x:c>
      <x:c r="AA127" s="69" t="str">
        <x:f>IF(A127="","",IF(Z127="BLOQUEADA",0,ROUND(100*(IF(M127="",1.5,M127)+IF(N127="",1.5,N127)+IF(O127="",1.5,O127)+IF(P127="",1.5,P127))/12,1)))</x:f>
      </x:c>
      <x:c r="AB127" s="69" t="str">
        <x:f>IF(A127="","",IF(Z127="BLOQUEADA",0,ROUND(100*IF(Q127="",1.5,Q127)/3,1)))</x:f>
      </x:c>
      <x:c r="AC127" s="69" t="str">
        <x:f>IF(A127="","",IF(Z127="BLOQUEADA",0,ROUND(100*IF(R127="",1.5,R127)/3,1)))</x:f>
      </x:c>
      <x:c r="AD127" s="69" t="str">
        <x:f>IF(A127="","",IF(Z127="BLOQUEADA",0,ROUND(100*IF(S127="",1.5,S127)/3,1)))</x:f>
      </x:c>
      <x:c r="AE127" s="69" t="str">
        <x:f>IF(A127="","",IF(Z127="BLOQUEADA",0,ROUND(100*IF(T127="",1.5,T127)/3,1)))</x:f>
      </x:c>
      <x:c r="AF127" s="69" t="str">
        <x:f>IF(A127="","",IF(Z127="BLOQUEADA",0,ROUND(100*IF(U127="",1.5,U127)/3,1)))</x:f>
      </x:c>
      <x:c r="AG127" s="69" t="str">
        <x:f>IF(A127="","",ROUND(IF(Z127="BLOQUEADA",100,(X127*10)+(V127*8)+(W127*8)),1))</x:f>
      </x:c>
      <x:c r="AH127" s="69" t="str">
        <x:f>IF(A127="","",IF(Z127="BLOQUEADA",0,MAX(0,ROUND(0.30*AA127+0.20*AB127+0.15*AC127+0.15*AD127+0.10*AE127+0.10*AF127-AG127,1))))</x:f>
      </x:c>
      <x:c r="AI127" s="69" t="str">
        <x:f>IF(A127="","",IF(Z127="ELEGIBLE",RANK.EQ(AH127,$AH$2:$AH$201,0),""))</x:f>
      </x:c>
      <x:c r="AJ127" s="69" t="str">
        <x:f>IF(A127="","",IF(Z127="BLOQUEADA","No aplica",IF(Z127="REVISIÓN","Slot 8 posible: exploratorio",IF(AI127&lt;=5,"Slot 1-5: alto potencial",IF(R127&gt;=2.5,"Slot 6: handoff/dependencia",IF(S127&gt;=2.5,"Slot 7: transformación/objeto",IF(AND(K127&gt;=1,U127&gt;=2),"Slot 8 posible: exploratorio","Backlog/contexto")))))))</x:f>
      </x:c>
      <x:c r="AK127" s="69" t="str">
        <x:f>IF(A127="","",IF(Z127="BLOQUEADA","No seleccionable",IF(Z127="REVISIÓN","Revisión para slot exploratorio",IF(AI127&lt;=8,"Primaria propuesta","Contexto no primario"))))</x:f>
      </x:c>
      <x:c r="AL127" s="69" t="str">
        <x:f>IF(A127="","",IF(OR(Z127="REVISIÓN",Y127&gt;=3,V127&gt;=2),"Sí","No"))</x:f>
      </x:c>
      <x:c r="AM127" s="69" t="str">
        <x:f>IF(A127="","",IF(AK127="Primaria propuesta","Primaria propuesta",IF(AK127="Revisión para slot exploratorio","Revisión / posible primaria exploratoria",IF(AK127="No seleccionable","No seleccionable","Contexto no primario"))))</x:f>
      </x:c>
      <x:c r="AN127" s="69" t="str">
        <x:f>IF(A127="","",IF(AM127="Primaria propuesta",IF(AH127&gt;=75,"40+20 probable",IF(AH127&gt;=55,"40 base + causales selectivas","40 base + probes mínimos")),IF(AM127="Revisión / posible primaria exploratoria","B0/B0.5 reconstrucción antes de Runtime","No abre Runtime profundo")))</x:f>
      </x:c>
      <x:c r="AO127" s="69" t="str">
        <x:f>IF(A127="","",IF(Z127="BLOQUEADA","No probe",IF(AH127&gt;=75,"Alta",IF(AH127&gt;=55,"Media",IF(Z127="REVISIÓN","Exploratoria","Baja")))))</x:f>
      </x:c>
      <x:c r="AP127" s="69" t="str">
        <x:f>IF(A127="","",IF(M127="","unknown",IF(M127&gt;=2,"Prometedora","Débil / validar en B0.5-B1")))</x:f>
      </x:c>
      <x:c r="AQ127" s="69" t="str">
        <x:f>IF(A127="","",IF(N127="","unknown",IF(N127&gt;=2,"Prometedora","Débil / validar en B2")))</x:f>
      </x:c>
      <x:c r="AR127" s="69" t="str">
        <x:f>IF(A127="","",IF(O127="","unknown",IF(O127&gt;=2,"Prometedora","Débil / validar en B3-B4")))</x:f>
      </x:c>
      <x:c r="AS127" s="69" t="str">
        <x:f>IF(A127="","",IF(P127="","unknown",IF(P127&gt;=2,"Prometedora","Débil / validar en B2-B4")))</x:f>
      </x:c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 t="str">
        <x:f>IF(A128="","",COUNTBLANK(M128:P128))</x:f>
      </x:c>
      <x:c r="Z128" s="69" t="str">
        <x:f>IF(A128="","",IF(OR(E128="",G128="No",H128="No",I128="Responsabilidad genérica",I128="Demasiado amplia",I128="Microtarea",J128="Duplicado evidente"),"BLOQUEADA",IF(OR(I128="Ambigua",L128&lt;1,K128&lt;1),"REVISIÓN","ELEGIBLE")))</x:f>
      </x:c>
      <x:c r="AA128" s="69" t="str">
        <x:f>IF(A128="","",IF(Z128="BLOQUEADA",0,ROUND(100*(IF(M128="",1.5,M128)+IF(N128="",1.5,N128)+IF(O128="",1.5,O128)+IF(P128="",1.5,P128))/12,1)))</x:f>
      </x:c>
      <x:c r="AB128" s="69" t="str">
        <x:f>IF(A128="","",IF(Z128="BLOQUEADA",0,ROUND(100*IF(Q128="",1.5,Q128)/3,1)))</x:f>
      </x:c>
      <x:c r="AC128" s="69" t="str">
        <x:f>IF(A128="","",IF(Z128="BLOQUEADA",0,ROUND(100*IF(R128="",1.5,R128)/3,1)))</x:f>
      </x:c>
      <x:c r="AD128" s="69" t="str">
        <x:f>IF(A128="","",IF(Z128="BLOQUEADA",0,ROUND(100*IF(S128="",1.5,S128)/3,1)))</x:f>
      </x:c>
      <x:c r="AE128" s="69" t="str">
        <x:f>IF(A128="","",IF(Z128="BLOQUEADA",0,ROUND(100*IF(T128="",1.5,T128)/3,1)))</x:f>
      </x:c>
      <x:c r="AF128" s="69" t="str">
        <x:f>IF(A128="","",IF(Z128="BLOQUEADA",0,ROUND(100*IF(U128="",1.5,U128)/3,1)))</x:f>
      </x:c>
      <x:c r="AG128" s="69" t="str">
        <x:f>IF(A128="","",ROUND(IF(Z128="BLOQUEADA",100,(X128*10)+(V128*8)+(W128*8)),1))</x:f>
      </x:c>
      <x:c r="AH128" s="69" t="str">
        <x:f>IF(A128="","",IF(Z128="BLOQUEADA",0,MAX(0,ROUND(0.30*AA128+0.20*AB128+0.15*AC128+0.15*AD128+0.10*AE128+0.10*AF128-AG128,1))))</x:f>
      </x:c>
      <x:c r="AI128" s="69" t="str">
        <x:f>IF(A128="","",IF(Z128="ELEGIBLE",RANK.EQ(AH128,$AH$2:$AH$201,0),""))</x:f>
      </x:c>
      <x:c r="AJ128" s="69" t="str">
        <x:f>IF(A128="","",IF(Z128="BLOQUEADA","No aplica",IF(Z128="REVISIÓN","Slot 8 posible: exploratorio",IF(AI128&lt;=5,"Slot 1-5: alto potencial",IF(R128&gt;=2.5,"Slot 6: handoff/dependencia",IF(S128&gt;=2.5,"Slot 7: transformación/objeto",IF(AND(K128&gt;=1,U128&gt;=2),"Slot 8 posible: exploratorio","Backlog/contexto")))))))</x:f>
      </x:c>
      <x:c r="AK128" s="69" t="str">
        <x:f>IF(A128="","",IF(Z128="BLOQUEADA","No seleccionable",IF(Z128="REVISIÓN","Revisión para slot exploratorio",IF(AI128&lt;=8,"Primaria propuesta","Contexto no primario"))))</x:f>
      </x:c>
      <x:c r="AL128" s="69" t="str">
        <x:f>IF(A128="","",IF(OR(Z128="REVISIÓN",Y128&gt;=3,V128&gt;=2),"Sí","No"))</x:f>
      </x:c>
      <x:c r="AM128" s="69" t="str">
        <x:f>IF(A128="","",IF(AK128="Primaria propuesta","Primaria propuesta",IF(AK128="Revisión para slot exploratorio","Revisión / posible primaria exploratoria",IF(AK128="No seleccionable","No seleccionable","Contexto no primario"))))</x:f>
      </x:c>
      <x:c r="AN128" s="69" t="str">
        <x:f>IF(A128="","",IF(AM128="Primaria propuesta",IF(AH128&gt;=75,"40+20 probable",IF(AH128&gt;=55,"40 base + causales selectivas","40 base + probes mínimos")),IF(AM128="Revisión / posible primaria exploratoria","B0/B0.5 reconstrucción antes de Runtime","No abre Runtime profundo")))</x:f>
      </x:c>
      <x:c r="AO128" s="69" t="str">
        <x:f>IF(A128="","",IF(Z128="BLOQUEADA","No probe",IF(AH128&gt;=75,"Alta",IF(AH128&gt;=55,"Media",IF(Z128="REVISIÓN","Exploratoria","Baja")))))</x:f>
      </x:c>
      <x:c r="AP128" s="69" t="str">
        <x:f>IF(A128="","",IF(M128="","unknown",IF(M128&gt;=2,"Prometedora","Débil / validar en B0.5-B1")))</x:f>
      </x:c>
      <x:c r="AQ128" s="69" t="str">
        <x:f>IF(A128="","",IF(N128="","unknown",IF(N128&gt;=2,"Prometedora","Débil / validar en B2")))</x:f>
      </x:c>
      <x:c r="AR128" s="69" t="str">
        <x:f>IF(A128="","",IF(O128="","unknown",IF(O128&gt;=2,"Prometedora","Débil / validar en B3-B4")))</x:f>
      </x:c>
      <x:c r="AS128" s="69" t="str">
        <x:f>IF(A128="","",IF(P128="","unknown",IF(P128&gt;=2,"Prometedora","Débil / validar en B2-B4")))</x:f>
      </x:c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 t="str">
        <x:f>IF(A129="","",COUNTBLANK(M129:P129))</x:f>
      </x:c>
      <x:c r="Z129" s="69" t="str">
        <x:f>IF(A129="","",IF(OR(E129="",G129="No",H129="No",I129="Responsabilidad genérica",I129="Demasiado amplia",I129="Microtarea",J129="Duplicado evidente"),"BLOQUEADA",IF(OR(I129="Ambigua",L129&lt;1,K129&lt;1),"REVISIÓN","ELEGIBLE")))</x:f>
      </x:c>
      <x:c r="AA129" s="69" t="str">
        <x:f>IF(A129="","",IF(Z129="BLOQUEADA",0,ROUND(100*(IF(M129="",1.5,M129)+IF(N129="",1.5,N129)+IF(O129="",1.5,O129)+IF(P129="",1.5,P129))/12,1)))</x:f>
      </x:c>
      <x:c r="AB129" s="69" t="str">
        <x:f>IF(A129="","",IF(Z129="BLOQUEADA",0,ROUND(100*IF(Q129="",1.5,Q129)/3,1)))</x:f>
      </x:c>
      <x:c r="AC129" s="69" t="str">
        <x:f>IF(A129="","",IF(Z129="BLOQUEADA",0,ROUND(100*IF(R129="",1.5,R129)/3,1)))</x:f>
      </x:c>
      <x:c r="AD129" s="69" t="str">
        <x:f>IF(A129="","",IF(Z129="BLOQUEADA",0,ROUND(100*IF(S129="",1.5,S129)/3,1)))</x:f>
      </x:c>
      <x:c r="AE129" s="69" t="str">
        <x:f>IF(A129="","",IF(Z129="BLOQUEADA",0,ROUND(100*IF(T129="",1.5,T129)/3,1)))</x:f>
      </x:c>
      <x:c r="AF129" s="69" t="str">
        <x:f>IF(A129="","",IF(Z129="BLOQUEADA",0,ROUND(100*IF(U129="",1.5,U129)/3,1)))</x:f>
      </x:c>
      <x:c r="AG129" s="69" t="str">
        <x:f>IF(A129="","",ROUND(IF(Z129="BLOQUEADA",100,(X129*10)+(V129*8)+(W129*8)),1))</x:f>
      </x:c>
      <x:c r="AH129" s="69" t="str">
        <x:f>IF(A129="","",IF(Z129="BLOQUEADA",0,MAX(0,ROUND(0.30*AA129+0.20*AB129+0.15*AC129+0.15*AD129+0.10*AE129+0.10*AF129-AG129,1))))</x:f>
      </x:c>
      <x:c r="AI129" s="69" t="str">
        <x:f>IF(A129="","",IF(Z129="ELEGIBLE",RANK.EQ(AH129,$AH$2:$AH$201,0),""))</x:f>
      </x:c>
      <x:c r="AJ129" s="69" t="str">
        <x:f>IF(A129="","",IF(Z129="BLOQUEADA","No aplica",IF(Z129="REVISIÓN","Slot 8 posible: exploratorio",IF(AI129&lt;=5,"Slot 1-5: alto potencial",IF(R129&gt;=2.5,"Slot 6: handoff/dependencia",IF(S129&gt;=2.5,"Slot 7: transformación/objeto",IF(AND(K129&gt;=1,U129&gt;=2),"Slot 8 posible: exploratorio","Backlog/contexto")))))))</x:f>
      </x:c>
      <x:c r="AK129" s="69" t="str">
        <x:f>IF(A129="","",IF(Z129="BLOQUEADA","No seleccionable",IF(Z129="REVISIÓN","Revisión para slot exploratorio",IF(AI129&lt;=8,"Primaria propuesta","Contexto no primario"))))</x:f>
      </x:c>
      <x:c r="AL129" s="69" t="str">
        <x:f>IF(A129="","",IF(OR(Z129="REVISIÓN",Y129&gt;=3,V129&gt;=2),"Sí","No"))</x:f>
      </x:c>
      <x:c r="AM129" s="69" t="str">
        <x:f>IF(A129="","",IF(AK129="Primaria propuesta","Primaria propuesta",IF(AK129="Revisión para slot exploratorio","Revisión / posible primaria exploratoria",IF(AK129="No seleccionable","No seleccionable","Contexto no primario"))))</x:f>
      </x:c>
      <x:c r="AN129" s="69" t="str">
        <x:f>IF(A129="","",IF(AM129="Primaria propuesta",IF(AH129&gt;=75,"40+20 probable",IF(AH129&gt;=55,"40 base + causales selectivas","40 base + probes mínimos")),IF(AM129="Revisión / posible primaria exploratoria","B0/B0.5 reconstrucción antes de Runtime","No abre Runtime profundo")))</x:f>
      </x:c>
      <x:c r="AO129" s="69" t="str">
        <x:f>IF(A129="","",IF(Z129="BLOQUEADA","No probe",IF(AH129&gt;=75,"Alta",IF(AH129&gt;=55,"Media",IF(Z129="REVISIÓN","Exploratoria","Baja")))))</x:f>
      </x:c>
      <x:c r="AP129" s="69" t="str">
        <x:f>IF(A129="","",IF(M129="","unknown",IF(M129&gt;=2,"Prometedora","Débil / validar en B0.5-B1")))</x:f>
      </x:c>
      <x:c r="AQ129" s="69" t="str">
        <x:f>IF(A129="","",IF(N129="","unknown",IF(N129&gt;=2,"Prometedora","Débil / validar en B2")))</x:f>
      </x:c>
      <x:c r="AR129" s="69" t="str">
        <x:f>IF(A129="","",IF(O129="","unknown",IF(O129&gt;=2,"Prometedora","Débil / validar en B3-B4")))</x:f>
      </x:c>
      <x:c r="AS129" s="69" t="str">
        <x:f>IF(A129="","",IF(P129="","unknown",IF(P129&gt;=2,"Prometedora","Débil / validar en B2-B4")))</x:f>
      </x:c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 t="str">
        <x:f>IF(A130="","",COUNTBLANK(M130:P130))</x:f>
      </x:c>
      <x:c r="Z130" s="69" t="str">
        <x:f>IF(A130="","",IF(OR(E130="",G130="No",H130="No",I130="Responsabilidad genérica",I130="Demasiado amplia",I130="Microtarea",J130="Duplicado evidente"),"BLOQUEADA",IF(OR(I130="Ambigua",L130&lt;1,K130&lt;1),"REVISIÓN","ELEGIBLE")))</x:f>
      </x:c>
      <x:c r="AA130" s="69" t="str">
        <x:f>IF(A130="","",IF(Z130="BLOQUEADA",0,ROUND(100*(IF(M130="",1.5,M130)+IF(N130="",1.5,N130)+IF(O130="",1.5,O130)+IF(P130="",1.5,P130))/12,1)))</x:f>
      </x:c>
      <x:c r="AB130" s="69" t="str">
        <x:f>IF(A130="","",IF(Z130="BLOQUEADA",0,ROUND(100*IF(Q130="",1.5,Q130)/3,1)))</x:f>
      </x:c>
      <x:c r="AC130" s="69" t="str">
        <x:f>IF(A130="","",IF(Z130="BLOQUEADA",0,ROUND(100*IF(R130="",1.5,R130)/3,1)))</x:f>
      </x:c>
      <x:c r="AD130" s="69" t="str">
        <x:f>IF(A130="","",IF(Z130="BLOQUEADA",0,ROUND(100*IF(S130="",1.5,S130)/3,1)))</x:f>
      </x:c>
      <x:c r="AE130" s="69" t="str">
        <x:f>IF(A130="","",IF(Z130="BLOQUEADA",0,ROUND(100*IF(T130="",1.5,T130)/3,1)))</x:f>
      </x:c>
      <x:c r="AF130" s="69" t="str">
        <x:f>IF(A130="","",IF(Z130="BLOQUEADA",0,ROUND(100*IF(U130="",1.5,U130)/3,1)))</x:f>
      </x:c>
      <x:c r="AG130" s="69" t="str">
        <x:f>IF(A130="","",ROUND(IF(Z130="BLOQUEADA",100,(X130*10)+(V130*8)+(W130*8)),1))</x:f>
      </x:c>
      <x:c r="AH130" s="69" t="str">
        <x:f>IF(A130="","",IF(Z130="BLOQUEADA",0,MAX(0,ROUND(0.30*AA130+0.20*AB130+0.15*AC130+0.15*AD130+0.10*AE130+0.10*AF130-AG130,1))))</x:f>
      </x:c>
      <x:c r="AI130" s="69" t="str">
        <x:f>IF(A130="","",IF(Z130="ELEGIBLE",RANK.EQ(AH130,$AH$2:$AH$201,0),""))</x:f>
      </x:c>
      <x:c r="AJ130" s="69" t="str">
        <x:f>IF(A130="","",IF(Z130="BLOQUEADA","No aplica",IF(Z130="REVISIÓN","Slot 8 posible: exploratorio",IF(AI130&lt;=5,"Slot 1-5: alto potencial",IF(R130&gt;=2.5,"Slot 6: handoff/dependencia",IF(S130&gt;=2.5,"Slot 7: transformación/objeto",IF(AND(K130&gt;=1,U130&gt;=2),"Slot 8 posible: exploratorio","Backlog/contexto")))))))</x:f>
      </x:c>
      <x:c r="AK130" s="69" t="str">
        <x:f>IF(A130="","",IF(Z130="BLOQUEADA","No seleccionable",IF(Z130="REVISIÓN","Revisión para slot exploratorio",IF(AI130&lt;=8,"Primaria propuesta","Contexto no primario"))))</x:f>
      </x:c>
      <x:c r="AL130" s="69" t="str">
        <x:f>IF(A130="","",IF(OR(Z130="REVISIÓN",Y130&gt;=3,V130&gt;=2),"Sí","No"))</x:f>
      </x:c>
      <x:c r="AM130" s="69" t="str">
        <x:f>IF(A130="","",IF(AK130="Primaria propuesta","Primaria propuesta",IF(AK130="Revisión para slot exploratorio","Revisión / posible primaria exploratoria",IF(AK130="No seleccionable","No seleccionable","Contexto no primario"))))</x:f>
      </x:c>
      <x:c r="AN130" s="69" t="str">
        <x:f>IF(A130="","",IF(AM130="Primaria propuesta",IF(AH130&gt;=75,"40+20 probable",IF(AH130&gt;=55,"40 base + causales selectivas","40 base + probes mínimos")),IF(AM130="Revisión / posible primaria exploratoria","B0/B0.5 reconstrucción antes de Runtime","No abre Runtime profundo")))</x:f>
      </x:c>
      <x:c r="AO130" s="69" t="str">
        <x:f>IF(A130="","",IF(Z130="BLOQUEADA","No probe",IF(AH130&gt;=75,"Alta",IF(AH130&gt;=55,"Media",IF(Z130="REVISIÓN","Exploratoria","Baja")))))</x:f>
      </x:c>
      <x:c r="AP130" s="69" t="str">
        <x:f>IF(A130="","",IF(M130="","unknown",IF(M130&gt;=2,"Prometedora","Débil / validar en B0.5-B1")))</x:f>
      </x:c>
      <x:c r="AQ130" s="69" t="str">
        <x:f>IF(A130="","",IF(N130="","unknown",IF(N130&gt;=2,"Prometedora","Débil / validar en B2")))</x:f>
      </x:c>
      <x:c r="AR130" s="69" t="str">
        <x:f>IF(A130="","",IF(O130="","unknown",IF(O130&gt;=2,"Prometedora","Débil / validar en B3-B4")))</x:f>
      </x:c>
      <x:c r="AS130" s="69" t="str">
        <x:f>IF(A130="","",IF(P130="","unknown",IF(P130&gt;=2,"Prometedora","Débil / validar en B2-B4")))</x:f>
      </x:c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 t="str">
        <x:f>IF(A131="","",COUNTBLANK(M131:P131))</x:f>
      </x:c>
      <x:c r="Z131" s="69" t="str">
        <x:f>IF(A131="","",IF(OR(E131="",G131="No",H131="No",I131="Responsabilidad genérica",I131="Demasiado amplia",I131="Microtarea",J131="Duplicado evidente"),"BLOQUEADA",IF(OR(I131="Ambigua",L131&lt;1,K131&lt;1),"REVISIÓN","ELEGIBLE")))</x:f>
      </x:c>
      <x:c r="AA131" s="69" t="str">
        <x:f>IF(A131="","",IF(Z131="BLOQUEADA",0,ROUND(100*(IF(M131="",1.5,M131)+IF(N131="",1.5,N131)+IF(O131="",1.5,O131)+IF(P131="",1.5,P131))/12,1)))</x:f>
      </x:c>
      <x:c r="AB131" s="69" t="str">
        <x:f>IF(A131="","",IF(Z131="BLOQUEADA",0,ROUND(100*IF(Q131="",1.5,Q131)/3,1)))</x:f>
      </x:c>
      <x:c r="AC131" s="69" t="str">
        <x:f>IF(A131="","",IF(Z131="BLOQUEADA",0,ROUND(100*IF(R131="",1.5,R131)/3,1)))</x:f>
      </x:c>
      <x:c r="AD131" s="69" t="str">
        <x:f>IF(A131="","",IF(Z131="BLOQUEADA",0,ROUND(100*IF(S131="",1.5,S131)/3,1)))</x:f>
      </x:c>
      <x:c r="AE131" s="69" t="str">
        <x:f>IF(A131="","",IF(Z131="BLOQUEADA",0,ROUND(100*IF(T131="",1.5,T131)/3,1)))</x:f>
      </x:c>
      <x:c r="AF131" s="69" t="str">
        <x:f>IF(A131="","",IF(Z131="BLOQUEADA",0,ROUND(100*IF(U131="",1.5,U131)/3,1)))</x:f>
      </x:c>
      <x:c r="AG131" s="69" t="str">
        <x:f>IF(A131="","",ROUND(IF(Z131="BLOQUEADA",100,(X131*10)+(V131*8)+(W131*8)),1))</x:f>
      </x:c>
      <x:c r="AH131" s="69" t="str">
        <x:f>IF(A131="","",IF(Z131="BLOQUEADA",0,MAX(0,ROUND(0.30*AA131+0.20*AB131+0.15*AC131+0.15*AD131+0.10*AE131+0.10*AF131-AG131,1))))</x:f>
      </x:c>
      <x:c r="AI131" s="69" t="str">
        <x:f>IF(A131="","",IF(Z131="ELEGIBLE",RANK.EQ(AH131,$AH$2:$AH$201,0),""))</x:f>
      </x:c>
      <x:c r="AJ131" s="69" t="str">
        <x:f>IF(A131="","",IF(Z131="BLOQUEADA","No aplica",IF(Z131="REVISIÓN","Slot 8 posible: exploratorio",IF(AI131&lt;=5,"Slot 1-5: alto potencial",IF(R131&gt;=2.5,"Slot 6: handoff/dependencia",IF(S131&gt;=2.5,"Slot 7: transformación/objeto",IF(AND(K131&gt;=1,U131&gt;=2),"Slot 8 posible: exploratorio","Backlog/contexto")))))))</x:f>
      </x:c>
      <x:c r="AK131" s="69" t="str">
        <x:f>IF(A131="","",IF(Z131="BLOQUEADA","No seleccionable",IF(Z131="REVISIÓN","Revisión para slot exploratorio",IF(AI131&lt;=8,"Primaria propuesta","Contexto no primario"))))</x:f>
      </x:c>
      <x:c r="AL131" s="69" t="str">
        <x:f>IF(A131="","",IF(OR(Z131="REVISIÓN",Y131&gt;=3,V131&gt;=2),"Sí","No"))</x:f>
      </x:c>
      <x:c r="AM131" s="69" t="str">
        <x:f>IF(A131="","",IF(AK131="Primaria propuesta","Primaria propuesta",IF(AK131="Revisión para slot exploratorio","Revisión / posible primaria exploratoria",IF(AK131="No seleccionable","No seleccionable","Contexto no primario"))))</x:f>
      </x:c>
      <x:c r="AN131" s="69" t="str">
        <x:f>IF(A131="","",IF(AM131="Primaria propuesta",IF(AH131&gt;=75,"40+20 probable",IF(AH131&gt;=55,"40 base + causales selectivas","40 base + probes mínimos")),IF(AM131="Revisión / posible primaria exploratoria","B0/B0.5 reconstrucción antes de Runtime","No abre Runtime profundo")))</x:f>
      </x:c>
      <x:c r="AO131" s="69" t="str">
        <x:f>IF(A131="","",IF(Z131="BLOQUEADA","No probe",IF(AH131&gt;=75,"Alta",IF(AH131&gt;=55,"Media",IF(Z131="REVISIÓN","Exploratoria","Baja")))))</x:f>
      </x:c>
      <x:c r="AP131" s="69" t="str">
        <x:f>IF(A131="","",IF(M131="","unknown",IF(M131&gt;=2,"Prometedora","Débil / validar en B0.5-B1")))</x:f>
      </x:c>
      <x:c r="AQ131" s="69" t="str">
        <x:f>IF(A131="","",IF(N131="","unknown",IF(N131&gt;=2,"Prometedora","Débil / validar en B2")))</x:f>
      </x:c>
      <x:c r="AR131" s="69" t="str">
        <x:f>IF(A131="","",IF(O131="","unknown",IF(O131&gt;=2,"Prometedora","Débil / validar en B3-B4")))</x:f>
      </x:c>
      <x:c r="AS131" s="69" t="str">
        <x:f>IF(A131="","",IF(P131="","unknown",IF(P131&gt;=2,"Prometedora","Débil / validar en B2-B4")))</x:f>
      </x:c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 t="str">
        <x:f>IF(A132="","",COUNTBLANK(M132:P132))</x:f>
      </x:c>
      <x:c r="Z132" s="69" t="str">
        <x:f>IF(A132="","",IF(OR(E132="",G132="No",H132="No",I132="Responsabilidad genérica",I132="Demasiado amplia",I132="Microtarea",J132="Duplicado evidente"),"BLOQUEADA",IF(OR(I132="Ambigua",L132&lt;1,K132&lt;1),"REVISIÓN","ELEGIBLE")))</x:f>
      </x:c>
      <x:c r="AA132" s="69" t="str">
        <x:f>IF(A132="","",IF(Z132="BLOQUEADA",0,ROUND(100*(IF(M132="",1.5,M132)+IF(N132="",1.5,N132)+IF(O132="",1.5,O132)+IF(P132="",1.5,P132))/12,1)))</x:f>
      </x:c>
      <x:c r="AB132" s="69" t="str">
        <x:f>IF(A132="","",IF(Z132="BLOQUEADA",0,ROUND(100*IF(Q132="",1.5,Q132)/3,1)))</x:f>
      </x:c>
      <x:c r="AC132" s="69" t="str">
        <x:f>IF(A132="","",IF(Z132="BLOQUEADA",0,ROUND(100*IF(R132="",1.5,R132)/3,1)))</x:f>
      </x:c>
      <x:c r="AD132" s="69" t="str">
        <x:f>IF(A132="","",IF(Z132="BLOQUEADA",0,ROUND(100*IF(S132="",1.5,S132)/3,1)))</x:f>
      </x:c>
      <x:c r="AE132" s="69" t="str">
        <x:f>IF(A132="","",IF(Z132="BLOQUEADA",0,ROUND(100*IF(T132="",1.5,T132)/3,1)))</x:f>
      </x:c>
      <x:c r="AF132" s="69" t="str">
        <x:f>IF(A132="","",IF(Z132="BLOQUEADA",0,ROUND(100*IF(U132="",1.5,U132)/3,1)))</x:f>
      </x:c>
      <x:c r="AG132" s="69" t="str">
        <x:f>IF(A132="","",ROUND(IF(Z132="BLOQUEADA",100,(X132*10)+(V132*8)+(W132*8)),1))</x:f>
      </x:c>
      <x:c r="AH132" s="69" t="str">
        <x:f>IF(A132="","",IF(Z132="BLOQUEADA",0,MAX(0,ROUND(0.30*AA132+0.20*AB132+0.15*AC132+0.15*AD132+0.10*AE132+0.10*AF132-AG132,1))))</x:f>
      </x:c>
      <x:c r="AI132" s="69" t="str">
        <x:f>IF(A132="","",IF(Z132="ELEGIBLE",RANK.EQ(AH132,$AH$2:$AH$201,0),""))</x:f>
      </x:c>
      <x:c r="AJ132" s="69" t="str">
        <x:f>IF(A132="","",IF(Z132="BLOQUEADA","No aplica",IF(Z132="REVISIÓN","Slot 8 posible: exploratorio",IF(AI132&lt;=5,"Slot 1-5: alto potencial",IF(R132&gt;=2.5,"Slot 6: handoff/dependencia",IF(S132&gt;=2.5,"Slot 7: transformación/objeto",IF(AND(K132&gt;=1,U132&gt;=2),"Slot 8 posible: exploratorio","Backlog/contexto")))))))</x:f>
      </x:c>
      <x:c r="AK132" s="69" t="str">
        <x:f>IF(A132="","",IF(Z132="BLOQUEADA","No seleccionable",IF(Z132="REVISIÓN","Revisión para slot exploratorio",IF(AI132&lt;=8,"Primaria propuesta","Contexto no primario"))))</x:f>
      </x:c>
      <x:c r="AL132" s="69" t="str">
        <x:f>IF(A132="","",IF(OR(Z132="REVISIÓN",Y132&gt;=3,V132&gt;=2),"Sí","No"))</x:f>
      </x:c>
      <x:c r="AM132" s="69" t="str">
        <x:f>IF(A132="","",IF(AK132="Primaria propuesta","Primaria propuesta",IF(AK132="Revisión para slot exploratorio","Revisión / posible primaria exploratoria",IF(AK132="No seleccionable","No seleccionable","Contexto no primario"))))</x:f>
      </x:c>
      <x:c r="AN132" s="69" t="str">
        <x:f>IF(A132="","",IF(AM132="Primaria propuesta",IF(AH132&gt;=75,"40+20 probable",IF(AH132&gt;=55,"40 base + causales selectivas","40 base + probes mínimos")),IF(AM132="Revisión / posible primaria exploratoria","B0/B0.5 reconstrucción antes de Runtime","No abre Runtime profundo")))</x:f>
      </x:c>
      <x:c r="AO132" s="69" t="str">
        <x:f>IF(A132="","",IF(Z132="BLOQUEADA","No probe",IF(AH132&gt;=75,"Alta",IF(AH132&gt;=55,"Media",IF(Z132="REVISIÓN","Exploratoria","Baja")))))</x:f>
      </x:c>
      <x:c r="AP132" s="69" t="str">
        <x:f>IF(A132="","",IF(M132="","unknown",IF(M132&gt;=2,"Prometedora","Débil / validar en B0.5-B1")))</x:f>
      </x:c>
      <x:c r="AQ132" s="69" t="str">
        <x:f>IF(A132="","",IF(N132="","unknown",IF(N132&gt;=2,"Prometedora","Débil / validar en B2")))</x:f>
      </x:c>
      <x:c r="AR132" s="69" t="str">
        <x:f>IF(A132="","",IF(O132="","unknown",IF(O132&gt;=2,"Prometedora","Débil / validar en B3-B4")))</x:f>
      </x:c>
      <x:c r="AS132" s="69" t="str">
        <x:f>IF(A132="","",IF(P132="","unknown",IF(P132&gt;=2,"Prometedora","Débil / validar en B2-B4")))</x:f>
      </x:c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 t="str">
        <x:f>IF(A133="","",COUNTBLANK(M133:P133))</x:f>
      </x:c>
      <x:c r="Z133" s="69" t="str">
        <x:f>IF(A133="","",IF(OR(E133="",G133="No",H133="No",I133="Responsabilidad genérica",I133="Demasiado amplia",I133="Microtarea",J133="Duplicado evidente"),"BLOQUEADA",IF(OR(I133="Ambigua",L133&lt;1,K133&lt;1),"REVISIÓN","ELEGIBLE")))</x:f>
      </x:c>
      <x:c r="AA133" s="69" t="str">
        <x:f>IF(A133="","",IF(Z133="BLOQUEADA",0,ROUND(100*(IF(M133="",1.5,M133)+IF(N133="",1.5,N133)+IF(O133="",1.5,O133)+IF(P133="",1.5,P133))/12,1)))</x:f>
      </x:c>
      <x:c r="AB133" s="69" t="str">
        <x:f>IF(A133="","",IF(Z133="BLOQUEADA",0,ROUND(100*IF(Q133="",1.5,Q133)/3,1)))</x:f>
      </x:c>
      <x:c r="AC133" s="69" t="str">
        <x:f>IF(A133="","",IF(Z133="BLOQUEADA",0,ROUND(100*IF(R133="",1.5,R133)/3,1)))</x:f>
      </x:c>
      <x:c r="AD133" s="69" t="str">
        <x:f>IF(A133="","",IF(Z133="BLOQUEADA",0,ROUND(100*IF(S133="",1.5,S133)/3,1)))</x:f>
      </x:c>
      <x:c r="AE133" s="69" t="str">
        <x:f>IF(A133="","",IF(Z133="BLOQUEADA",0,ROUND(100*IF(T133="",1.5,T133)/3,1)))</x:f>
      </x:c>
      <x:c r="AF133" s="69" t="str">
        <x:f>IF(A133="","",IF(Z133="BLOQUEADA",0,ROUND(100*IF(U133="",1.5,U133)/3,1)))</x:f>
      </x:c>
      <x:c r="AG133" s="69" t="str">
        <x:f>IF(A133="","",ROUND(IF(Z133="BLOQUEADA",100,(X133*10)+(V133*8)+(W133*8)),1))</x:f>
      </x:c>
      <x:c r="AH133" s="69" t="str">
        <x:f>IF(A133="","",IF(Z133="BLOQUEADA",0,MAX(0,ROUND(0.30*AA133+0.20*AB133+0.15*AC133+0.15*AD133+0.10*AE133+0.10*AF133-AG133,1))))</x:f>
      </x:c>
      <x:c r="AI133" s="69" t="str">
        <x:f>IF(A133="","",IF(Z133="ELEGIBLE",RANK.EQ(AH133,$AH$2:$AH$201,0),""))</x:f>
      </x:c>
      <x:c r="AJ133" s="69" t="str">
        <x:f>IF(A133="","",IF(Z133="BLOQUEADA","No aplica",IF(Z133="REVISIÓN","Slot 8 posible: exploratorio",IF(AI133&lt;=5,"Slot 1-5: alto potencial",IF(R133&gt;=2.5,"Slot 6: handoff/dependencia",IF(S133&gt;=2.5,"Slot 7: transformación/objeto",IF(AND(K133&gt;=1,U133&gt;=2),"Slot 8 posible: exploratorio","Backlog/contexto")))))))</x:f>
      </x:c>
      <x:c r="AK133" s="69" t="str">
        <x:f>IF(A133="","",IF(Z133="BLOQUEADA","No seleccionable",IF(Z133="REVISIÓN","Revisión para slot exploratorio",IF(AI133&lt;=8,"Primaria propuesta","Contexto no primario"))))</x:f>
      </x:c>
      <x:c r="AL133" s="69" t="str">
        <x:f>IF(A133="","",IF(OR(Z133="REVISIÓN",Y133&gt;=3,V133&gt;=2),"Sí","No"))</x:f>
      </x:c>
      <x:c r="AM133" s="69" t="str">
        <x:f>IF(A133="","",IF(AK133="Primaria propuesta","Primaria propuesta",IF(AK133="Revisión para slot exploratorio","Revisión / posible primaria exploratoria",IF(AK133="No seleccionable","No seleccionable","Contexto no primario"))))</x:f>
      </x:c>
      <x:c r="AN133" s="69" t="str">
        <x:f>IF(A133="","",IF(AM133="Primaria propuesta",IF(AH133&gt;=75,"40+20 probable",IF(AH133&gt;=55,"40 base + causales selectivas","40 base + probes mínimos")),IF(AM133="Revisión / posible primaria exploratoria","B0/B0.5 reconstrucción antes de Runtime","No abre Runtime profundo")))</x:f>
      </x:c>
      <x:c r="AO133" s="69" t="str">
        <x:f>IF(A133="","",IF(Z133="BLOQUEADA","No probe",IF(AH133&gt;=75,"Alta",IF(AH133&gt;=55,"Media",IF(Z133="REVISIÓN","Exploratoria","Baja")))))</x:f>
      </x:c>
      <x:c r="AP133" s="69" t="str">
        <x:f>IF(A133="","",IF(M133="","unknown",IF(M133&gt;=2,"Prometedora","Débil / validar en B0.5-B1")))</x:f>
      </x:c>
      <x:c r="AQ133" s="69" t="str">
        <x:f>IF(A133="","",IF(N133="","unknown",IF(N133&gt;=2,"Prometedora","Débil / validar en B2")))</x:f>
      </x:c>
      <x:c r="AR133" s="69" t="str">
        <x:f>IF(A133="","",IF(O133="","unknown",IF(O133&gt;=2,"Prometedora","Débil / validar en B3-B4")))</x:f>
      </x:c>
      <x:c r="AS133" s="69" t="str">
        <x:f>IF(A133="","",IF(P133="","unknown",IF(P133&gt;=2,"Prometedora","Débil / validar en B2-B4")))</x:f>
      </x:c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 t="str">
        <x:f>IF(A134="","",COUNTBLANK(M134:P134))</x:f>
      </x:c>
      <x:c r="Z134" s="69" t="str">
        <x:f>IF(A134="","",IF(OR(E134="",G134="No",H134="No",I134="Responsabilidad genérica",I134="Demasiado amplia",I134="Microtarea",J134="Duplicado evidente"),"BLOQUEADA",IF(OR(I134="Ambigua",L134&lt;1,K134&lt;1),"REVISIÓN","ELEGIBLE")))</x:f>
      </x:c>
      <x:c r="AA134" s="69" t="str">
        <x:f>IF(A134="","",IF(Z134="BLOQUEADA",0,ROUND(100*(IF(M134="",1.5,M134)+IF(N134="",1.5,N134)+IF(O134="",1.5,O134)+IF(P134="",1.5,P134))/12,1)))</x:f>
      </x:c>
      <x:c r="AB134" s="69" t="str">
        <x:f>IF(A134="","",IF(Z134="BLOQUEADA",0,ROUND(100*IF(Q134="",1.5,Q134)/3,1)))</x:f>
      </x:c>
      <x:c r="AC134" s="69" t="str">
        <x:f>IF(A134="","",IF(Z134="BLOQUEADA",0,ROUND(100*IF(R134="",1.5,R134)/3,1)))</x:f>
      </x:c>
      <x:c r="AD134" s="69" t="str">
        <x:f>IF(A134="","",IF(Z134="BLOQUEADA",0,ROUND(100*IF(S134="",1.5,S134)/3,1)))</x:f>
      </x:c>
      <x:c r="AE134" s="69" t="str">
        <x:f>IF(A134="","",IF(Z134="BLOQUEADA",0,ROUND(100*IF(T134="",1.5,T134)/3,1)))</x:f>
      </x:c>
      <x:c r="AF134" s="69" t="str">
        <x:f>IF(A134="","",IF(Z134="BLOQUEADA",0,ROUND(100*IF(U134="",1.5,U134)/3,1)))</x:f>
      </x:c>
      <x:c r="AG134" s="69" t="str">
        <x:f>IF(A134="","",ROUND(IF(Z134="BLOQUEADA",100,(X134*10)+(V134*8)+(W134*8)),1))</x:f>
      </x:c>
      <x:c r="AH134" s="69" t="str">
        <x:f>IF(A134="","",IF(Z134="BLOQUEADA",0,MAX(0,ROUND(0.30*AA134+0.20*AB134+0.15*AC134+0.15*AD134+0.10*AE134+0.10*AF134-AG134,1))))</x:f>
      </x:c>
      <x:c r="AI134" s="69" t="str">
        <x:f>IF(A134="","",IF(Z134="ELEGIBLE",RANK.EQ(AH134,$AH$2:$AH$201,0),""))</x:f>
      </x:c>
      <x:c r="AJ134" s="69" t="str">
        <x:f>IF(A134="","",IF(Z134="BLOQUEADA","No aplica",IF(Z134="REVISIÓN","Slot 8 posible: exploratorio",IF(AI134&lt;=5,"Slot 1-5: alto potencial",IF(R134&gt;=2.5,"Slot 6: handoff/dependencia",IF(S134&gt;=2.5,"Slot 7: transformación/objeto",IF(AND(K134&gt;=1,U134&gt;=2),"Slot 8 posible: exploratorio","Backlog/contexto")))))))</x:f>
      </x:c>
      <x:c r="AK134" s="69" t="str">
        <x:f>IF(A134="","",IF(Z134="BLOQUEADA","No seleccionable",IF(Z134="REVISIÓN","Revisión para slot exploratorio",IF(AI134&lt;=8,"Primaria propuesta","Contexto no primario"))))</x:f>
      </x:c>
      <x:c r="AL134" s="69" t="str">
        <x:f>IF(A134="","",IF(OR(Z134="REVISIÓN",Y134&gt;=3,V134&gt;=2),"Sí","No"))</x:f>
      </x:c>
      <x:c r="AM134" s="69" t="str">
        <x:f>IF(A134="","",IF(AK134="Primaria propuesta","Primaria propuesta",IF(AK134="Revisión para slot exploratorio","Revisión / posible primaria exploratoria",IF(AK134="No seleccionable","No seleccionable","Contexto no primario"))))</x:f>
      </x:c>
      <x:c r="AN134" s="69" t="str">
        <x:f>IF(A134="","",IF(AM134="Primaria propuesta",IF(AH134&gt;=75,"40+20 probable",IF(AH134&gt;=55,"40 base + causales selectivas","40 base + probes mínimos")),IF(AM134="Revisión / posible primaria exploratoria","B0/B0.5 reconstrucción antes de Runtime","No abre Runtime profundo")))</x:f>
      </x:c>
      <x:c r="AO134" s="69" t="str">
        <x:f>IF(A134="","",IF(Z134="BLOQUEADA","No probe",IF(AH134&gt;=75,"Alta",IF(AH134&gt;=55,"Media",IF(Z134="REVISIÓN","Exploratoria","Baja")))))</x:f>
      </x:c>
      <x:c r="AP134" s="69" t="str">
        <x:f>IF(A134="","",IF(M134="","unknown",IF(M134&gt;=2,"Prometedora","Débil / validar en B0.5-B1")))</x:f>
      </x:c>
      <x:c r="AQ134" s="69" t="str">
        <x:f>IF(A134="","",IF(N134="","unknown",IF(N134&gt;=2,"Prometedora","Débil / validar en B2")))</x:f>
      </x:c>
      <x:c r="AR134" s="69" t="str">
        <x:f>IF(A134="","",IF(O134="","unknown",IF(O134&gt;=2,"Prometedora","Débil / validar en B3-B4")))</x:f>
      </x:c>
      <x:c r="AS134" s="69" t="str">
        <x:f>IF(A134="","",IF(P134="","unknown",IF(P134&gt;=2,"Prometedora","Débil / validar en B2-B4")))</x:f>
      </x:c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 t="str">
        <x:f>IF(A135="","",COUNTBLANK(M135:P135))</x:f>
      </x:c>
      <x:c r="Z135" s="69" t="str">
        <x:f>IF(A135="","",IF(OR(E135="",G135="No",H135="No",I135="Responsabilidad genérica",I135="Demasiado amplia",I135="Microtarea",J135="Duplicado evidente"),"BLOQUEADA",IF(OR(I135="Ambigua",L135&lt;1,K135&lt;1),"REVISIÓN","ELEGIBLE")))</x:f>
      </x:c>
      <x:c r="AA135" s="69" t="str">
        <x:f>IF(A135="","",IF(Z135="BLOQUEADA",0,ROUND(100*(IF(M135="",1.5,M135)+IF(N135="",1.5,N135)+IF(O135="",1.5,O135)+IF(P135="",1.5,P135))/12,1)))</x:f>
      </x:c>
      <x:c r="AB135" s="69" t="str">
        <x:f>IF(A135="","",IF(Z135="BLOQUEADA",0,ROUND(100*IF(Q135="",1.5,Q135)/3,1)))</x:f>
      </x:c>
      <x:c r="AC135" s="69" t="str">
        <x:f>IF(A135="","",IF(Z135="BLOQUEADA",0,ROUND(100*IF(R135="",1.5,R135)/3,1)))</x:f>
      </x:c>
      <x:c r="AD135" s="69" t="str">
        <x:f>IF(A135="","",IF(Z135="BLOQUEADA",0,ROUND(100*IF(S135="",1.5,S135)/3,1)))</x:f>
      </x:c>
      <x:c r="AE135" s="69" t="str">
        <x:f>IF(A135="","",IF(Z135="BLOQUEADA",0,ROUND(100*IF(T135="",1.5,T135)/3,1)))</x:f>
      </x:c>
      <x:c r="AF135" s="69" t="str">
        <x:f>IF(A135="","",IF(Z135="BLOQUEADA",0,ROUND(100*IF(U135="",1.5,U135)/3,1)))</x:f>
      </x:c>
      <x:c r="AG135" s="69" t="str">
        <x:f>IF(A135="","",ROUND(IF(Z135="BLOQUEADA",100,(X135*10)+(V135*8)+(W135*8)),1))</x:f>
      </x:c>
      <x:c r="AH135" s="69" t="str">
        <x:f>IF(A135="","",IF(Z135="BLOQUEADA",0,MAX(0,ROUND(0.30*AA135+0.20*AB135+0.15*AC135+0.15*AD135+0.10*AE135+0.10*AF135-AG135,1))))</x:f>
      </x:c>
      <x:c r="AI135" s="69" t="str">
        <x:f>IF(A135="","",IF(Z135="ELEGIBLE",RANK.EQ(AH135,$AH$2:$AH$201,0),""))</x:f>
      </x:c>
      <x:c r="AJ135" s="69" t="str">
        <x:f>IF(A135="","",IF(Z135="BLOQUEADA","No aplica",IF(Z135="REVISIÓN","Slot 8 posible: exploratorio",IF(AI135&lt;=5,"Slot 1-5: alto potencial",IF(R135&gt;=2.5,"Slot 6: handoff/dependencia",IF(S135&gt;=2.5,"Slot 7: transformación/objeto",IF(AND(K135&gt;=1,U135&gt;=2),"Slot 8 posible: exploratorio","Backlog/contexto")))))))</x:f>
      </x:c>
      <x:c r="AK135" s="69" t="str">
        <x:f>IF(A135="","",IF(Z135="BLOQUEADA","No seleccionable",IF(Z135="REVISIÓN","Revisión para slot exploratorio",IF(AI135&lt;=8,"Primaria propuesta","Contexto no primario"))))</x:f>
      </x:c>
      <x:c r="AL135" s="69" t="str">
        <x:f>IF(A135="","",IF(OR(Z135="REVISIÓN",Y135&gt;=3,V135&gt;=2),"Sí","No"))</x:f>
      </x:c>
      <x:c r="AM135" s="69" t="str">
        <x:f>IF(A135="","",IF(AK135="Primaria propuesta","Primaria propuesta",IF(AK135="Revisión para slot exploratorio","Revisión / posible primaria exploratoria",IF(AK135="No seleccionable","No seleccionable","Contexto no primario"))))</x:f>
      </x:c>
      <x:c r="AN135" s="69" t="str">
        <x:f>IF(A135="","",IF(AM135="Primaria propuesta",IF(AH135&gt;=75,"40+20 probable",IF(AH135&gt;=55,"40 base + causales selectivas","40 base + probes mínimos")),IF(AM135="Revisión / posible primaria exploratoria","B0/B0.5 reconstrucción antes de Runtime","No abre Runtime profundo")))</x:f>
      </x:c>
      <x:c r="AO135" s="69" t="str">
        <x:f>IF(A135="","",IF(Z135="BLOQUEADA","No probe",IF(AH135&gt;=75,"Alta",IF(AH135&gt;=55,"Media",IF(Z135="REVISIÓN","Exploratoria","Baja")))))</x:f>
      </x:c>
      <x:c r="AP135" s="69" t="str">
        <x:f>IF(A135="","",IF(M135="","unknown",IF(M135&gt;=2,"Prometedora","Débil / validar en B0.5-B1")))</x:f>
      </x:c>
      <x:c r="AQ135" s="69" t="str">
        <x:f>IF(A135="","",IF(N135="","unknown",IF(N135&gt;=2,"Prometedora","Débil / validar en B2")))</x:f>
      </x:c>
      <x:c r="AR135" s="69" t="str">
        <x:f>IF(A135="","",IF(O135="","unknown",IF(O135&gt;=2,"Prometedora","Débil / validar en B3-B4")))</x:f>
      </x:c>
      <x:c r="AS135" s="69" t="str">
        <x:f>IF(A135="","",IF(P135="","unknown",IF(P135&gt;=2,"Prometedora","Débil / validar en B2-B4")))</x:f>
      </x:c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 t="str">
        <x:f>IF(A136="","",COUNTBLANK(M136:P136))</x:f>
      </x:c>
      <x:c r="Z136" s="69" t="str">
        <x:f>IF(A136="","",IF(OR(E136="",G136="No",H136="No",I136="Responsabilidad genérica",I136="Demasiado amplia",I136="Microtarea",J136="Duplicado evidente"),"BLOQUEADA",IF(OR(I136="Ambigua",L136&lt;1,K136&lt;1),"REVISIÓN","ELEGIBLE")))</x:f>
      </x:c>
      <x:c r="AA136" s="69" t="str">
        <x:f>IF(A136="","",IF(Z136="BLOQUEADA",0,ROUND(100*(IF(M136="",1.5,M136)+IF(N136="",1.5,N136)+IF(O136="",1.5,O136)+IF(P136="",1.5,P136))/12,1)))</x:f>
      </x:c>
      <x:c r="AB136" s="69" t="str">
        <x:f>IF(A136="","",IF(Z136="BLOQUEADA",0,ROUND(100*IF(Q136="",1.5,Q136)/3,1)))</x:f>
      </x:c>
      <x:c r="AC136" s="69" t="str">
        <x:f>IF(A136="","",IF(Z136="BLOQUEADA",0,ROUND(100*IF(R136="",1.5,R136)/3,1)))</x:f>
      </x:c>
      <x:c r="AD136" s="69" t="str">
        <x:f>IF(A136="","",IF(Z136="BLOQUEADA",0,ROUND(100*IF(S136="",1.5,S136)/3,1)))</x:f>
      </x:c>
      <x:c r="AE136" s="69" t="str">
        <x:f>IF(A136="","",IF(Z136="BLOQUEADA",0,ROUND(100*IF(T136="",1.5,T136)/3,1)))</x:f>
      </x:c>
      <x:c r="AF136" s="69" t="str">
        <x:f>IF(A136="","",IF(Z136="BLOQUEADA",0,ROUND(100*IF(U136="",1.5,U136)/3,1)))</x:f>
      </x:c>
      <x:c r="AG136" s="69" t="str">
        <x:f>IF(A136="","",ROUND(IF(Z136="BLOQUEADA",100,(X136*10)+(V136*8)+(W136*8)),1))</x:f>
      </x:c>
      <x:c r="AH136" s="69" t="str">
        <x:f>IF(A136="","",IF(Z136="BLOQUEADA",0,MAX(0,ROUND(0.30*AA136+0.20*AB136+0.15*AC136+0.15*AD136+0.10*AE136+0.10*AF136-AG136,1))))</x:f>
      </x:c>
      <x:c r="AI136" s="69" t="str">
        <x:f>IF(A136="","",IF(Z136="ELEGIBLE",RANK.EQ(AH136,$AH$2:$AH$201,0),""))</x:f>
      </x:c>
      <x:c r="AJ136" s="69" t="str">
        <x:f>IF(A136="","",IF(Z136="BLOQUEADA","No aplica",IF(Z136="REVISIÓN","Slot 8 posible: exploratorio",IF(AI136&lt;=5,"Slot 1-5: alto potencial",IF(R136&gt;=2.5,"Slot 6: handoff/dependencia",IF(S136&gt;=2.5,"Slot 7: transformación/objeto",IF(AND(K136&gt;=1,U136&gt;=2),"Slot 8 posible: exploratorio","Backlog/contexto")))))))</x:f>
      </x:c>
      <x:c r="AK136" s="69" t="str">
        <x:f>IF(A136="","",IF(Z136="BLOQUEADA","No seleccionable",IF(Z136="REVISIÓN","Revisión para slot exploratorio",IF(AI136&lt;=8,"Primaria propuesta","Contexto no primario"))))</x:f>
      </x:c>
      <x:c r="AL136" s="69" t="str">
        <x:f>IF(A136="","",IF(OR(Z136="REVISIÓN",Y136&gt;=3,V136&gt;=2),"Sí","No"))</x:f>
      </x:c>
      <x:c r="AM136" s="69" t="str">
        <x:f>IF(A136="","",IF(AK136="Primaria propuesta","Primaria propuesta",IF(AK136="Revisión para slot exploratorio","Revisión / posible primaria exploratoria",IF(AK136="No seleccionable","No seleccionable","Contexto no primario"))))</x:f>
      </x:c>
      <x:c r="AN136" s="69" t="str">
        <x:f>IF(A136="","",IF(AM136="Primaria propuesta",IF(AH136&gt;=75,"40+20 probable",IF(AH136&gt;=55,"40 base + causales selectivas","40 base + probes mínimos")),IF(AM136="Revisión / posible primaria exploratoria","B0/B0.5 reconstrucción antes de Runtime","No abre Runtime profundo")))</x:f>
      </x:c>
      <x:c r="AO136" s="69" t="str">
        <x:f>IF(A136="","",IF(Z136="BLOQUEADA","No probe",IF(AH136&gt;=75,"Alta",IF(AH136&gt;=55,"Media",IF(Z136="REVISIÓN","Exploratoria","Baja")))))</x:f>
      </x:c>
      <x:c r="AP136" s="69" t="str">
        <x:f>IF(A136="","",IF(M136="","unknown",IF(M136&gt;=2,"Prometedora","Débil / validar en B0.5-B1")))</x:f>
      </x:c>
      <x:c r="AQ136" s="69" t="str">
        <x:f>IF(A136="","",IF(N136="","unknown",IF(N136&gt;=2,"Prometedora","Débil / validar en B2")))</x:f>
      </x:c>
      <x:c r="AR136" s="69" t="str">
        <x:f>IF(A136="","",IF(O136="","unknown",IF(O136&gt;=2,"Prometedora","Débil / validar en B3-B4")))</x:f>
      </x:c>
      <x:c r="AS136" s="69" t="str">
        <x:f>IF(A136="","",IF(P136="","unknown",IF(P136&gt;=2,"Prometedora","Débil / validar en B2-B4")))</x:f>
      </x:c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 t="str">
        <x:f>IF(A137="","",COUNTBLANK(M137:P137))</x:f>
      </x:c>
      <x:c r="Z137" s="69" t="str">
        <x:f>IF(A137="","",IF(OR(E137="",G137="No",H137="No",I137="Responsabilidad genérica",I137="Demasiado amplia",I137="Microtarea",J137="Duplicado evidente"),"BLOQUEADA",IF(OR(I137="Ambigua",L137&lt;1,K137&lt;1),"REVISIÓN","ELEGIBLE")))</x:f>
      </x:c>
      <x:c r="AA137" s="69" t="str">
        <x:f>IF(A137="","",IF(Z137="BLOQUEADA",0,ROUND(100*(IF(M137="",1.5,M137)+IF(N137="",1.5,N137)+IF(O137="",1.5,O137)+IF(P137="",1.5,P137))/12,1)))</x:f>
      </x:c>
      <x:c r="AB137" s="69" t="str">
        <x:f>IF(A137="","",IF(Z137="BLOQUEADA",0,ROUND(100*IF(Q137="",1.5,Q137)/3,1)))</x:f>
      </x:c>
      <x:c r="AC137" s="69" t="str">
        <x:f>IF(A137="","",IF(Z137="BLOQUEADA",0,ROUND(100*IF(R137="",1.5,R137)/3,1)))</x:f>
      </x:c>
      <x:c r="AD137" s="69" t="str">
        <x:f>IF(A137="","",IF(Z137="BLOQUEADA",0,ROUND(100*IF(S137="",1.5,S137)/3,1)))</x:f>
      </x:c>
      <x:c r="AE137" s="69" t="str">
        <x:f>IF(A137="","",IF(Z137="BLOQUEADA",0,ROUND(100*IF(T137="",1.5,T137)/3,1)))</x:f>
      </x:c>
      <x:c r="AF137" s="69" t="str">
        <x:f>IF(A137="","",IF(Z137="BLOQUEADA",0,ROUND(100*IF(U137="",1.5,U137)/3,1)))</x:f>
      </x:c>
      <x:c r="AG137" s="69" t="str">
        <x:f>IF(A137="","",ROUND(IF(Z137="BLOQUEADA",100,(X137*10)+(V137*8)+(W137*8)),1))</x:f>
      </x:c>
      <x:c r="AH137" s="69" t="str">
        <x:f>IF(A137="","",IF(Z137="BLOQUEADA",0,MAX(0,ROUND(0.30*AA137+0.20*AB137+0.15*AC137+0.15*AD137+0.10*AE137+0.10*AF137-AG137,1))))</x:f>
      </x:c>
      <x:c r="AI137" s="69" t="str">
        <x:f>IF(A137="","",IF(Z137="ELEGIBLE",RANK.EQ(AH137,$AH$2:$AH$201,0),""))</x:f>
      </x:c>
      <x:c r="AJ137" s="69" t="str">
        <x:f>IF(A137="","",IF(Z137="BLOQUEADA","No aplica",IF(Z137="REVISIÓN","Slot 8 posible: exploratorio",IF(AI137&lt;=5,"Slot 1-5: alto potencial",IF(R137&gt;=2.5,"Slot 6: handoff/dependencia",IF(S137&gt;=2.5,"Slot 7: transformación/objeto",IF(AND(K137&gt;=1,U137&gt;=2),"Slot 8 posible: exploratorio","Backlog/contexto")))))))</x:f>
      </x:c>
      <x:c r="AK137" s="69" t="str">
        <x:f>IF(A137="","",IF(Z137="BLOQUEADA","No seleccionable",IF(Z137="REVISIÓN","Revisión para slot exploratorio",IF(AI137&lt;=8,"Primaria propuesta","Contexto no primario"))))</x:f>
      </x:c>
      <x:c r="AL137" s="69" t="str">
        <x:f>IF(A137="","",IF(OR(Z137="REVISIÓN",Y137&gt;=3,V137&gt;=2),"Sí","No"))</x:f>
      </x:c>
      <x:c r="AM137" s="69" t="str">
        <x:f>IF(A137="","",IF(AK137="Primaria propuesta","Primaria propuesta",IF(AK137="Revisión para slot exploratorio","Revisión / posible primaria exploratoria",IF(AK137="No seleccionable","No seleccionable","Contexto no primario"))))</x:f>
      </x:c>
      <x:c r="AN137" s="69" t="str">
        <x:f>IF(A137="","",IF(AM137="Primaria propuesta",IF(AH137&gt;=75,"40+20 probable",IF(AH137&gt;=55,"40 base + causales selectivas","40 base + probes mínimos")),IF(AM137="Revisión / posible primaria exploratoria","B0/B0.5 reconstrucción antes de Runtime","No abre Runtime profundo")))</x:f>
      </x:c>
      <x:c r="AO137" s="69" t="str">
        <x:f>IF(A137="","",IF(Z137="BLOQUEADA","No probe",IF(AH137&gt;=75,"Alta",IF(AH137&gt;=55,"Media",IF(Z137="REVISIÓN","Exploratoria","Baja")))))</x:f>
      </x:c>
      <x:c r="AP137" s="69" t="str">
        <x:f>IF(A137="","",IF(M137="","unknown",IF(M137&gt;=2,"Prometedora","Débil / validar en B0.5-B1")))</x:f>
      </x:c>
      <x:c r="AQ137" s="69" t="str">
        <x:f>IF(A137="","",IF(N137="","unknown",IF(N137&gt;=2,"Prometedora","Débil / validar en B2")))</x:f>
      </x:c>
      <x:c r="AR137" s="69" t="str">
        <x:f>IF(A137="","",IF(O137="","unknown",IF(O137&gt;=2,"Prometedora","Débil / validar en B3-B4")))</x:f>
      </x:c>
      <x:c r="AS137" s="69" t="str">
        <x:f>IF(A137="","",IF(P137="","unknown",IF(P137&gt;=2,"Prometedora","Débil / validar en B2-B4")))</x:f>
      </x:c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 t="str">
        <x:f>IF(A138="","",COUNTBLANK(M138:P138))</x:f>
      </x:c>
      <x:c r="Z138" s="69" t="str">
        <x:f>IF(A138="","",IF(OR(E138="",G138="No",H138="No",I138="Responsabilidad genérica",I138="Demasiado amplia",I138="Microtarea",J138="Duplicado evidente"),"BLOQUEADA",IF(OR(I138="Ambigua",L138&lt;1,K138&lt;1),"REVISIÓN","ELEGIBLE")))</x:f>
      </x:c>
      <x:c r="AA138" s="69" t="str">
        <x:f>IF(A138="","",IF(Z138="BLOQUEADA",0,ROUND(100*(IF(M138="",1.5,M138)+IF(N138="",1.5,N138)+IF(O138="",1.5,O138)+IF(P138="",1.5,P138))/12,1)))</x:f>
      </x:c>
      <x:c r="AB138" s="69" t="str">
        <x:f>IF(A138="","",IF(Z138="BLOQUEADA",0,ROUND(100*IF(Q138="",1.5,Q138)/3,1)))</x:f>
      </x:c>
      <x:c r="AC138" s="69" t="str">
        <x:f>IF(A138="","",IF(Z138="BLOQUEADA",0,ROUND(100*IF(R138="",1.5,R138)/3,1)))</x:f>
      </x:c>
      <x:c r="AD138" s="69" t="str">
        <x:f>IF(A138="","",IF(Z138="BLOQUEADA",0,ROUND(100*IF(S138="",1.5,S138)/3,1)))</x:f>
      </x:c>
      <x:c r="AE138" s="69" t="str">
        <x:f>IF(A138="","",IF(Z138="BLOQUEADA",0,ROUND(100*IF(T138="",1.5,T138)/3,1)))</x:f>
      </x:c>
      <x:c r="AF138" s="69" t="str">
        <x:f>IF(A138="","",IF(Z138="BLOQUEADA",0,ROUND(100*IF(U138="",1.5,U138)/3,1)))</x:f>
      </x:c>
      <x:c r="AG138" s="69" t="str">
        <x:f>IF(A138="","",ROUND(IF(Z138="BLOQUEADA",100,(X138*10)+(V138*8)+(W138*8)),1))</x:f>
      </x:c>
      <x:c r="AH138" s="69" t="str">
        <x:f>IF(A138="","",IF(Z138="BLOQUEADA",0,MAX(0,ROUND(0.30*AA138+0.20*AB138+0.15*AC138+0.15*AD138+0.10*AE138+0.10*AF138-AG138,1))))</x:f>
      </x:c>
      <x:c r="AI138" s="69" t="str">
        <x:f>IF(A138="","",IF(Z138="ELEGIBLE",RANK.EQ(AH138,$AH$2:$AH$201,0),""))</x:f>
      </x:c>
      <x:c r="AJ138" s="69" t="str">
        <x:f>IF(A138="","",IF(Z138="BLOQUEADA","No aplica",IF(Z138="REVISIÓN","Slot 8 posible: exploratorio",IF(AI138&lt;=5,"Slot 1-5: alto potencial",IF(R138&gt;=2.5,"Slot 6: handoff/dependencia",IF(S138&gt;=2.5,"Slot 7: transformación/objeto",IF(AND(K138&gt;=1,U138&gt;=2),"Slot 8 posible: exploratorio","Backlog/contexto")))))))</x:f>
      </x:c>
      <x:c r="AK138" s="69" t="str">
        <x:f>IF(A138="","",IF(Z138="BLOQUEADA","No seleccionable",IF(Z138="REVISIÓN","Revisión para slot exploratorio",IF(AI138&lt;=8,"Primaria propuesta","Contexto no primario"))))</x:f>
      </x:c>
      <x:c r="AL138" s="69" t="str">
        <x:f>IF(A138="","",IF(OR(Z138="REVISIÓN",Y138&gt;=3,V138&gt;=2),"Sí","No"))</x:f>
      </x:c>
      <x:c r="AM138" s="69" t="str">
        <x:f>IF(A138="","",IF(AK138="Primaria propuesta","Primaria propuesta",IF(AK138="Revisión para slot exploratorio","Revisión / posible primaria exploratoria",IF(AK138="No seleccionable","No seleccionable","Contexto no primario"))))</x:f>
      </x:c>
      <x:c r="AN138" s="69" t="str">
        <x:f>IF(A138="","",IF(AM138="Primaria propuesta",IF(AH138&gt;=75,"40+20 probable",IF(AH138&gt;=55,"40 base + causales selectivas","40 base + probes mínimos")),IF(AM138="Revisión / posible primaria exploratoria","B0/B0.5 reconstrucción antes de Runtime","No abre Runtime profundo")))</x:f>
      </x:c>
      <x:c r="AO138" s="69" t="str">
        <x:f>IF(A138="","",IF(Z138="BLOQUEADA","No probe",IF(AH138&gt;=75,"Alta",IF(AH138&gt;=55,"Media",IF(Z138="REVISIÓN","Exploratoria","Baja")))))</x:f>
      </x:c>
      <x:c r="AP138" s="69" t="str">
        <x:f>IF(A138="","",IF(M138="","unknown",IF(M138&gt;=2,"Prometedora","Débil / validar en B0.5-B1")))</x:f>
      </x:c>
      <x:c r="AQ138" s="69" t="str">
        <x:f>IF(A138="","",IF(N138="","unknown",IF(N138&gt;=2,"Prometedora","Débil / validar en B2")))</x:f>
      </x:c>
      <x:c r="AR138" s="69" t="str">
        <x:f>IF(A138="","",IF(O138="","unknown",IF(O138&gt;=2,"Prometedora","Débil / validar en B3-B4")))</x:f>
      </x:c>
      <x:c r="AS138" s="69" t="str">
        <x:f>IF(A138="","",IF(P138="","unknown",IF(P138&gt;=2,"Prometedora","Débil / validar en B2-B4")))</x:f>
      </x:c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 t="str">
        <x:f>IF(A139="","",COUNTBLANK(M139:P139))</x:f>
      </x:c>
      <x:c r="Z139" s="69" t="str">
        <x:f>IF(A139="","",IF(OR(E139="",G139="No",H139="No",I139="Responsabilidad genérica",I139="Demasiado amplia",I139="Microtarea",J139="Duplicado evidente"),"BLOQUEADA",IF(OR(I139="Ambigua",L139&lt;1,K139&lt;1),"REVISIÓN","ELEGIBLE")))</x:f>
      </x:c>
      <x:c r="AA139" s="69" t="str">
        <x:f>IF(A139="","",IF(Z139="BLOQUEADA",0,ROUND(100*(IF(M139="",1.5,M139)+IF(N139="",1.5,N139)+IF(O139="",1.5,O139)+IF(P139="",1.5,P139))/12,1)))</x:f>
      </x:c>
      <x:c r="AB139" s="69" t="str">
        <x:f>IF(A139="","",IF(Z139="BLOQUEADA",0,ROUND(100*IF(Q139="",1.5,Q139)/3,1)))</x:f>
      </x:c>
      <x:c r="AC139" s="69" t="str">
        <x:f>IF(A139="","",IF(Z139="BLOQUEADA",0,ROUND(100*IF(R139="",1.5,R139)/3,1)))</x:f>
      </x:c>
      <x:c r="AD139" s="69" t="str">
        <x:f>IF(A139="","",IF(Z139="BLOQUEADA",0,ROUND(100*IF(S139="",1.5,S139)/3,1)))</x:f>
      </x:c>
      <x:c r="AE139" s="69" t="str">
        <x:f>IF(A139="","",IF(Z139="BLOQUEADA",0,ROUND(100*IF(T139="",1.5,T139)/3,1)))</x:f>
      </x:c>
      <x:c r="AF139" s="69" t="str">
        <x:f>IF(A139="","",IF(Z139="BLOQUEADA",0,ROUND(100*IF(U139="",1.5,U139)/3,1)))</x:f>
      </x:c>
      <x:c r="AG139" s="69" t="str">
        <x:f>IF(A139="","",ROUND(IF(Z139="BLOQUEADA",100,(X139*10)+(V139*8)+(W139*8)),1))</x:f>
      </x:c>
      <x:c r="AH139" s="69" t="str">
        <x:f>IF(A139="","",IF(Z139="BLOQUEADA",0,MAX(0,ROUND(0.30*AA139+0.20*AB139+0.15*AC139+0.15*AD139+0.10*AE139+0.10*AF139-AG139,1))))</x:f>
      </x:c>
      <x:c r="AI139" s="69" t="str">
        <x:f>IF(A139="","",IF(Z139="ELEGIBLE",RANK.EQ(AH139,$AH$2:$AH$201,0),""))</x:f>
      </x:c>
      <x:c r="AJ139" s="69" t="str">
        <x:f>IF(A139="","",IF(Z139="BLOQUEADA","No aplica",IF(Z139="REVISIÓN","Slot 8 posible: exploratorio",IF(AI139&lt;=5,"Slot 1-5: alto potencial",IF(R139&gt;=2.5,"Slot 6: handoff/dependencia",IF(S139&gt;=2.5,"Slot 7: transformación/objeto",IF(AND(K139&gt;=1,U139&gt;=2),"Slot 8 posible: exploratorio","Backlog/contexto")))))))</x:f>
      </x:c>
      <x:c r="AK139" s="69" t="str">
        <x:f>IF(A139="","",IF(Z139="BLOQUEADA","No seleccionable",IF(Z139="REVISIÓN","Revisión para slot exploratorio",IF(AI139&lt;=8,"Primaria propuesta","Contexto no primario"))))</x:f>
      </x:c>
      <x:c r="AL139" s="69" t="str">
        <x:f>IF(A139="","",IF(OR(Z139="REVISIÓN",Y139&gt;=3,V139&gt;=2),"Sí","No"))</x:f>
      </x:c>
      <x:c r="AM139" s="69" t="str">
        <x:f>IF(A139="","",IF(AK139="Primaria propuesta","Primaria propuesta",IF(AK139="Revisión para slot exploratorio","Revisión / posible primaria exploratoria",IF(AK139="No seleccionable","No seleccionable","Contexto no primario"))))</x:f>
      </x:c>
      <x:c r="AN139" s="69" t="str">
        <x:f>IF(A139="","",IF(AM139="Primaria propuesta",IF(AH139&gt;=75,"40+20 probable",IF(AH139&gt;=55,"40 base + causales selectivas","40 base + probes mínimos")),IF(AM139="Revisión / posible primaria exploratoria","B0/B0.5 reconstrucción antes de Runtime","No abre Runtime profundo")))</x:f>
      </x:c>
      <x:c r="AO139" s="69" t="str">
        <x:f>IF(A139="","",IF(Z139="BLOQUEADA","No probe",IF(AH139&gt;=75,"Alta",IF(AH139&gt;=55,"Media",IF(Z139="REVISIÓN","Exploratoria","Baja")))))</x:f>
      </x:c>
      <x:c r="AP139" s="69" t="str">
        <x:f>IF(A139="","",IF(M139="","unknown",IF(M139&gt;=2,"Prometedora","Débil / validar en B0.5-B1")))</x:f>
      </x:c>
      <x:c r="AQ139" s="69" t="str">
        <x:f>IF(A139="","",IF(N139="","unknown",IF(N139&gt;=2,"Prometedora","Débil / validar en B2")))</x:f>
      </x:c>
      <x:c r="AR139" s="69" t="str">
        <x:f>IF(A139="","",IF(O139="","unknown",IF(O139&gt;=2,"Prometedora","Débil / validar en B3-B4")))</x:f>
      </x:c>
      <x:c r="AS139" s="69" t="str">
        <x:f>IF(A139="","",IF(P139="","unknown",IF(P139&gt;=2,"Prometedora","Débil / validar en B2-B4")))</x:f>
      </x:c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 t="str">
        <x:f>IF(A140="","",COUNTBLANK(M140:P140))</x:f>
      </x:c>
      <x:c r="Z140" s="69" t="str">
        <x:f>IF(A140="","",IF(OR(E140="",G140="No",H140="No",I140="Responsabilidad genérica",I140="Demasiado amplia",I140="Microtarea",J140="Duplicado evidente"),"BLOQUEADA",IF(OR(I140="Ambigua",L140&lt;1,K140&lt;1),"REVISIÓN","ELEGIBLE")))</x:f>
      </x:c>
      <x:c r="AA140" s="69" t="str">
        <x:f>IF(A140="","",IF(Z140="BLOQUEADA",0,ROUND(100*(IF(M140="",1.5,M140)+IF(N140="",1.5,N140)+IF(O140="",1.5,O140)+IF(P140="",1.5,P140))/12,1)))</x:f>
      </x:c>
      <x:c r="AB140" s="69" t="str">
        <x:f>IF(A140="","",IF(Z140="BLOQUEADA",0,ROUND(100*IF(Q140="",1.5,Q140)/3,1)))</x:f>
      </x:c>
      <x:c r="AC140" s="69" t="str">
        <x:f>IF(A140="","",IF(Z140="BLOQUEADA",0,ROUND(100*IF(R140="",1.5,R140)/3,1)))</x:f>
      </x:c>
      <x:c r="AD140" s="69" t="str">
        <x:f>IF(A140="","",IF(Z140="BLOQUEADA",0,ROUND(100*IF(S140="",1.5,S140)/3,1)))</x:f>
      </x:c>
      <x:c r="AE140" s="69" t="str">
        <x:f>IF(A140="","",IF(Z140="BLOQUEADA",0,ROUND(100*IF(T140="",1.5,T140)/3,1)))</x:f>
      </x:c>
      <x:c r="AF140" s="69" t="str">
        <x:f>IF(A140="","",IF(Z140="BLOQUEADA",0,ROUND(100*IF(U140="",1.5,U140)/3,1)))</x:f>
      </x:c>
      <x:c r="AG140" s="69" t="str">
        <x:f>IF(A140="","",ROUND(IF(Z140="BLOQUEADA",100,(X140*10)+(V140*8)+(W140*8)),1))</x:f>
      </x:c>
      <x:c r="AH140" s="69" t="str">
        <x:f>IF(A140="","",IF(Z140="BLOQUEADA",0,MAX(0,ROUND(0.30*AA140+0.20*AB140+0.15*AC140+0.15*AD140+0.10*AE140+0.10*AF140-AG140,1))))</x:f>
      </x:c>
      <x:c r="AI140" s="69" t="str">
        <x:f>IF(A140="","",IF(Z140="ELEGIBLE",RANK.EQ(AH140,$AH$2:$AH$201,0),""))</x:f>
      </x:c>
      <x:c r="AJ140" s="69" t="str">
        <x:f>IF(A140="","",IF(Z140="BLOQUEADA","No aplica",IF(Z140="REVISIÓN","Slot 8 posible: exploratorio",IF(AI140&lt;=5,"Slot 1-5: alto potencial",IF(R140&gt;=2.5,"Slot 6: handoff/dependencia",IF(S140&gt;=2.5,"Slot 7: transformación/objeto",IF(AND(K140&gt;=1,U140&gt;=2),"Slot 8 posible: exploratorio","Backlog/contexto")))))))</x:f>
      </x:c>
      <x:c r="AK140" s="69" t="str">
        <x:f>IF(A140="","",IF(Z140="BLOQUEADA","No seleccionable",IF(Z140="REVISIÓN","Revisión para slot exploratorio",IF(AI140&lt;=8,"Primaria propuesta","Contexto no primario"))))</x:f>
      </x:c>
      <x:c r="AL140" s="69" t="str">
        <x:f>IF(A140="","",IF(OR(Z140="REVISIÓN",Y140&gt;=3,V140&gt;=2),"Sí","No"))</x:f>
      </x:c>
      <x:c r="AM140" s="69" t="str">
        <x:f>IF(A140="","",IF(AK140="Primaria propuesta","Primaria propuesta",IF(AK140="Revisión para slot exploratorio","Revisión / posible primaria exploratoria",IF(AK140="No seleccionable","No seleccionable","Contexto no primario"))))</x:f>
      </x:c>
      <x:c r="AN140" s="69" t="str">
        <x:f>IF(A140="","",IF(AM140="Primaria propuesta",IF(AH140&gt;=75,"40+20 probable",IF(AH140&gt;=55,"40 base + causales selectivas","40 base + probes mínimos")),IF(AM140="Revisión / posible primaria exploratoria","B0/B0.5 reconstrucción antes de Runtime","No abre Runtime profundo")))</x:f>
      </x:c>
      <x:c r="AO140" s="69" t="str">
        <x:f>IF(A140="","",IF(Z140="BLOQUEADA","No probe",IF(AH140&gt;=75,"Alta",IF(AH140&gt;=55,"Media",IF(Z140="REVISIÓN","Exploratoria","Baja")))))</x:f>
      </x:c>
      <x:c r="AP140" s="69" t="str">
        <x:f>IF(A140="","",IF(M140="","unknown",IF(M140&gt;=2,"Prometedora","Débil / validar en B0.5-B1")))</x:f>
      </x:c>
      <x:c r="AQ140" s="69" t="str">
        <x:f>IF(A140="","",IF(N140="","unknown",IF(N140&gt;=2,"Prometedora","Débil / validar en B2")))</x:f>
      </x:c>
      <x:c r="AR140" s="69" t="str">
        <x:f>IF(A140="","",IF(O140="","unknown",IF(O140&gt;=2,"Prometedora","Débil / validar en B3-B4")))</x:f>
      </x:c>
      <x:c r="AS140" s="69" t="str">
        <x:f>IF(A140="","",IF(P140="","unknown",IF(P140&gt;=2,"Prometedora","Débil / validar en B2-B4")))</x:f>
      </x:c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 t="str">
        <x:f>IF(A141="","",COUNTBLANK(M141:P141))</x:f>
      </x:c>
      <x:c r="Z141" s="69" t="str">
        <x:f>IF(A141="","",IF(OR(E141="",G141="No",H141="No",I141="Responsabilidad genérica",I141="Demasiado amplia",I141="Microtarea",J141="Duplicado evidente"),"BLOQUEADA",IF(OR(I141="Ambigua",L141&lt;1,K141&lt;1),"REVISIÓN","ELEGIBLE")))</x:f>
      </x:c>
      <x:c r="AA141" s="69" t="str">
        <x:f>IF(A141="","",IF(Z141="BLOQUEADA",0,ROUND(100*(IF(M141="",1.5,M141)+IF(N141="",1.5,N141)+IF(O141="",1.5,O141)+IF(P141="",1.5,P141))/12,1)))</x:f>
      </x:c>
      <x:c r="AB141" s="69" t="str">
        <x:f>IF(A141="","",IF(Z141="BLOQUEADA",0,ROUND(100*IF(Q141="",1.5,Q141)/3,1)))</x:f>
      </x:c>
      <x:c r="AC141" s="69" t="str">
        <x:f>IF(A141="","",IF(Z141="BLOQUEADA",0,ROUND(100*IF(R141="",1.5,R141)/3,1)))</x:f>
      </x:c>
      <x:c r="AD141" s="69" t="str">
        <x:f>IF(A141="","",IF(Z141="BLOQUEADA",0,ROUND(100*IF(S141="",1.5,S141)/3,1)))</x:f>
      </x:c>
      <x:c r="AE141" s="69" t="str">
        <x:f>IF(A141="","",IF(Z141="BLOQUEADA",0,ROUND(100*IF(T141="",1.5,T141)/3,1)))</x:f>
      </x:c>
      <x:c r="AF141" s="69" t="str">
        <x:f>IF(A141="","",IF(Z141="BLOQUEADA",0,ROUND(100*IF(U141="",1.5,U141)/3,1)))</x:f>
      </x:c>
      <x:c r="AG141" s="69" t="str">
        <x:f>IF(A141="","",ROUND(IF(Z141="BLOQUEADA",100,(X141*10)+(V141*8)+(W141*8)),1))</x:f>
      </x:c>
      <x:c r="AH141" s="69" t="str">
        <x:f>IF(A141="","",IF(Z141="BLOQUEADA",0,MAX(0,ROUND(0.30*AA141+0.20*AB141+0.15*AC141+0.15*AD141+0.10*AE141+0.10*AF141-AG141,1))))</x:f>
      </x:c>
      <x:c r="AI141" s="69" t="str">
        <x:f>IF(A141="","",IF(Z141="ELEGIBLE",RANK.EQ(AH141,$AH$2:$AH$201,0),""))</x:f>
      </x:c>
      <x:c r="AJ141" s="69" t="str">
        <x:f>IF(A141="","",IF(Z141="BLOQUEADA","No aplica",IF(Z141="REVISIÓN","Slot 8 posible: exploratorio",IF(AI141&lt;=5,"Slot 1-5: alto potencial",IF(R141&gt;=2.5,"Slot 6: handoff/dependencia",IF(S141&gt;=2.5,"Slot 7: transformación/objeto",IF(AND(K141&gt;=1,U141&gt;=2),"Slot 8 posible: exploratorio","Backlog/contexto")))))))</x:f>
      </x:c>
      <x:c r="AK141" s="69" t="str">
        <x:f>IF(A141="","",IF(Z141="BLOQUEADA","No seleccionable",IF(Z141="REVISIÓN","Revisión para slot exploratorio",IF(AI141&lt;=8,"Primaria propuesta","Contexto no primario"))))</x:f>
      </x:c>
      <x:c r="AL141" s="69" t="str">
        <x:f>IF(A141="","",IF(OR(Z141="REVISIÓN",Y141&gt;=3,V141&gt;=2),"Sí","No"))</x:f>
      </x:c>
      <x:c r="AM141" s="69" t="str">
        <x:f>IF(A141="","",IF(AK141="Primaria propuesta","Primaria propuesta",IF(AK141="Revisión para slot exploratorio","Revisión / posible primaria exploratoria",IF(AK141="No seleccionable","No seleccionable","Contexto no primario"))))</x:f>
      </x:c>
      <x:c r="AN141" s="69" t="str">
        <x:f>IF(A141="","",IF(AM141="Primaria propuesta",IF(AH141&gt;=75,"40+20 probable",IF(AH141&gt;=55,"40 base + causales selectivas","40 base + probes mínimos")),IF(AM141="Revisión / posible primaria exploratoria","B0/B0.5 reconstrucción antes de Runtime","No abre Runtime profundo")))</x:f>
      </x:c>
      <x:c r="AO141" s="69" t="str">
        <x:f>IF(A141="","",IF(Z141="BLOQUEADA","No probe",IF(AH141&gt;=75,"Alta",IF(AH141&gt;=55,"Media",IF(Z141="REVISIÓN","Exploratoria","Baja")))))</x:f>
      </x:c>
      <x:c r="AP141" s="69" t="str">
        <x:f>IF(A141="","",IF(M141="","unknown",IF(M141&gt;=2,"Prometedora","Débil / validar en B0.5-B1")))</x:f>
      </x:c>
      <x:c r="AQ141" s="69" t="str">
        <x:f>IF(A141="","",IF(N141="","unknown",IF(N141&gt;=2,"Prometedora","Débil / validar en B2")))</x:f>
      </x:c>
      <x:c r="AR141" s="69" t="str">
        <x:f>IF(A141="","",IF(O141="","unknown",IF(O141&gt;=2,"Prometedora","Débil / validar en B3-B4")))</x:f>
      </x:c>
      <x:c r="AS141" s="69" t="str">
        <x:f>IF(A141="","",IF(P141="","unknown",IF(P141&gt;=2,"Prometedora","Débil / validar en B2-B4")))</x:f>
      </x:c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 t="str">
        <x:f>IF(A142="","",COUNTBLANK(M142:P142))</x:f>
      </x:c>
      <x:c r="Z142" s="69" t="str">
        <x:f>IF(A142="","",IF(OR(E142="",G142="No",H142="No",I142="Responsabilidad genérica",I142="Demasiado amplia",I142="Microtarea",J142="Duplicado evidente"),"BLOQUEADA",IF(OR(I142="Ambigua",L142&lt;1,K142&lt;1),"REVISIÓN","ELEGIBLE")))</x:f>
      </x:c>
      <x:c r="AA142" s="69" t="str">
        <x:f>IF(A142="","",IF(Z142="BLOQUEADA",0,ROUND(100*(IF(M142="",1.5,M142)+IF(N142="",1.5,N142)+IF(O142="",1.5,O142)+IF(P142="",1.5,P142))/12,1)))</x:f>
      </x:c>
      <x:c r="AB142" s="69" t="str">
        <x:f>IF(A142="","",IF(Z142="BLOQUEADA",0,ROUND(100*IF(Q142="",1.5,Q142)/3,1)))</x:f>
      </x:c>
      <x:c r="AC142" s="69" t="str">
        <x:f>IF(A142="","",IF(Z142="BLOQUEADA",0,ROUND(100*IF(R142="",1.5,R142)/3,1)))</x:f>
      </x:c>
      <x:c r="AD142" s="69" t="str">
        <x:f>IF(A142="","",IF(Z142="BLOQUEADA",0,ROUND(100*IF(S142="",1.5,S142)/3,1)))</x:f>
      </x:c>
      <x:c r="AE142" s="69" t="str">
        <x:f>IF(A142="","",IF(Z142="BLOQUEADA",0,ROUND(100*IF(T142="",1.5,T142)/3,1)))</x:f>
      </x:c>
      <x:c r="AF142" s="69" t="str">
        <x:f>IF(A142="","",IF(Z142="BLOQUEADA",0,ROUND(100*IF(U142="",1.5,U142)/3,1)))</x:f>
      </x:c>
      <x:c r="AG142" s="69" t="str">
        <x:f>IF(A142="","",ROUND(IF(Z142="BLOQUEADA",100,(X142*10)+(V142*8)+(W142*8)),1))</x:f>
      </x:c>
      <x:c r="AH142" s="69" t="str">
        <x:f>IF(A142="","",IF(Z142="BLOQUEADA",0,MAX(0,ROUND(0.30*AA142+0.20*AB142+0.15*AC142+0.15*AD142+0.10*AE142+0.10*AF142-AG142,1))))</x:f>
      </x:c>
      <x:c r="AI142" s="69" t="str">
        <x:f>IF(A142="","",IF(Z142="ELEGIBLE",RANK.EQ(AH142,$AH$2:$AH$201,0),""))</x:f>
      </x:c>
      <x:c r="AJ142" s="69" t="str">
        <x:f>IF(A142="","",IF(Z142="BLOQUEADA","No aplica",IF(Z142="REVISIÓN","Slot 8 posible: exploratorio",IF(AI142&lt;=5,"Slot 1-5: alto potencial",IF(R142&gt;=2.5,"Slot 6: handoff/dependencia",IF(S142&gt;=2.5,"Slot 7: transformación/objeto",IF(AND(K142&gt;=1,U142&gt;=2),"Slot 8 posible: exploratorio","Backlog/contexto")))))))</x:f>
      </x:c>
      <x:c r="AK142" s="69" t="str">
        <x:f>IF(A142="","",IF(Z142="BLOQUEADA","No seleccionable",IF(Z142="REVISIÓN","Revisión para slot exploratorio",IF(AI142&lt;=8,"Primaria propuesta","Contexto no primario"))))</x:f>
      </x:c>
      <x:c r="AL142" s="69" t="str">
        <x:f>IF(A142="","",IF(OR(Z142="REVISIÓN",Y142&gt;=3,V142&gt;=2),"Sí","No"))</x:f>
      </x:c>
      <x:c r="AM142" s="69" t="str">
        <x:f>IF(A142="","",IF(AK142="Primaria propuesta","Primaria propuesta",IF(AK142="Revisión para slot exploratorio","Revisión / posible primaria exploratoria",IF(AK142="No seleccionable","No seleccionable","Contexto no primario"))))</x:f>
      </x:c>
      <x:c r="AN142" s="69" t="str">
        <x:f>IF(A142="","",IF(AM142="Primaria propuesta",IF(AH142&gt;=75,"40+20 probable",IF(AH142&gt;=55,"40 base + causales selectivas","40 base + probes mínimos")),IF(AM142="Revisión / posible primaria exploratoria","B0/B0.5 reconstrucción antes de Runtime","No abre Runtime profundo")))</x:f>
      </x:c>
      <x:c r="AO142" s="69" t="str">
        <x:f>IF(A142="","",IF(Z142="BLOQUEADA","No probe",IF(AH142&gt;=75,"Alta",IF(AH142&gt;=55,"Media",IF(Z142="REVISIÓN","Exploratoria","Baja")))))</x:f>
      </x:c>
      <x:c r="AP142" s="69" t="str">
        <x:f>IF(A142="","",IF(M142="","unknown",IF(M142&gt;=2,"Prometedora","Débil / validar en B0.5-B1")))</x:f>
      </x:c>
      <x:c r="AQ142" s="69" t="str">
        <x:f>IF(A142="","",IF(N142="","unknown",IF(N142&gt;=2,"Prometedora","Débil / validar en B2")))</x:f>
      </x:c>
      <x:c r="AR142" s="69" t="str">
        <x:f>IF(A142="","",IF(O142="","unknown",IF(O142&gt;=2,"Prometedora","Débil / validar en B3-B4")))</x:f>
      </x:c>
      <x:c r="AS142" s="69" t="str">
        <x:f>IF(A142="","",IF(P142="","unknown",IF(P142&gt;=2,"Prometedora","Débil / validar en B2-B4")))</x:f>
      </x:c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 t="str">
        <x:f>IF(A143="","",COUNTBLANK(M143:P143))</x:f>
      </x:c>
      <x:c r="Z143" s="69" t="str">
        <x:f>IF(A143="","",IF(OR(E143="",G143="No",H143="No",I143="Responsabilidad genérica",I143="Demasiado amplia",I143="Microtarea",J143="Duplicado evidente"),"BLOQUEADA",IF(OR(I143="Ambigua",L143&lt;1,K143&lt;1),"REVISIÓN","ELEGIBLE")))</x:f>
      </x:c>
      <x:c r="AA143" s="69" t="str">
        <x:f>IF(A143="","",IF(Z143="BLOQUEADA",0,ROUND(100*(IF(M143="",1.5,M143)+IF(N143="",1.5,N143)+IF(O143="",1.5,O143)+IF(P143="",1.5,P143))/12,1)))</x:f>
      </x:c>
      <x:c r="AB143" s="69" t="str">
        <x:f>IF(A143="","",IF(Z143="BLOQUEADA",0,ROUND(100*IF(Q143="",1.5,Q143)/3,1)))</x:f>
      </x:c>
      <x:c r="AC143" s="69" t="str">
        <x:f>IF(A143="","",IF(Z143="BLOQUEADA",0,ROUND(100*IF(R143="",1.5,R143)/3,1)))</x:f>
      </x:c>
      <x:c r="AD143" s="69" t="str">
        <x:f>IF(A143="","",IF(Z143="BLOQUEADA",0,ROUND(100*IF(S143="",1.5,S143)/3,1)))</x:f>
      </x:c>
      <x:c r="AE143" s="69" t="str">
        <x:f>IF(A143="","",IF(Z143="BLOQUEADA",0,ROUND(100*IF(T143="",1.5,T143)/3,1)))</x:f>
      </x:c>
      <x:c r="AF143" s="69" t="str">
        <x:f>IF(A143="","",IF(Z143="BLOQUEADA",0,ROUND(100*IF(U143="",1.5,U143)/3,1)))</x:f>
      </x:c>
      <x:c r="AG143" s="69" t="str">
        <x:f>IF(A143="","",ROUND(IF(Z143="BLOQUEADA",100,(X143*10)+(V143*8)+(W143*8)),1))</x:f>
      </x:c>
      <x:c r="AH143" s="69" t="str">
        <x:f>IF(A143="","",IF(Z143="BLOQUEADA",0,MAX(0,ROUND(0.30*AA143+0.20*AB143+0.15*AC143+0.15*AD143+0.10*AE143+0.10*AF143-AG143,1))))</x:f>
      </x:c>
      <x:c r="AI143" s="69" t="str">
        <x:f>IF(A143="","",IF(Z143="ELEGIBLE",RANK.EQ(AH143,$AH$2:$AH$201,0),""))</x:f>
      </x:c>
      <x:c r="AJ143" s="69" t="str">
        <x:f>IF(A143="","",IF(Z143="BLOQUEADA","No aplica",IF(Z143="REVISIÓN","Slot 8 posible: exploratorio",IF(AI143&lt;=5,"Slot 1-5: alto potencial",IF(R143&gt;=2.5,"Slot 6: handoff/dependencia",IF(S143&gt;=2.5,"Slot 7: transformación/objeto",IF(AND(K143&gt;=1,U143&gt;=2),"Slot 8 posible: exploratorio","Backlog/contexto")))))))</x:f>
      </x:c>
      <x:c r="AK143" s="69" t="str">
        <x:f>IF(A143="","",IF(Z143="BLOQUEADA","No seleccionable",IF(Z143="REVISIÓN","Revisión para slot exploratorio",IF(AI143&lt;=8,"Primaria propuesta","Contexto no primario"))))</x:f>
      </x:c>
      <x:c r="AL143" s="69" t="str">
        <x:f>IF(A143="","",IF(OR(Z143="REVISIÓN",Y143&gt;=3,V143&gt;=2),"Sí","No"))</x:f>
      </x:c>
      <x:c r="AM143" s="69" t="str">
        <x:f>IF(A143="","",IF(AK143="Primaria propuesta","Primaria propuesta",IF(AK143="Revisión para slot exploratorio","Revisión / posible primaria exploratoria",IF(AK143="No seleccionable","No seleccionable","Contexto no primario"))))</x:f>
      </x:c>
      <x:c r="AN143" s="69" t="str">
        <x:f>IF(A143="","",IF(AM143="Primaria propuesta",IF(AH143&gt;=75,"40+20 probable",IF(AH143&gt;=55,"40 base + causales selectivas","40 base + probes mínimos")),IF(AM143="Revisión / posible primaria exploratoria","B0/B0.5 reconstrucción antes de Runtime","No abre Runtime profundo")))</x:f>
      </x:c>
      <x:c r="AO143" s="69" t="str">
        <x:f>IF(A143="","",IF(Z143="BLOQUEADA","No probe",IF(AH143&gt;=75,"Alta",IF(AH143&gt;=55,"Media",IF(Z143="REVISIÓN","Exploratoria","Baja")))))</x:f>
      </x:c>
      <x:c r="AP143" s="69" t="str">
        <x:f>IF(A143="","",IF(M143="","unknown",IF(M143&gt;=2,"Prometedora","Débil / validar en B0.5-B1")))</x:f>
      </x:c>
      <x:c r="AQ143" s="69" t="str">
        <x:f>IF(A143="","",IF(N143="","unknown",IF(N143&gt;=2,"Prometedora","Débil / validar en B2")))</x:f>
      </x:c>
      <x:c r="AR143" s="69" t="str">
        <x:f>IF(A143="","",IF(O143="","unknown",IF(O143&gt;=2,"Prometedora","Débil / validar en B3-B4")))</x:f>
      </x:c>
      <x:c r="AS143" s="69" t="str">
        <x:f>IF(A143="","",IF(P143="","unknown",IF(P143&gt;=2,"Prometedora","Débil / validar en B2-B4")))</x:f>
      </x:c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 t="str">
        <x:f>IF(A144="","",COUNTBLANK(M144:P144))</x:f>
      </x:c>
      <x:c r="Z144" s="69" t="str">
        <x:f>IF(A144="","",IF(OR(E144="",G144="No",H144="No",I144="Responsabilidad genérica",I144="Demasiado amplia",I144="Microtarea",J144="Duplicado evidente"),"BLOQUEADA",IF(OR(I144="Ambigua",L144&lt;1,K144&lt;1),"REVISIÓN","ELEGIBLE")))</x:f>
      </x:c>
      <x:c r="AA144" s="69" t="str">
        <x:f>IF(A144="","",IF(Z144="BLOQUEADA",0,ROUND(100*(IF(M144="",1.5,M144)+IF(N144="",1.5,N144)+IF(O144="",1.5,O144)+IF(P144="",1.5,P144))/12,1)))</x:f>
      </x:c>
      <x:c r="AB144" s="69" t="str">
        <x:f>IF(A144="","",IF(Z144="BLOQUEADA",0,ROUND(100*IF(Q144="",1.5,Q144)/3,1)))</x:f>
      </x:c>
      <x:c r="AC144" s="69" t="str">
        <x:f>IF(A144="","",IF(Z144="BLOQUEADA",0,ROUND(100*IF(R144="",1.5,R144)/3,1)))</x:f>
      </x:c>
      <x:c r="AD144" s="69" t="str">
        <x:f>IF(A144="","",IF(Z144="BLOQUEADA",0,ROUND(100*IF(S144="",1.5,S144)/3,1)))</x:f>
      </x:c>
      <x:c r="AE144" s="69" t="str">
        <x:f>IF(A144="","",IF(Z144="BLOQUEADA",0,ROUND(100*IF(T144="",1.5,T144)/3,1)))</x:f>
      </x:c>
      <x:c r="AF144" s="69" t="str">
        <x:f>IF(A144="","",IF(Z144="BLOQUEADA",0,ROUND(100*IF(U144="",1.5,U144)/3,1)))</x:f>
      </x:c>
      <x:c r="AG144" s="69" t="str">
        <x:f>IF(A144="","",ROUND(IF(Z144="BLOQUEADA",100,(X144*10)+(V144*8)+(W144*8)),1))</x:f>
      </x:c>
      <x:c r="AH144" s="69" t="str">
        <x:f>IF(A144="","",IF(Z144="BLOQUEADA",0,MAX(0,ROUND(0.30*AA144+0.20*AB144+0.15*AC144+0.15*AD144+0.10*AE144+0.10*AF144-AG144,1))))</x:f>
      </x:c>
      <x:c r="AI144" s="69" t="str">
        <x:f>IF(A144="","",IF(Z144="ELEGIBLE",RANK.EQ(AH144,$AH$2:$AH$201,0),""))</x:f>
      </x:c>
      <x:c r="AJ144" s="69" t="str">
        <x:f>IF(A144="","",IF(Z144="BLOQUEADA","No aplica",IF(Z144="REVISIÓN","Slot 8 posible: exploratorio",IF(AI144&lt;=5,"Slot 1-5: alto potencial",IF(R144&gt;=2.5,"Slot 6: handoff/dependencia",IF(S144&gt;=2.5,"Slot 7: transformación/objeto",IF(AND(K144&gt;=1,U144&gt;=2),"Slot 8 posible: exploratorio","Backlog/contexto")))))))</x:f>
      </x:c>
      <x:c r="AK144" s="69" t="str">
        <x:f>IF(A144="","",IF(Z144="BLOQUEADA","No seleccionable",IF(Z144="REVISIÓN","Revisión para slot exploratorio",IF(AI144&lt;=8,"Primaria propuesta","Contexto no primario"))))</x:f>
      </x:c>
      <x:c r="AL144" s="69" t="str">
        <x:f>IF(A144="","",IF(OR(Z144="REVISIÓN",Y144&gt;=3,V144&gt;=2),"Sí","No"))</x:f>
      </x:c>
      <x:c r="AM144" s="69" t="str">
        <x:f>IF(A144="","",IF(AK144="Primaria propuesta","Primaria propuesta",IF(AK144="Revisión para slot exploratorio","Revisión / posible primaria exploratoria",IF(AK144="No seleccionable","No seleccionable","Contexto no primario"))))</x:f>
      </x:c>
      <x:c r="AN144" s="69" t="str">
        <x:f>IF(A144="","",IF(AM144="Primaria propuesta",IF(AH144&gt;=75,"40+20 probable",IF(AH144&gt;=55,"40 base + causales selectivas","40 base + probes mínimos")),IF(AM144="Revisión / posible primaria exploratoria","B0/B0.5 reconstrucción antes de Runtime","No abre Runtime profundo")))</x:f>
      </x:c>
      <x:c r="AO144" s="69" t="str">
        <x:f>IF(A144="","",IF(Z144="BLOQUEADA","No probe",IF(AH144&gt;=75,"Alta",IF(AH144&gt;=55,"Media",IF(Z144="REVISIÓN","Exploratoria","Baja")))))</x:f>
      </x:c>
      <x:c r="AP144" s="69" t="str">
        <x:f>IF(A144="","",IF(M144="","unknown",IF(M144&gt;=2,"Prometedora","Débil / validar en B0.5-B1")))</x:f>
      </x:c>
      <x:c r="AQ144" s="69" t="str">
        <x:f>IF(A144="","",IF(N144="","unknown",IF(N144&gt;=2,"Prometedora","Débil / validar en B2")))</x:f>
      </x:c>
      <x:c r="AR144" s="69" t="str">
        <x:f>IF(A144="","",IF(O144="","unknown",IF(O144&gt;=2,"Prometedora","Débil / validar en B3-B4")))</x:f>
      </x:c>
      <x:c r="AS144" s="69" t="str">
        <x:f>IF(A144="","",IF(P144="","unknown",IF(P144&gt;=2,"Prometedora","Débil / validar en B2-B4")))</x:f>
      </x:c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 t="str">
        <x:f>IF(A145="","",COUNTBLANK(M145:P145))</x:f>
      </x:c>
      <x:c r="Z145" s="69" t="str">
        <x:f>IF(A145="","",IF(OR(E145="",G145="No",H145="No",I145="Responsabilidad genérica",I145="Demasiado amplia",I145="Microtarea",J145="Duplicado evidente"),"BLOQUEADA",IF(OR(I145="Ambigua",L145&lt;1,K145&lt;1),"REVISIÓN","ELEGIBLE")))</x:f>
      </x:c>
      <x:c r="AA145" s="69" t="str">
        <x:f>IF(A145="","",IF(Z145="BLOQUEADA",0,ROUND(100*(IF(M145="",1.5,M145)+IF(N145="",1.5,N145)+IF(O145="",1.5,O145)+IF(P145="",1.5,P145))/12,1)))</x:f>
      </x:c>
      <x:c r="AB145" s="69" t="str">
        <x:f>IF(A145="","",IF(Z145="BLOQUEADA",0,ROUND(100*IF(Q145="",1.5,Q145)/3,1)))</x:f>
      </x:c>
      <x:c r="AC145" s="69" t="str">
        <x:f>IF(A145="","",IF(Z145="BLOQUEADA",0,ROUND(100*IF(R145="",1.5,R145)/3,1)))</x:f>
      </x:c>
      <x:c r="AD145" s="69" t="str">
        <x:f>IF(A145="","",IF(Z145="BLOQUEADA",0,ROUND(100*IF(S145="",1.5,S145)/3,1)))</x:f>
      </x:c>
      <x:c r="AE145" s="69" t="str">
        <x:f>IF(A145="","",IF(Z145="BLOQUEADA",0,ROUND(100*IF(T145="",1.5,T145)/3,1)))</x:f>
      </x:c>
      <x:c r="AF145" s="69" t="str">
        <x:f>IF(A145="","",IF(Z145="BLOQUEADA",0,ROUND(100*IF(U145="",1.5,U145)/3,1)))</x:f>
      </x:c>
      <x:c r="AG145" s="69" t="str">
        <x:f>IF(A145="","",ROUND(IF(Z145="BLOQUEADA",100,(X145*10)+(V145*8)+(W145*8)),1))</x:f>
      </x:c>
      <x:c r="AH145" s="69" t="str">
        <x:f>IF(A145="","",IF(Z145="BLOQUEADA",0,MAX(0,ROUND(0.30*AA145+0.20*AB145+0.15*AC145+0.15*AD145+0.10*AE145+0.10*AF145-AG145,1))))</x:f>
      </x:c>
      <x:c r="AI145" s="69" t="str">
        <x:f>IF(A145="","",IF(Z145="ELEGIBLE",RANK.EQ(AH145,$AH$2:$AH$201,0),""))</x:f>
      </x:c>
      <x:c r="AJ145" s="69" t="str">
        <x:f>IF(A145="","",IF(Z145="BLOQUEADA","No aplica",IF(Z145="REVISIÓN","Slot 8 posible: exploratorio",IF(AI145&lt;=5,"Slot 1-5: alto potencial",IF(R145&gt;=2.5,"Slot 6: handoff/dependencia",IF(S145&gt;=2.5,"Slot 7: transformación/objeto",IF(AND(K145&gt;=1,U145&gt;=2),"Slot 8 posible: exploratorio","Backlog/contexto")))))))</x:f>
      </x:c>
      <x:c r="AK145" s="69" t="str">
        <x:f>IF(A145="","",IF(Z145="BLOQUEADA","No seleccionable",IF(Z145="REVISIÓN","Revisión para slot exploratorio",IF(AI145&lt;=8,"Primaria propuesta","Contexto no primario"))))</x:f>
      </x:c>
      <x:c r="AL145" s="69" t="str">
        <x:f>IF(A145="","",IF(OR(Z145="REVISIÓN",Y145&gt;=3,V145&gt;=2),"Sí","No"))</x:f>
      </x:c>
      <x:c r="AM145" s="69" t="str">
        <x:f>IF(A145="","",IF(AK145="Primaria propuesta","Primaria propuesta",IF(AK145="Revisión para slot exploratorio","Revisión / posible primaria exploratoria",IF(AK145="No seleccionable","No seleccionable","Contexto no primario"))))</x:f>
      </x:c>
      <x:c r="AN145" s="69" t="str">
        <x:f>IF(A145="","",IF(AM145="Primaria propuesta",IF(AH145&gt;=75,"40+20 probable",IF(AH145&gt;=55,"40 base + causales selectivas","40 base + probes mínimos")),IF(AM145="Revisión / posible primaria exploratoria","B0/B0.5 reconstrucción antes de Runtime","No abre Runtime profundo")))</x:f>
      </x:c>
      <x:c r="AO145" s="69" t="str">
        <x:f>IF(A145="","",IF(Z145="BLOQUEADA","No probe",IF(AH145&gt;=75,"Alta",IF(AH145&gt;=55,"Media",IF(Z145="REVISIÓN","Exploratoria","Baja")))))</x:f>
      </x:c>
      <x:c r="AP145" s="69" t="str">
        <x:f>IF(A145="","",IF(M145="","unknown",IF(M145&gt;=2,"Prometedora","Débil / validar en B0.5-B1")))</x:f>
      </x:c>
      <x:c r="AQ145" s="69" t="str">
        <x:f>IF(A145="","",IF(N145="","unknown",IF(N145&gt;=2,"Prometedora","Débil / validar en B2")))</x:f>
      </x:c>
      <x:c r="AR145" s="69" t="str">
        <x:f>IF(A145="","",IF(O145="","unknown",IF(O145&gt;=2,"Prometedora","Débil / validar en B3-B4")))</x:f>
      </x:c>
      <x:c r="AS145" s="69" t="str">
        <x:f>IF(A145="","",IF(P145="","unknown",IF(P145&gt;=2,"Prometedora","Débil / validar en B2-B4")))</x:f>
      </x:c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 t="str">
        <x:f>IF(A146="","",COUNTBLANK(M146:P146))</x:f>
      </x:c>
      <x:c r="Z146" s="69" t="str">
        <x:f>IF(A146="","",IF(OR(E146="",G146="No",H146="No",I146="Responsabilidad genérica",I146="Demasiado amplia",I146="Microtarea",J146="Duplicado evidente"),"BLOQUEADA",IF(OR(I146="Ambigua",L146&lt;1,K146&lt;1),"REVISIÓN","ELEGIBLE")))</x:f>
      </x:c>
      <x:c r="AA146" s="69" t="str">
        <x:f>IF(A146="","",IF(Z146="BLOQUEADA",0,ROUND(100*(IF(M146="",1.5,M146)+IF(N146="",1.5,N146)+IF(O146="",1.5,O146)+IF(P146="",1.5,P146))/12,1)))</x:f>
      </x:c>
      <x:c r="AB146" s="69" t="str">
        <x:f>IF(A146="","",IF(Z146="BLOQUEADA",0,ROUND(100*IF(Q146="",1.5,Q146)/3,1)))</x:f>
      </x:c>
      <x:c r="AC146" s="69" t="str">
        <x:f>IF(A146="","",IF(Z146="BLOQUEADA",0,ROUND(100*IF(R146="",1.5,R146)/3,1)))</x:f>
      </x:c>
      <x:c r="AD146" s="69" t="str">
        <x:f>IF(A146="","",IF(Z146="BLOQUEADA",0,ROUND(100*IF(S146="",1.5,S146)/3,1)))</x:f>
      </x:c>
      <x:c r="AE146" s="69" t="str">
        <x:f>IF(A146="","",IF(Z146="BLOQUEADA",0,ROUND(100*IF(T146="",1.5,T146)/3,1)))</x:f>
      </x:c>
      <x:c r="AF146" s="69" t="str">
        <x:f>IF(A146="","",IF(Z146="BLOQUEADA",0,ROUND(100*IF(U146="",1.5,U146)/3,1)))</x:f>
      </x:c>
      <x:c r="AG146" s="69" t="str">
        <x:f>IF(A146="","",ROUND(IF(Z146="BLOQUEADA",100,(X146*10)+(V146*8)+(W146*8)),1))</x:f>
      </x:c>
      <x:c r="AH146" s="69" t="str">
        <x:f>IF(A146="","",IF(Z146="BLOQUEADA",0,MAX(0,ROUND(0.30*AA146+0.20*AB146+0.15*AC146+0.15*AD146+0.10*AE146+0.10*AF146-AG146,1))))</x:f>
      </x:c>
      <x:c r="AI146" s="69" t="str">
        <x:f>IF(A146="","",IF(Z146="ELEGIBLE",RANK.EQ(AH146,$AH$2:$AH$201,0),""))</x:f>
      </x:c>
      <x:c r="AJ146" s="69" t="str">
        <x:f>IF(A146="","",IF(Z146="BLOQUEADA","No aplica",IF(Z146="REVISIÓN","Slot 8 posible: exploratorio",IF(AI146&lt;=5,"Slot 1-5: alto potencial",IF(R146&gt;=2.5,"Slot 6: handoff/dependencia",IF(S146&gt;=2.5,"Slot 7: transformación/objeto",IF(AND(K146&gt;=1,U146&gt;=2),"Slot 8 posible: exploratorio","Backlog/contexto")))))))</x:f>
      </x:c>
      <x:c r="AK146" s="69" t="str">
        <x:f>IF(A146="","",IF(Z146="BLOQUEADA","No seleccionable",IF(Z146="REVISIÓN","Revisión para slot exploratorio",IF(AI146&lt;=8,"Primaria propuesta","Contexto no primario"))))</x:f>
      </x:c>
      <x:c r="AL146" s="69" t="str">
        <x:f>IF(A146="","",IF(OR(Z146="REVISIÓN",Y146&gt;=3,V146&gt;=2),"Sí","No"))</x:f>
      </x:c>
      <x:c r="AM146" s="69" t="str">
        <x:f>IF(A146="","",IF(AK146="Primaria propuesta","Primaria propuesta",IF(AK146="Revisión para slot exploratorio","Revisión / posible primaria exploratoria",IF(AK146="No seleccionable","No seleccionable","Contexto no primario"))))</x:f>
      </x:c>
      <x:c r="AN146" s="69" t="str">
        <x:f>IF(A146="","",IF(AM146="Primaria propuesta",IF(AH146&gt;=75,"40+20 probable",IF(AH146&gt;=55,"40 base + causales selectivas","40 base + probes mínimos")),IF(AM146="Revisión / posible primaria exploratoria","B0/B0.5 reconstrucción antes de Runtime","No abre Runtime profundo")))</x:f>
      </x:c>
      <x:c r="AO146" s="69" t="str">
        <x:f>IF(A146="","",IF(Z146="BLOQUEADA","No probe",IF(AH146&gt;=75,"Alta",IF(AH146&gt;=55,"Media",IF(Z146="REVISIÓN","Exploratoria","Baja")))))</x:f>
      </x:c>
      <x:c r="AP146" s="69" t="str">
        <x:f>IF(A146="","",IF(M146="","unknown",IF(M146&gt;=2,"Prometedora","Débil / validar en B0.5-B1")))</x:f>
      </x:c>
      <x:c r="AQ146" s="69" t="str">
        <x:f>IF(A146="","",IF(N146="","unknown",IF(N146&gt;=2,"Prometedora","Débil / validar en B2")))</x:f>
      </x:c>
      <x:c r="AR146" s="69" t="str">
        <x:f>IF(A146="","",IF(O146="","unknown",IF(O146&gt;=2,"Prometedora","Débil / validar en B3-B4")))</x:f>
      </x:c>
      <x:c r="AS146" s="69" t="str">
        <x:f>IF(A146="","",IF(P146="","unknown",IF(P146&gt;=2,"Prometedora","Débil / validar en B2-B4")))</x:f>
      </x:c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 t="str">
        <x:f>IF(A147="","",COUNTBLANK(M147:P147))</x:f>
      </x:c>
      <x:c r="Z147" s="69" t="str">
        <x:f>IF(A147="","",IF(OR(E147="",G147="No",H147="No",I147="Responsabilidad genérica",I147="Demasiado amplia",I147="Microtarea",J147="Duplicado evidente"),"BLOQUEADA",IF(OR(I147="Ambigua",L147&lt;1,K147&lt;1),"REVISIÓN","ELEGIBLE")))</x:f>
      </x:c>
      <x:c r="AA147" s="69" t="str">
        <x:f>IF(A147="","",IF(Z147="BLOQUEADA",0,ROUND(100*(IF(M147="",1.5,M147)+IF(N147="",1.5,N147)+IF(O147="",1.5,O147)+IF(P147="",1.5,P147))/12,1)))</x:f>
      </x:c>
      <x:c r="AB147" s="69" t="str">
        <x:f>IF(A147="","",IF(Z147="BLOQUEADA",0,ROUND(100*IF(Q147="",1.5,Q147)/3,1)))</x:f>
      </x:c>
      <x:c r="AC147" s="69" t="str">
        <x:f>IF(A147="","",IF(Z147="BLOQUEADA",0,ROUND(100*IF(R147="",1.5,R147)/3,1)))</x:f>
      </x:c>
      <x:c r="AD147" s="69" t="str">
        <x:f>IF(A147="","",IF(Z147="BLOQUEADA",0,ROUND(100*IF(S147="",1.5,S147)/3,1)))</x:f>
      </x:c>
      <x:c r="AE147" s="69" t="str">
        <x:f>IF(A147="","",IF(Z147="BLOQUEADA",0,ROUND(100*IF(T147="",1.5,T147)/3,1)))</x:f>
      </x:c>
      <x:c r="AF147" s="69" t="str">
        <x:f>IF(A147="","",IF(Z147="BLOQUEADA",0,ROUND(100*IF(U147="",1.5,U147)/3,1)))</x:f>
      </x:c>
      <x:c r="AG147" s="69" t="str">
        <x:f>IF(A147="","",ROUND(IF(Z147="BLOQUEADA",100,(X147*10)+(V147*8)+(W147*8)),1))</x:f>
      </x:c>
      <x:c r="AH147" s="69" t="str">
        <x:f>IF(A147="","",IF(Z147="BLOQUEADA",0,MAX(0,ROUND(0.30*AA147+0.20*AB147+0.15*AC147+0.15*AD147+0.10*AE147+0.10*AF147-AG147,1))))</x:f>
      </x:c>
      <x:c r="AI147" s="69" t="str">
        <x:f>IF(A147="","",IF(Z147="ELEGIBLE",RANK.EQ(AH147,$AH$2:$AH$201,0),""))</x:f>
      </x:c>
      <x:c r="AJ147" s="69" t="str">
        <x:f>IF(A147="","",IF(Z147="BLOQUEADA","No aplica",IF(Z147="REVISIÓN","Slot 8 posible: exploratorio",IF(AI147&lt;=5,"Slot 1-5: alto potencial",IF(R147&gt;=2.5,"Slot 6: handoff/dependencia",IF(S147&gt;=2.5,"Slot 7: transformación/objeto",IF(AND(K147&gt;=1,U147&gt;=2),"Slot 8 posible: exploratorio","Backlog/contexto")))))))</x:f>
      </x:c>
      <x:c r="AK147" s="69" t="str">
        <x:f>IF(A147="","",IF(Z147="BLOQUEADA","No seleccionable",IF(Z147="REVISIÓN","Revisión para slot exploratorio",IF(AI147&lt;=8,"Primaria propuesta","Contexto no primario"))))</x:f>
      </x:c>
      <x:c r="AL147" s="69" t="str">
        <x:f>IF(A147="","",IF(OR(Z147="REVISIÓN",Y147&gt;=3,V147&gt;=2),"Sí","No"))</x:f>
      </x:c>
      <x:c r="AM147" s="69" t="str">
        <x:f>IF(A147="","",IF(AK147="Primaria propuesta","Primaria propuesta",IF(AK147="Revisión para slot exploratorio","Revisión / posible primaria exploratoria",IF(AK147="No seleccionable","No seleccionable","Contexto no primario"))))</x:f>
      </x:c>
      <x:c r="AN147" s="69" t="str">
        <x:f>IF(A147="","",IF(AM147="Primaria propuesta",IF(AH147&gt;=75,"40+20 probable",IF(AH147&gt;=55,"40 base + causales selectivas","40 base + probes mínimos")),IF(AM147="Revisión / posible primaria exploratoria","B0/B0.5 reconstrucción antes de Runtime","No abre Runtime profundo")))</x:f>
      </x:c>
      <x:c r="AO147" s="69" t="str">
        <x:f>IF(A147="","",IF(Z147="BLOQUEADA","No probe",IF(AH147&gt;=75,"Alta",IF(AH147&gt;=55,"Media",IF(Z147="REVISIÓN","Exploratoria","Baja")))))</x:f>
      </x:c>
      <x:c r="AP147" s="69" t="str">
        <x:f>IF(A147="","",IF(M147="","unknown",IF(M147&gt;=2,"Prometedora","Débil / validar en B0.5-B1")))</x:f>
      </x:c>
      <x:c r="AQ147" s="69" t="str">
        <x:f>IF(A147="","",IF(N147="","unknown",IF(N147&gt;=2,"Prometedora","Débil / validar en B2")))</x:f>
      </x:c>
      <x:c r="AR147" s="69" t="str">
        <x:f>IF(A147="","",IF(O147="","unknown",IF(O147&gt;=2,"Prometedora","Débil / validar en B3-B4")))</x:f>
      </x:c>
      <x:c r="AS147" s="69" t="str">
        <x:f>IF(A147="","",IF(P147="","unknown",IF(P147&gt;=2,"Prometedora","Débil / validar en B2-B4")))</x:f>
      </x:c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 t="str">
        <x:f>IF(A148="","",COUNTBLANK(M148:P148))</x:f>
      </x:c>
      <x:c r="Z148" s="69" t="str">
        <x:f>IF(A148="","",IF(OR(E148="",G148="No",H148="No",I148="Responsabilidad genérica",I148="Demasiado amplia",I148="Microtarea",J148="Duplicado evidente"),"BLOQUEADA",IF(OR(I148="Ambigua",L148&lt;1,K148&lt;1),"REVISIÓN","ELEGIBLE")))</x:f>
      </x:c>
      <x:c r="AA148" s="69" t="str">
        <x:f>IF(A148="","",IF(Z148="BLOQUEADA",0,ROUND(100*(IF(M148="",1.5,M148)+IF(N148="",1.5,N148)+IF(O148="",1.5,O148)+IF(P148="",1.5,P148))/12,1)))</x:f>
      </x:c>
      <x:c r="AB148" s="69" t="str">
        <x:f>IF(A148="","",IF(Z148="BLOQUEADA",0,ROUND(100*IF(Q148="",1.5,Q148)/3,1)))</x:f>
      </x:c>
      <x:c r="AC148" s="69" t="str">
        <x:f>IF(A148="","",IF(Z148="BLOQUEADA",0,ROUND(100*IF(R148="",1.5,R148)/3,1)))</x:f>
      </x:c>
      <x:c r="AD148" s="69" t="str">
        <x:f>IF(A148="","",IF(Z148="BLOQUEADA",0,ROUND(100*IF(S148="",1.5,S148)/3,1)))</x:f>
      </x:c>
      <x:c r="AE148" s="69" t="str">
        <x:f>IF(A148="","",IF(Z148="BLOQUEADA",0,ROUND(100*IF(T148="",1.5,T148)/3,1)))</x:f>
      </x:c>
      <x:c r="AF148" s="69" t="str">
        <x:f>IF(A148="","",IF(Z148="BLOQUEADA",0,ROUND(100*IF(U148="",1.5,U148)/3,1)))</x:f>
      </x:c>
      <x:c r="AG148" s="69" t="str">
        <x:f>IF(A148="","",ROUND(IF(Z148="BLOQUEADA",100,(X148*10)+(V148*8)+(W148*8)),1))</x:f>
      </x:c>
      <x:c r="AH148" s="69" t="str">
        <x:f>IF(A148="","",IF(Z148="BLOQUEADA",0,MAX(0,ROUND(0.30*AA148+0.20*AB148+0.15*AC148+0.15*AD148+0.10*AE148+0.10*AF148-AG148,1))))</x:f>
      </x:c>
      <x:c r="AI148" s="69" t="str">
        <x:f>IF(A148="","",IF(Z148="ELEGIBLE",RANK.EQ(AH148,$AH$2:$AH$201,0),""))</x:f>
      </x:c>
      <x:c r="AJ148" s="69" t="str">
        <x:f>IF(A148="","",IF(Z148="BLOQUEADA","No aplica",IF(Z148="REVISIÓN","Slot 8 posible: exploratorio",IF(AI148&lt;=5,"Slot 1-5: alto potencial",IF(R148&gt;=2.5,"Slot 6: handoff/dependencia",IF(S148&gt;=2.5,"Slot 7: transformación/objeto",IF(AND(K148&gt;=1,U148&gt;=2),"Slot 8 posible: exploratorio","Backlog/contexto")))))))</x:f>
      </x:c>
      <x:c r="AK148" s="69" t="str">
        <x:f>IF(A148="","",IF(Z148="BLOQUEADA","No seleccionable",IF(Z148="REVISIÓN","Revisión para slot exploratorio",IF(AI148&lt;=8,"Primaria propuesta","Contexto no primario"))))</x:f>
      </x:c>
      <x:c r="AL148" s="69" t="str">
        <x:f>IF(A148="","",IF(OR(Z148="REVISIÓN",Y148&gt;=3,V148&gt;=2),"Sí","No"))</x:f>
      </x:c>
      <x:c r="AM148" s="69" t="str">
        <x:f>IF(A148="","",IF(AK148="Primaria propuesta","Primaria propuesta",IF(AK148="Revisión para slot exploratorio","Revisión / posible primaria exploratoria",IF(AK148="No seleccionable","No seleccionable","Contexto no primario"))))</x:f>
      </x:c>
      <x:c r="AN148" s="69" t="str">
        <x:f>IF(A148="","",IF(AM148="Primaria propuesta",IF(AH148&gt;=75,"40+20 probable",IF(AH148&gt;=55,"40 base + causales selectivas","40 base + probes mínimos")),IF(AM148="Revisión / posible primaria exploratoria","B0/B0.5 reconstrucción antes de Runtime","No abre Runtime profundo")))</x:f>
      </x:c>
      <x:c r="AO148" s="69" t="str">
        <x:f>IF(A148="","",IF(Z148="BLOQUEADA","No probe",IF(AH148&gt;=75,"Alta",IF(AH148&gt;=55,"Media",IF(Z148="REVISIÓN","Exploratoria","Baja")))))</x:f>
      </x:c>
      <x:c r="AP148" s="69" t="str">
        <x:f>IF(A148="","",IF(M148="","unknown",IF(M148&gt;=2,"Prometedora","Débil / validar en B0.5-B1")))</x:f>
      </x:c>
      <x:c r="AQ148" s="69" t="str">
        <x:f>IF(A148="","",IF(N148="","unknown",IF(N148&gt;=2,"Prometedora","Débil / validar en B2")))</x:f>
      </x:c>
      <x:c r="AR148" s="69" t="str">
        <x:f>IF(A148="","",IF(O148="","unknown",IF(O148&gt;=2,"Prometedora","Débil / validar en B3-B4")))</x:f>
      </x:c>
      <x:c r="AS148" s="69" t="str">
        <x:f>IF(A148="","",IF(P148="","unknown",IF(P148&gt;=2,"Prometedora","Débil / validar en B2-B4")))</x:f>
      </x:c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 t="str">
        <x:f>IF(A149="","",COUNTBLANK(M149:P149))</x:f>
      </x:c>
      <x:c r="Z149" s="69" t="str">
        <x:f>IF(A149="","",IF(OR(E149="",G149="No",H149="No",I149="Responsabilidad genérica",I149="Demasiado amplia",I149="Microtarea",J149="Duplicado evidente"),"BLOQUEADA",IF(OR(I149="Ambigua",L149&lt;1,K149&lt;1),"REVISIÓN","ELEGIBLE")))</x:f>
      </x:c>
      <x:c r="AA149" s="69" t="str">
        <x:f>IF(A149="","",IF(Z149="BLOQUEADA",0,ROUND(100*(IF(M149="",1.5,M149)+IF(N149="",1.5,N149)+IF(O149="",1.5,O149)+IF(P149="",1.5,P149))/12,1)))</x:f>
      </x:c>
      <x:c r="AB149" s="69" t="str">
        <x:f>IF(A149="","",IF(Z149="BLOQUEADA",0,ROUND(100*IF(Q149="",1.5,Q149)/3,1)))</x:f>
      </x:c>
      <x:c r="AC149" s="69" t="str">
        <x:f>IF(A149="","",IF(Z149="BLOQUEADA",0,ROUND(100*IF(R149="",1.5,R149)/3,1)))</x:f>
      </x:c>
      <x:c r="AD149" s="69" t="str">
        <x:f>IF(A149="","",IF(Z149="BLOQUEADA",0,ROUND(100*IF(S149="",1.5,S149)/3,1)))</x:f>
      </x:c>
      <x:c r="AE149" s="69" t="str">
        <x:f>IF(A149="","",IF(Z149="BLOQUEADA",0,ROUND(100*IF(T149="",1.5,T149)/3,1)))</x:f>
      </x:c>
      <x:c r="AF149" s="69" t="str">
        <x:f>IF(A149="","",IF(Z149="BLOQUEADA",0,ROUND(100*IF(U149="",1.5,U149)/3,1)))</x:f>
      </x:c>
      <x:c r="AG149" s="69" t="str">
        <x:f>IF(A149="","",ROUND(IF(Z149="BLOQUEADA",100,(X149*10)+(V149*8)+(W149*8)),1))</x:f>
      </x:c>
      <x:c r="AH149" s="69" t="str">
        <x:f>IF(A149="","",IF(Z149="BLOQUEADA",0,MAX(0,ROUND(0.30*AA149+0.20*AB149+0.15*AC149+0.15*AD149+0.10*AE149+0.10*AF149-AG149,1))))</x:f>
      </x:c>
      <x:c r="AI149" s="69" t="str">
        <x:f>IF(A149="","",IF(Z149="ELEGIBLE",RANK.EQ(AH149,$AH$2:$AH$201,0),""))</x:f>
      </x:c>
      <x:c r="AJ149" s="69" t="str">
        <x:f>IF(A149="","",IF(Z149="BLOQUEADA","No aplica",IF(Z149="REVISIÓN","Slot 8 posible: exploratorio",IF(AI149&lt;=5,"Slot 1-5: alto potencial",IF(R149&gt;=2.5,"Slot 6: handoff/dependencia",IF(S149&gt;=2.5,"Slot 7: transformación/objeto",IF(AND(K149&gt;=1,U149&gt;=2),"Slot 8 posible: exploratorio","Backlog/contexto")))))))</x:f>
      </x:c>
      <x:c r="AK149" s="69" t="str">
        <x:f>IF(A149="","",IF(Z149="BLOQUEADA","No seleccionable",IF(Z149="REVISIÓN","Revisión para slot exploratorio",IF(AI149&lt;=8,"Primaria propuesta","Contexto no primario"))))</x:f>
      </x:c>
      <x:c r="AL149" s="69" t="str">
        <x:f>IF(A149="","",IF(OR(Z149="REVISIÓN",Y149&gt;=3,V149&gt;=2),"Sí","No"))</x:f>
      </x:c>
      <x:c r="AM149" s="69" t="str">
        <x:f>IF(A149="","",IF(AK149="Primaria propuesta","Primaria propuesta",IF(AK149="Revisión para slot exploratorio","Revisión / posible primaria exploratoria",IF(AK149="No seleccionable","No seleccionable","Contexto no primario"))))</x:f>
      </x:c>
      <x:c r="AN149" s="69" t="str">
        <x:f>IF(A149="","",IF(AM149="Primaria propuesta",IF(AH149&gt;=75,"40+20 probable",IF(AH149&gt;=55,"40 base + causales selectivas","40 base + probes mínimos")),IF(AM149="Revisión / posible primaria exploratoria","B0/B0.5 reconstrucción antes de Runtime","No abre Runtime profundo")))</x:f>
      </x:c>
      <x:c r="AO149" s="69" t="str">
        <x:f>IF(A149="","",IF(Z149="BLOQUEADA","No probe",IF(AH149&gt;=75,"Alta",IF(AH149&gt;=55,"Media",IF(Z149="REVISIÓN","Exploratoria","Baja")))))</x:f>
      </x:c>
      <x:c r="AP149" s="69" t="str">
        <x:f>IF(A149="","",IF(M149="","unknown",IF(M149&gt;=2,"Prometedora","Débil / validar en B0.5-B1")))</x:f>
      </x:c>
      <x:c r="AQ149" s="69" t="str">
        <x:f>IF(A149="","",IF(N149="","unknown",IF(N149&gt;=2,"Prometedora","Débil / validar en B2")))</x:f>
      </x:c>
      <x:c r="AR149" s="69" t="str">
        <x:f>IF(A149="","",IF(O149="","unknown",IF(O149&gt;=2,"Prometedora","Débil / validar en B3-B4")))</x:f>
      </x:c>
      <x:c r="AS149" s="69" t="str">
        <x:f>IF(A149="","",IF(P149="","unknown",IF(P149&gt;=2,"Prometedora","Débil / validar en B2-B4")))</x:f>
      </x:c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 t="str">
        <x:f>IF(A150="","",COUNTBLANK(M150:P150))</x:f>
      </x:c>
      <x:c r="Z150" s="69" t="str">
        <x:f>IF(A150="","",IF(OR(E150="",G150="No",H150="No",I150="Responsabilidad genérica",I150="Demasiado amplia",I150="Microtarea",J150="Duplicado evidente"),"BLOQUEADA",IF(OR(I150="Ambigua",L150&lt;1,K150&lt;1),"REVISIÓN","ELEGIBLE")))</x:f>
      </x:c>
      <x:c r="AA150" s="69" t="str">
        <x:f>IF(A150="","",IF(Z150="BLOQUEADA",0,ROUND(100*(IF(M150="",1.5,M150)+IF(N150="",1.5,N150)+IF(O150="",1.5,O150)+IF(P150="",1.5,P150))/12,1)))</x:f>
      </x:c>
      <x:c r="AB150" s="69" t="str">
        <x:f>IF(A150="","",IF(Z150="BLOQUEADA",0,ROUND(100*IF(Q150="",1.5,Q150)/3,1)))</x:f>
      </x:c>
      <x:c r="AC150" s="69" t="str">
        <x:f>IF(A150="","",IF(Z150="BLOQUEADA",0,ROUND(100*IF(R150="",1.5,R150)/3,1)))</x:f>
      </x:c>
      <x:c r="AD150" s="69" t="str">
        <x:f>IF(A150="","",IF(Z150="BLOQUEADA",0,ROUND(100*IF(S150="",1.5,S150)/3,1)))</x:f>
      </x:c>
      <x:c r="AE150" s="69" t="str">
        <x:f>IF(A150="","",IF(Z150="BLOQUEADA",0,ROUND(100*IF(T150="",1.5,T150)/3,1)))</x:f>
      </x:c>
      <x:c r="AF150" s="69" t="str">
        <x:f>IF(A150="","",IF(Z150="BLOQUEADA",0,ROUND(100*IF(U150="",1.5,U150)/3,1)))</x:f>
      </x:c>
      <x:c r="AG150" s="69" t="str">
        <x:f>IF(A150="","",ROUND(IF(Z150="BLOQUEADA",100,(X150*10)+(V150*8)+(W150*8)),1))</x:f>
      </x:c>
      <x:c r="AH150" s="69" t="str">
        <x:f>IF(A150="","",IF(Z150="BLOQUEADA",0,MAX(0,ROUND(0.30*AA150+0.20*AB150+0.15*AC150+0.15*AD150+0.10*AE150+0.10*AF150-AG150,1))))</x:f>
      </x:c>
      <x:c r="AI150" s="69" t="str">
        <x:f>IF(A150="","",IF(Z150="ELEGIBLE",RANK.EQ(AH150,$AH$2:$AH$201,0),""))</x:f>
      </x:c>
      <x:c r="AJ150" s="69" t="str">
        <x:f>IF(A150="","",IF(Z150="BLOQUEADA","No aplica",IF(Z150="REVISIÓN","Slot 8 posible: exploratorio",IF(AI150&lt;=5,"Slot 1-5: alto potencial",IF(R150&gt;=2.5,"Slot 6: handoff/dependencia",IF(S150&gt;=2.5,"Slot 7: transformación/objeto",IF(AND(K150&gt;=1,U150&gt;=2),"Slot 8 posible: exploratorio","Backlog/contexto")))))))</x:f>
      </x:c>
      <x:c r="AK150" s="69" t="str">
        <x:f>IF(A150="","",IF(Z150="BLOQUEADA","No seleccionable",IF(Z150="REVISIÓN","Revisión para slot exploratorio",IF(AI150&lt;=8,"Primaria propuesta","Contexto no primario"))))</x:f>
      </x:c>
      <x:c r="AL150" s="69" t="str">
        <x:f>IF(A150="","",IF(OR(Z150="REVISIÓN",Y150&gt;=3,V150&gt;=2),"Sí","No"))</x:f>
      </x:c>
      <x:c r="AM150" s="69" t="str">
        <x:f>IF(A150="","",IF(AK150="Primaria propuesta","Primaria propuesta",IF(AK150="Revisión para slot exploratorio","Revisión / posible primaria exploratoria",IF(AK150="No seleccionable","No seleccionable","Contexto no primario"))))</x:f>
      </x:c>
      <x:c r="AN150" s="69" t="str">
        <x:f>IF(A150="","",IF(AM150="Primaria propuesta",IF(AH150&gt;=75,"40+20 probable",IF(AH150&gt;=55,"40 base + causales selectivas","40 base + probes mínimos")),IF(AM150="Revisión / posible primaria exploratoria","B0/B0.5 reconstrucción antes de Runtime","No abre Runtime profundo")))</x:f>
      </x:c>
      <x:c r="AO150" s="69" t="str">
        <x:f>IF(A150="","",IF(Z150="BLOQUEADA","No probe",IF(AH150&gt;=75,"Alta",IF(AH150&gt;=55,"Media",IF(Z150="REVISIÓN","Exploratoria","Baja")))))</x:f>
      </x:c>
      <x:c r="AP150" s="69" t="str">
        <x:f>IF(A150="","",IF(M150="","unknown",IF(M150&gt;=2,"Prometedora","Débil / validar en B0.5-B1")))</x:f>
      </x:c>
      <x:c r="AQ150" s="69" t="str">
        <x:f>IF(A150="","",IF(N150="","unknown",IF(N150&gt;=2,"Prometedora","Débil / validar en B2")))</x:f>
      </x:c>
      <x:c r="AR150" s="69" t="str">
        <x:f>IF(A150="","",IF(O150="","unknown",IF(O150&gt;=2,"Prometedora","Débil / validar en B3-B4")))</x:f>
      </x:c>
      <x:c r="AS150" s="69" t="str">
        <x:f>IF(A150="","",IF(P150="","unknown",IF(P150&gt;=2,"Prometedora","Débil / validar en B2-B4")))</x:f>
      </x:c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 t="str">
        <x:f>IF(A151="","",COUNTBLANK(M151:P151))</x:f>
      </x:c>
      <x:c r="Z151" s="69" t="str">
        <x:f>IF(A151="","",IF(OR(E151="",G151="No",H151="No",I151="Responsabilidad genérica",I151="Demasiado amplia",I151="Microtarea",J151="Duplicado evidente"),"BLOQUEADA",IF(OR(I151="Ambigua",L151&lt;1,K151&lt;1),"REVISIÓN","ELEGIBLE")))</x:f>
      </x:c>
      <x:c r="AA151" s="69" t="str">
        <x:f>IF(A151="","",IF(Z151="BLOQUEADA",0,ROUND(100*(IF(M151="",1.5,M151)+IF(N151="",1.5,N151)+IF(O151="",1.5,O151)+IF(P151="",1.5,P151))/12,1)))</x:f>
      </x:c>
      <x:c r="AB151" s="69" t="str">
        <x:f>IF(A151="","",IF(Z151="BLOQUEADA",0,ROUND(100*IF(Q151="",1.5,Q151)/3,1)))</x:f>
      </x:c>
      <x:c r="AC151" s="69" t="str">
        <x:f>IF(A151="","",IF(Z151="BLOQUEADA",0,ROUND(100*IF(R151="",1.5,R151)/3,1)))</x:f>
      </x:c>
      <x:c r="AD151" s="69" t="str">
        <x:f>IF(A151="","",IF(Z151="BLOQUEADA",0,ROUND(100*IF(S151="",1.5,S151)/3,1)))</x:f>
      </x:c>
      <x:c r="AE151" s="69" t="str">
        <x:f>IF(A151="","",IF(Z151="BLOQUEADA",0,ROUND(100*IF(T151="",1.5,T151)/3,1)))</x:f>
      </x:c>
      <x:c r="AF151" s="69" t="str">
        <x:f>IF(A151="","",IF(Z151="BLOQUEADA",0,ROUND(100*IF(U151="",1.5,U151)/3,1)))</x:f>
      </x:c>
      <x:c r="AG151" s="69" t="str">
        <x:f>IF(A151="","",ROUND(IF(Z151="BLOQUEADA",100,(X151*10)+(V151*8)+(W151*8)),1))</x:f>
      </x:c>
      <x:c r="AH151" s="69" t="str">
        <x:f>IF(A151="","",IF(Z151="BLOQUEADA",0,MAX(0,ROUND(0.30*AA151+0.20*AB151+0.15*AC151+0.15*AD151+0.10*AE151+0.10*AF151-AG151,1))))</x:f>
      </x:c>
      <x:c r="AI151" s="69" t="str">
        <x:f>IF(A151="","",IF(Z151="ELEGIBLE",RANK.EQ(AH151,$AH$2:$AH$201,0),""))</x:f>
      </x:c>
      <x:c r="AJ151" s="69" t="str">
        <x:f>IF(A151="","",IF(Z151="BLOQUEADA","No aplica",IF(Z151="REVISIÓN","Slot 8 posible: exploratorio",IF(AI151&lt;=5,"Slot 1-5: alto potencial",IF(R151&gt;=2.5,"Slot 6: handoff/dependencia",IF(S151&gt;=2.5,"Slot 7: transformación/objeto",IF(AND(K151&gt;=1,U151&gt;=2),"Slot 8 posible: exploratorio","Backlog/contexto")))))))</x:f>
      </x:c>
      <x:c r="AK151" s="69" t="str">
        <x:f>IF(A151="","",IF(Z151="BLOQUEADA","No seleccionable",IF(Z151="REVISIÓN","Revisión para slot exploratorio",IF(AI151&lt;=8,"Primaria propuesta","Contexto no primario"))))</x:f>
      </x:c>
      <x:c r="AL151" s="69" t="str">
        <x:f>IF(A151="","",IF(OR(Z151="REVISIÓN",Y151&gt;=3,V151&gt;=2),"Sí","No"))</x:f>
      </x:c>
      <x:c r="AM151" s="69" t="str">
        <x:f>IF(A151="","",IF(AK151="Primaria propuesta","Primaria propuesta",IF(AK151="Revisión para slot exploratorio","Revisión / posible primaria exploratoria",IF(AK151="No seleccionable","No seleccionable","Contexto no primario"))))</x:f>
      </x:c>
      <x:c r="AN151" s="69" t="str">
        <x:f>IF(A151="","",IF(AM151="Primaria propuesta",IF(AH151&gt;=75,"40+20 probable",IF(AH151&gt;=55,"40 base + causales selectivas","40 base + probes mínimos")),IF(AM151="Revisión / posible primaria exploratoria","B0/B0.5 reconstrucción antes de Runtime","No abre Runtime profundo")))</x:f>
      </x:c>
      <x:c r="AO151" s="69" t="str">
        <x:f>IF(A151="","",IF(Z151="BLOQUEADA","No probe",IF(AH151&gt;=75,"Alta",IF(AH151&gt;=55,"Media",IF(Z151="REVISIÓN","Exploratoria","Baja")))))</x:f>
      </x:c>
      <x:c r="AP151" s="69" t="str">
        <x:f>IF(A151="","",IF(M151="","unknown",IF(M151&gt;=2,"Prometedora","Débil / validar en B0.5-B1")))</x:f>
      </x:c>
      <x:c r="AQ151" s="69" t="str">
        <x:f>IF(A151="","",IF(N151="","unknown",IF(N151&gt;=2,"Prometedora","Débil / validar en B2")))</x:f>
      </x:c>
      <x:c r="AR151" s="69" t="str">
        <x:f>IF(A151="","",IF(O151="","unknown",IF(O151&gt;=2,"Prometedora","Débil / validar en B3-B4")))</x:f>
      </x:c>
      <x:c r="AS151" s="69" t="str">
        <x:f>IF(A151="","",IF(P151="","unknown",IF(P151&gt;=2,"Prometedora","Débil / validar en B2-B4")))</x:f>
      </x:c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 t="str">
        <x:f>IF(A152="","",COUNTBLANK(M152:P152))</x:f>
      </x:c>
      <x:c r="Z152" s="69" t="str">
        <x:f>IF(A152="","",IF(OR(E152="",G152="No",H152="No",I152="Responsabilidad genérica",I152="Demasiado amplia",I152="Microtarea",J152="Duplicado evidente"),"BLOQUEADA",IF(OR(I152="Ambigua",L152&lt;1,K152&lt;1),"REVISIÓN","ELEGIBLE")))</x:f>
      </x:c>
      <x:c r="AA152" s="69" t="str">
        <x:f>IF(A152="","",IF(Z152="BLOQUEADA",0,ROUND(100*(IF(M152="",1.5,M152)+IF(N152="",1.5,N152)+IF(O152="",1.5,O152)+IF(P152="",1.5,P152))/12,1)))</x:f>
      </x:c>
      <x:c r="AB152" s="69" t="str">
        <x:f>IF(A152="","",IF(Z152="BLOQUEADA",0,ROUND(100*IF(Q152="",1.5,Q152)/3,1)))</x:f>
      </x:c>
      <x:c r="AC152" s="69" t="str">
        <x:f>IF(A152="","",IF(Z152="BLOQUEADA",0,ROUND(100*IF(R152="",1.5,R152)/3,1)))</x:f>
      </x:c>
      <x:c r="AD152" s="69" t="str">
        <x:f>IF(A152="","",IF(Z152="BLOQUEADA",0,ROUND(100*IF(S152="",1.5,S152)/3,1)))</x:f>
      </x:c>
      <x:c r="AE152" s="69" t="str">
        <x:f>IF(A152="","",IF(Z152="BLOQUEADA",0,ROUND(100*IF(T152="",1.5,T152)/3,1)))</x:f>
      </x:c>
      <x:c r="AF152" s="69" t="str">
        <x:f>IF(A152="","",IF(Z152="BLOQUEADA",0,ROUND(100*IF(U152="",1.5,U152)/3,1)))</x:f>
      </x:c>
      <x:c r="AG152" s="69" t="str">
        <x:f>IF(A152="","",ROUND(IF(Z152="BLOQUEADA",100,(X152*10)+(V152*8)+(W152*8)),1))</x:f>
      </x:c>
      <x:c r="AH152" s="69" t="str">
        <x:f>IF(A152="","",IF(Z152="BLOQUEADA",0,MAX(0,ROUND(0.30*AA152+0.20*AB152+0.15*AC152+0.15*AD152+0.10*AE152+0.10*AF152-AG152,1))))</x:f>
      </x:c>
      <x:c r="AI152" s="69" t="str">
        <x:f>IF(A152="","",IF(Z152="ELEGIBLE",RANK.EQ(AH152,$AH$2:$AH$201,0),""))</x:f>
      </x:c>
      <x:c r="AJ152" s="69" t="str">
        <x:f>IF(A152="","",IF(Z152="BLOQUEADA","No aplica",IF(Z152="REVISIÓN","Slot 8 posible: exploratorio",IF(AI152&lt;=5,"Slot 1-5: alto potencial",IF(R152&gt;=2.5,"Slot 6: handoff/dependencia",IF(S152&gt;=2.5,"Slot 7: transformación/objeto",IF(AND(K152&gt;=1,U152&gt;=2),"Slot 8 posible: exploratorio","Backlog/contexto")))))))</x:f>
      </x:c>
      <x:c r="AK152" s="69" t="str">
        <x:f>IF(A152="","",IF(Z152="BLOQUEADA","No seleccionable",IF(Z152="REVISIÓN","Revisión para slot exploratorio",IF(AI152&lt;=8,"Primaria propuesta","Contexto no primario"))))</x:f>
      </x:c>
      <x:c r="AL152" s="69" t="str">
        <x:f>IF(A152="","",IF(OR(Z152="REVISIÓN",Y152&gt;=3,V152&gt;=2),"Sí","No"))</x:f>
      </x:c>
      <x:c r="AM152" s="69" t="str">
        <x:f>IF(A152="","",IF(AK152="Primaria propuesta","Primaria propuesta",IF(AK152="Revisión para slot exploratorio","Revisión / posible primaria exploratoria",IF(AK152="No seleccionable","No seleccionable","Contexto no primario"))))</x:f>
      </x:c>
      <x:c r="AN152" s="69" t="str">
        <x:f>IF(A152="","",IF(AM152="Primaria propuesta",IF(AH152&gt;=75,"40+20 probable",IF(AH152&gt;=55,"40 base + causales selectivas","40 base + probes mínimos")),IF(AM152="Revisión / posible primaria exploratoria","B0/B0.5 reconstrucción antes de Runtime","No abre Runtime profundo")))</x:f>
      </x:c>
      <x:c r="AO152" s="69" t="str">
        <x:f>IF(A152="","",IF(Z152="BLOQUEADA","No probe",IF(AH152&gt;=75,"Alta",IF(AH152&gt;=55,"Media",IF(Z152="REVISIÓN","Exploratoria","Baja")))))</x:f>
      </x:c>
      <x:c r="AP152" s="69" t="str">
        <x:f>IF(A152="","",IF(M152="","unknown",IF(M152&gt;=2,"Prometedora","Débil / validar en B0.5-B1")))</x:f>
      </x:c>
      <x:c r="AQ152" s="69" t="str">
        <x:f>IF(A152="","",IF(N152="","unknown",IF(N152&gt;=2,"Prometedora","Débil / validar en B2")))</x:f>
      </x:c>
      <x:c r="AR152" s="69" t="str">
        <x:f>IF(A152="","",IF(O152="","unknown",IF(O152&gt;=2,"Prometedora","Débil / validar en B3-B4")))</x:f>
      </x:c>
      <x:c r="AS152" s="69" t="str">
        <x:f>IF(A152="","",IF(P152="","unknown",IF(P152&gt;=2,"Prometedora","Débil / validar en B2-B4")))</x:f>
      </x:c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 t="str">
        <x:f>IF(A153="","",COUNTBLANK(M153:P153))</x:f>
      </x:c>
      <x:c r="Z153" s="69" t="str">
        <x:f>IF(A153="","",IF(OR(E153="",G153="No",H153="No",I153="Responsabilidad genérica",I153="Demasiado amplia",I153="Microtarea",J153="Duplicado evidente"),"BLOQUEADA",IF(OR(I153="Ambigua",L153&lt;1,K153&lt;1),"REVISIÓN","ELEGIBLE")))</x:f>
      </x:c>
      <x:c r="AA153" s="69" t="str">
        <x:f>IF(A153="","",IF(Z153="BLOQUEADA",0,ROUND(100*(IF(M153="",1.5,M153)+IF(N153="",1.5,N153)+IF(O153="",1.5,O153)+IF(P153="",1.5,P153))/12,1)))</x:f>
      </x:c>
      <x:c r="AB153" s="69" t="str">
        <x:f>IF(A153="","",IF(Z153="BLOQUEADA",0,ROUND(100*IF(Q153="",1.5,Q153)/3,1)))</x:f>
      </x:c>
      <x:c r="AC153" s="69" t="str">
        <x:f>IF(A153="","",IF(Z153="BLOQUEADA",0,ROUND(100*IF(R153="",1.5,R153)/3,1)))</x:f>
      </x:c>
      <x:c r="AD153" s="69" t="str">
        <x:f>IF(A153="","",IF(Z153="BLOQUEADA",0,ROUND(100*IF(S153="",1.5,S153)/3,1)))</x:f>
      </x:c>
      <x:c r="AE153" s="69" t="str">
        <x:f>IF(A153="","",IF(Z153="BLOQUEADA",0,ROUND(100*IF(T153="",1.5,T153)/3,1)))</x:f>
      </x:c>
      <x:c r="AF153" s="69" t="str">
        <x:f>IF(A153="","",IF(Z153="BLOQUEADA",0,ROUND(100*IF(U153="",1.5,U153)/3,1)))</x:f>
      </x:c>
      <x:c r="AG153" s="69" t="str">
        <x:f>IF(A153="","",ROUND(IF(Z153="BLOQUEADA",100,(X153*10)+(V153*8)+(W153*8)),1))</x:f>
      </x:c>
      <x:c r="AH153" s="69" t="str">
        <x:f>IF(A153="","",IF(Z153="BLOQUEADA",0,MAX(0,ROUND(0.30*AA153+0.20*AB153+0.15*AC153+0.15*AD153+0.10*AE153+0.10*AF153-AG153,1))))</x:f>
      </x:c>
      <x:c r="AI153" s="69" t="str">
        <x:f>IF(A153="","",IF(Z153="ELEGIBLE",RANK.EQ(AH153,$AH$2:$AH$201,0),""))</x:f>
      </x:c>
      <x:c r="AJ153" s="69" t="str">
        <x:f>IF(A153="","",IF(Z153="BLOQUEADA","No aplica",IF(Z153="REVISIÓN","Slot 8 posible: exploratorio",IF(AI153&lt;=5,"Slot 1-5: alto potencial",IF(R153&gt;=2.5,"Slot 6: handoff/dependencia",IF(S153&gt;=2.5,"Slot 7: transformación/objeto",IF(AND(K153&gt;=1,U153&gt;=2),"Slot 8 posible: exploratorio","Backlog/contexto")))))))</x:f>
      </x:c>
      <x:c r="AK153" s="69" t="str">
        <x:f>IF(A153="","",IF(Z153="BLOQUEADA","No seleccionable",IF(Z153="REVISIÓN","Revisión para slot exploratorio",IF(AI153&lt;=8,"Primaria propuesta","Contexto no primario"))))</x:f>
      </x:c>
      <x:c r="AL153" s="69" t="str">
        <x:f>IF(A153="","",IF(OR(Z153="REVISIÓN",Y153&gt;=3,V153&gt;=2),"Sí","No"))</x:f>
      </x:c>
      <x:c r="AM153" s="69" t="str">
        <x:f>IF(A153="","",IF(AK153="Primaria propuesta","Primaria propuesta",IF(AK153="Revisión para slot exploratorio","Revisión / posible primaria exploratoria",IF(AK153="No seleccionable","No seleccionable","Contexto no primario"))))</x:f>
      </x:c>
      <x:c r="AN153" s="69" t="str">
        <x:f>IF(A153="","",IF(AM153="Primaria propuesta",IF(AH153&gt;=75,"40+20 probable",IF(AH153&gt;=55,"40 base + causales selectivas","40 base + probes mínimos")),IF(AM153="Revisión / posible primaria exploratoria","B0/B0.5 reconstrucción antes de Runtime","No abre Runtime profundo")))</x:f>
      </x:c>
      <x:c r="AO153" s="69" t="str">
        <x:f>IF(A153="","",IF(Z153="BLOQUEADA","No probe",IF(AH153&gt;=75,"Alta",IF(AH153&gt;=55,"Media",IF(Z153="REVISIÓN","Exploratoria","Baja")))))</x:f>
      </x:c>
      <x:c r="AP153" s="69" t="str">
        <x:f>IF(A153="","",IF(M153="","unknown",IF(M153&gt;=2,"Prometedora","Débil / validar en B0.5-B1")))</x:f>
      </x:c>
      <x:c r="AQ153" s="69" t="str">
        <x:f>IF(A153="","",IF(N153="","unknown",IF(N153&gt;=2,"Prometedora","Débil / validar en B2")))</x:f>
      </x:c>
      <x:c r="AR153" s="69" t="str">
        <x:f>IF(A153="","",IF(O153="","unknown",IF(O153&gt;=2,"Prometedora","Débil / validar en B3-B4")))</x:f>
      </x:c>
      <x:c r="AS153" s="69" t="str">
        <x:f>IF(A153="","",IF(P153="","unknown",IF(P153&gt;=2,"Prometedora","Débil / validar en B2-B4")))</x:f>
      </x:c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 t="str">
        <x:f>IF(A154="","",COUNTBLANK(M154:P154))</x:f>
      </x:c>
      <x:c r="Z154" s="69" t="str">
        <x:f>IF(A154="","",IF(OR(E154="",G154="No",H154="No",I154="Responsabilidad genérica",I154="Demasiado amplia",I154="Microtarea",J154="Duplicado evidente"),"BLOQUEADA",IF(OR(I154="Ambigua",L154&lt;1,K154&lt;1),"REVISIÓN","ELEGIBLE")))</x:f>
      </x:c>
      <x:c r="AA154" s="69" t="str">
        <x:f>IF(A154="","",IF(Z154="BLOQUEADA",0,ROUND(100*(IF(M154="",1.5,M154)+IF(N154="",1.5,N154)+IF(O154="",1.5,O154)+IF(P154="",1.5,P154))/12,1)))</x:f>
      </x:c>
      <x:c r="AB154" s="69" t="str">
        <x:f>IF(A154="","",IF(Z154="BLOQUEADA",0,ROUND(100*IF(Q154="",1.5,Q154)/3,1)))</x:f>
      </x:c>
      <x:c r="AC154" s="69" t="str">
        <x:f>IF(A154="","",IF(Z154="BLOQUEADA",0,ROUND(100*IF(R154="",1.5,R154)/3,1)))</x:f>
      </x:c>
      <x:c r="AD154" s="69" t="str">
        <x:f>IF(A154="","",IF(Z154="BLOQUEADA",0,ROUND(100*IF(S154="",1.5,S154)/3,1)))</x:f>
      </x:c>
      <x:c r="AE154" s="69" t="str">
        <x:f>IF(A154="","",IF(Z154="BLOQUEADA",0,ROUND(100*IF(T154="",1.5,T154)/3,1)))</x:f>
      </x:c>
      <x:c r="AF154" s="69" t="str">
        <x:f>IF(A154="","",IF(Z154="BLOQUEADA",0,ROUND(100*IF(U154="",1.5,U154)/3,1)))</x:f>
      </x:c>
      <x:c r="AG154" s="69" t="str">
        <x:f>IF(A154="","",ROUND(IF(Z154="BLOQUEADA",100,(X154*10)+(V154*8)+(W154*8)),1))</x:f>
      </x:c>
      <x:c r="AH154" s="69" t="str">
        <x:f>IF(A154="","",IF(Z154="BLOQUEADA",0,MAX(0,ROUND(0.30*AA154+0.20*AB154+0.15*AC154+0.15*AD154+0.10*AE154+0.10*AF154-AG154,1))))</x:f>
      </x:c>
      <x:c r="AI154" s="69" t="str">
        <x:f>IF(A154="","",IF(Z154="ELEGIBLE",RANK.EQ(AH154,$AH$2:$AH$201,0),""))</x:f>
      </x:c>
      <x:c r="AJ154" s="69" t="str">
        <x:f>IF(A154="","",IF(Z154="BLOQUEADA","No aplica",IF(Z154="REVISIÓN","Slot 8 posible: exploratorio",IF(AI154&lt;=5,"Slot 1-5: alto potencial",IF(R154&gt;=2.5,"Slot 6: handoff/dependencia",IF(S154&gt;=2.5,"Slot 7: transformación/objeto",IF(AND(K154&gt;=1,U154&gt;=2),"Slot 8 posible: exploratorio","Backlog/contexto")))))))</x:f>
      </x:c>
      <x:c r="AK154" s="69" t="str">
        <x:f>IF(A154="","",IF(Z154="BLOQUEADA","No seleccionable",IF(Z154="REVISIÓN","Revisión para slot exploratorio",IF(AI154&lt;=8,"Primaria propuesta","Contexto no primario"))))</x:f>
      </x:c>
      <x:c r="AL154" s="69" t="str">
        <x:f>IF(A154="","",IF(OR(Z154="REVISIÓN",Y154&gt;=3,V154&gt;=2),"Sí","No"))</x:f>
      </x:c>
      <x:c r="AM154" s="69" t="str">
        <x:f>IF(A154="","",IF(AK154="Primaria propuesta","Primaria propuesta",IF(AK154="Revisión para slot exploratorio","Revisión / posible primaria exploratoria",IF(AK154="No seleccionable","No seleccionable","Contexto no primario"))))</x:f>
      </x:c>
      <x:c r="AN154" s="69" t="str">
        <x:f>IF(A154="","",IF(AM154="Primaria propuesta",IF(AH154&gt;=75,"40+20 probable",IF(AH154&gt;=55,"40 base + causales selectivas","40 base + probes mínimos")),IF(AM154="Revisión / posible primaria exploratoria","B0/B0.5 reconstrucción antes de Runtime","No abre Runtime profundo")))</x:f>
      </x:c>
      <x:c r="AO154" s="69" t="str">
        <x:f>IF(A154="","",IF(Z154="BLOQUEADA","No probe",IF(AH154&gt;=75,"Alta",IF(AH154&gt;=55,"Media",IF(Z154="REVISIÓN","Exploratoria","Baja")))))</x:f>
      </x:c>
      <x:c r="AP154" s="69" t="str">
        <x:f>IF(A154="","",IF(M154="","unknown",IF(M154&gt;=2,"Prometedora","Débil / validar en B0.5-B1")))</x:f>
      </x:c>
      <x:c r="AQ154" s="69" t="str">
        <x:f>IF(A154="","",IF(N154="","unknown",IF(N154&gt;=2,"Prometedora","Débil / validar en B2")))</x:f>
      </x:c>
      <x:c r="AR154" s="69" t="str">
        <x:f>IF(A154="","",IF(O154="","unknown",IF(O154&gt;=2,"Prometedora","Débil / validar en B3-B4")))</x:f>
      </x:c>
      <x:c r="AS154" s="69" t="str">
        <x:f>IF(A154="","",IF(P154="","unknown",IF(P154&gt;=2,"Prometedora","Débil / validar en B2-B4")))</x:f>
      </x:c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 t="str">
        <x:f>IF(A155="","",COUNTBLANK(M155:P155))</x:f>
      </x:c>
      <x:c r="Z155" s="69" t="str">
        <x:f>IF(A155="","",IF(OR(E155="",G155="No",H155="No",I155="Responsabilidad genérica",I155="Demasiado amplia",I155="Microtarea",J155="Duplicado evidente"),"BLOQUEADA",IF(OR(I155="Ambigua",L155&lt;1,K155&lt;1),"REVISIÓN","ELEGIBLE")))</x:f>
      </x:c>
      <x:c r="AA155" s="69" t="str">
        <x:f>IF(A155="","",IF(Z155="BLOQUEADA",0,ROUND(100*(IF(M155="",1.5,M155)+IF(N155="",1.5,N155)+IF(O155="",1.5,O155)+IF(P155="",1.5,P155))/12,1)))</x:f>
      </x:c>
      <x:c r="AB155" s="69" t="str">
        <x:f>IF(A155="","",IF(Z155="BLOQUEADA",0,ROUND(100*IF(Q155="",1.5,Q155)/3,1)))</x:f>
      </x:c>
      <x:c r="AC155" s="69" t="str">
        <x:f>IF(A155="","",IF(Z155="BLOQUEADA",0,ROUND(100*IF(R155="",1.5,R155)/3,1)))</x:f>
      </x:c>
      <x:c r="AD155" s="69" t="str">
        <x:f>IF(A155="","",IF(Z155="BLOQUEADA",0,ROUND(100*IF(S155="",1.5,S155)/3,1)))</x:f>
      </x:c>
      <x:c r="AE155" s="69" t="str">
        <x:f>IF(A155="","",IF(Z155="BLOQUEADA",0,ROUND(100*IF(T155="",1.5,T155)/3,1)))</x:f>
      </x:c>
      <x:c r="AF155" s="69" t="str">
        <x:f>IF(A155="","",IF(Z155="BLOQUEADA",0,ROUND(100*IF(U155="",1.5,U155)/3,1)))</x:f>
      </x:c>
      <x:c r="AG155" s="69" t="str">
        <x:f>IF(A155="","",ROUND(IF(Z155="BLOQUEADA",100,(X155*10)+(V155*8)+(W155*8)),1))</x:f>
      </x:c>
      <x:c r="AH155" s="69" t="str">
        <x:f>IF(A155="","",IF(Z155="BLOQUEADA",0,MAX(0,ROUND(0.30*AA155+0.20*AB155+0.15*AC155+0.15*AD155+0.10*AE155+0.10*AF155-AG155,1))))</x:f>
      </x:c>
      <x:c r="AI155" s="69" t="str">
        <x:f>IF(A155="","",IF(Z155="ELEGIBLE",RANK.EQ(AH155,$AH$2:$AH$201,0),""))</x:f>
      </x:c>
      <x:c r="AJ155" s="69" t="str">
        <x:f>IF(A155="","",IF(Z155="BLOQUEADA","No aplica",IF(Z155="REVISIÓN","Slot 8 posible: exploratorio",IF(AI155&lt;=5,"Slot 1-5: alto potencial",IF(R155&gt;=2.5,"Slot 6: handoff/dependencia",IF(S155&gt;=2.5,"Slot 7: transformación/objeto",IF(AND(K155&gt;=1,U155&gt;=2),"Slot 8 posible: exploratorio","Backlog/contexto")))))))</x:f>
      </x:c>
      <x:c r="AK155" s="69" t="str">
        <x:f>IF(A155="","",IF(Z155="BLOQUEADA","No seleccionable",IF(Z155="REVISIÓN","Revisión para slot exploratorio",IF(AI155&lt;=8,"Primaria propuesta","Contexto no primario"))))</x:f>
      </x:c>
      <x:c r="AL155" s="69" t="str">
        <x:f>IF(A155="","",IF(OR(Z155="REVISIÓN",Y155&gt;=3,V155&gt;=2),"Sí","No"))</x:f>
      </x:c>
      <x:c r="AM155" s="69" t="str">
        <x:f>IF(A155="","",IF(AK155="Primaria propuesta","Primaria propuesta",IF(AK155="Revisión para slot exploratorio","Revisión / posible primaria exploratoria",IF(AK155="No seleccionable","No seleccionable","Contexto no primario"))))</x:f>
      </x:c>
      <x:c r="AN155" s="69" t="str">
        <x:f>IF(A155="","",IF(AM155="Primaria propuesta",IF(AH155&gt;=75,"40+20 probable",IF(AH155&gt;=55,"40 base + causales selectivas","40 base + probes mínimos")),IF(AM155="Revisión / posible primaria exploratoria","B0/B0.5 reconstrucción antes de Runtime","No abre Runtime profundo")))</x:f>
      </x:c>
      <x:c r="AO155" s="69" t="str">
        <x:f>IF(A155="","",IF(Z155="BLOQUEADA","No probe",IF(AH155&gt;=75,"Alta",IF(AH155&gt;=55,"Media",IF(Z155="REVISIÓN","Exploratoria","Baja")))))</x:f>
      </x:c>
      <x:c r="AP155" s="69" t="str">
        <x:f>IF(A155="","",IF(M155="","unknown",IF(M155&gt;=2,"Prometedora","Débil / validar en B0.5-B1")))</x:f>
      </x:c>
      <x:c r="AQ155" s="69" t="str">
        <x:f>IF(A155="","",IF(N155="","unknown",IF(N155&gt;=2,"Prometedora","Débil / validar en B2")))</x:f>
      </x:c>
      <x:c r="AR155" s="69" t="str">
        <x:f>IF(A155="","",IF(O155="","unknown",IF(O155&gt;=2,"Prometedora","Débil / validar en B3-B4")))</x:f>
      </x:c>
      <x:c r="AS155" s="69" t="str">
        <x:f>IF(A155="","",IF(P155="","unknown",IF(P155&gt;=2,"Prometedora","Débil / validar en B2-B4")))</x:f>
      </x:c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 t="str">
        <x:f>IF(A156="","",COUNTBLANK(M156:P156))</x:f>
      </x:c>
      <x:c r="Z156" s="69" t="str">
        <x:f>IF(A156="","",IF(OR(E156="",G156="No",H156="No",I156="Responsabilidad genérica",I156="Demasiado amplia",I156="Microtarea",J156="Duplicado evidente"),"BLOQUEADA",IF(OR(I156="Ambigua",L156&lt;1,K156&lt;1),"REVISIÓN","ELEGIBLE")))</x:f>
      </x:c>
      <x:c r="AA156" s="69" t="str">
        <x:f>IF(A156="","",IF(Z156="BLOQUEADA",0,ROUND(100*(IF(M156="",1.5,M156)+IF(N156="",1.5,N156)+IF(O156="",1.5,O156)+IF(P156="",1.5,P156))/12,1)))</x:f>
      </x:c>
      <x:c r="AB156" s="69" t="str">
        <x:f>IF(A156="","",IF(Z156="BLOQUEADA",0,ROUND(100*IF(Q156="",1.5,Q156)/3,1)))</x:f>
      </x:c>
      <x:c r="AC156" s="69" t="str">
        <x:f>IF(A156="","",IF(Z156="BLOQUEADA",0,ROUND(100*IF(R156="",1.5,R156)/3,1)))</x:f>
      </x:c>
      <x:c r="AD156" s="69" t="str">
        <x:f>IF(A156="","",IF(Z156="BLOQUEADA",0,ROUND(100*IF(S156="",1.5,S156)/3,1)))</x:f>
      </x:c>
      <x:c r="AE156" s="69" t="str">
        <x:f>IF(A156="","",IF(Z156="BLOQUEADA",0,ROUND(100*IF(T156="",1.5,T156)/3,1)))</x:f>
      </x:c>
      <x:c r="AF156" s="69" t="str">
        <x:f>IF(A156="","",IF(Z156="BLOQUEADA",0,ROUND(100*IF(U156="",1.5,U156)/3,1)))</x:f>
      </x:c>
      <x:c r="AG156" s="69" t="str">
        <x:f>IF(A156="","",ROUND(IF(Z156="BLOQUEADA",100,(X156*10)+(V156*8)+(W156*8)),1))</x:f>
      </x:c>
      <x:c r="AH156" s="69" t="str">
        <x:f>IF(A156="","",IF(Z156="BLOQUEADA",0,MAX(0,ROUND(0.30*AA156+0.20*AB156+0.15*AC156+0.15*AD156+0.10*AE156+0.10*AF156-AG156,1))))</x:f>
      </x:c>
      <x:c r="AI156" s="69" t="str">
        <x:f>IF(A156="","",IF(Z156="ELEGIBLE",RANK.EQ(AH156,$AH$2:$AH$201,0),""))</x:f>
      </x:c>
      <x:c r="AJ156" s="69" t="str">
        <x:f>IF(A156="","",IF(Z156="BLOQUEADA","No aplica",IF(Z156="REVISIÓN","Slot 8 posible: exploratorio",IF(AI156&lt;=5,"Slot 1-5: alto potencial",IF(R156&gt;=2.5,"Slot 6: handoff/dependencia",IF(S156&gt;=2.5,"Slot 7: transformación/objeto",IF(AND(K156&gt;=1,U156&gt;=2),"Slot 8 posible: exploratorio","Backlog/contexto")))))))</x:f>
      </x:c>
      <x:c r="AK156" s="69" t="str">
        <x:f>IF(A156="","",IF(Z156="BLOQUEADA","No seleccionable",IF(Z156="REVISIÓN","Revisión para slot exploratorio",IF(AI156&lt;=8,"Primaria propuesta","Contexto no primario"))))</x:f>
      </x:c>
      <x:c r="AL156" s="69" t="str">
        <x:f>IF(A156="","",IF(OR(Z156="REVISIÓN",Y156&gt;=3,V156&gt;=2),"Sí","No"))</x:f>
      </x:c>
      <x:c r="AM156" s="69" t="str">
        <x:f>IF(A156="","",IF(AK156="Primaria propuesta","Primaria propuesta",IF(AK156="Revisión para slot exploratorio","Revisión / posible primaria exploratoria",IF(AK156="No seleccionable","No seleccionable","Contexto no primario"))))</x:f>
      </x:c>
      <x:c r="AN156" s="69" t="str">
        <x:f>IF(A156="","",IF(AM156="Primaria propuesta",IF(AH156&gt;=75,"40+20 probable",IF(AH156&gt;=55,"40 base + causales selectivas","40 base + probes mínimos")),IF(AM156="Revisión / posible primaria exploratoria","B0/B0.5 reconstrucción antes de Runtime","No abre Runtime profundo")))</x:f>
      </x:c>
      <x:c r="AO156" s="69" t="str">
        <x:f>IF(A156="","",IF(Z156="BLOQUEADA","No probe",IF(AH156&gt;=75,"Alta",IF(AH156&gt;=55,"Media",IF(Z156="REVISIÓN","Exploratoria","Baja")))))</x:f>
      </x:c>
      <x:c r="AP156" s="69" t="str">
        <x:f>IF(A156="","",IF(M156="","unknown",IF(M156&gt;=2,"Prometedora","Débil / validar en B0.5-B1")))</x:f>
      </x:c>
      <x:c r="AQ156" s="69" t="str">
        <x:f>IF(A156="","",IF(N156="","unknown",IF(N156&gt;=2,"Prometedora","Débil / validar en B2")))</x:f>
      </x:c>
      <x:c r="AR156" s="69" t="str">
        <x:f>IF(A156="","",IF(O156="","unknown",IF(O156&gt;=2,"Prometedora","Débil / validar en B3-B4")))</x:f>
      </x:c>
      <x:c r="AS156" s="69" t="str">
        <x:f>IF(A156="","",IF(P156="","unknown",IF(P156&gt;=2,"Prometedora","Débil / validar en B2-B4")))</x:f>
      </x:c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 t="str">
        <x:f>IF(A157="","",COUNTBLANK(M157:P157))</x:f>
      </x:c>
      <x:c r="Z157" s="69" t="str">
        <x:f>IF(A157="","",IF(OR(E157="",G157="No",H157="No",I157="Responsabilidad genérica",I157="Demasiado amplia",I157="Microtarea",J157="Duplicado evidente"),"BLOQUEADA",IF(OR(I157="Ambigua",L157&lt;1,K157&lt;1),"REVISIÓN","ELEGIBLE")))</x:f>
      </x:c>
      <x:c r="AA157" s="69" t="str">
        <x:f>IF(A157="","",IF(Z157="BLOQUEADA",0,ROUND(100*(IF(M157="",1.5,M157)+IF(N157="",1.5,N157)+IF(O157="",1.5,O157)+IF(P157="",1.5,P157))/12,1)))</x:f>
      </x:c>
      <x:c r="AB157" s="69" t="str">
        <x:f>IF(A157="","",IF(Z157="BLOQUEADA",0,ROUND(100*IF(Q157="",1.5,Q157)/3,1)))</x:f>
      </x:c>
      <x:c r="AC157" s="69" t="str">
        <x:f>IF(A157="","",IF(Z157="BLOQUEADA",0,ROUND(100*IF(R157="",1.5,R157)/3,1)))</x:f>
      </x:c>
      <x:c r="AD157" s="69" t="str">
        <x:f>IF(A157="","",IF(Z157="BLOQUEADA",0,ROUND(100*IF(S157="",1.5,S157)/3,1)))</x:f>
      </x:c>
      <x:c r="AE157" s="69" t="str">
        <x:f>IF(A157="","",IF(Z157="BLOQUEADA",0,ROUND(100*IF(T157="",1.5,T157)/3,1)))</x:f>
      </x:c>
      <x:c r="AF157" s="69" t="str">
        <x:f>IF(A157="","",IF(Z157="BLOQUEADA",0,ROUND(100*IF(U157="",1.5,U157)/3,1)))</x:f>
      </x:c>
      <x:c r="AG157" s="69" t="str">
        <x:f>IF(A157="","",ROUND(IF(Z157="BLOQUEADA",100,(X157*10)+(V157*8)+(W157*8)),1))</x:f>
      </x:c>
      <x:c r="AH157" s="69" t="str">
        <x:f>IF(A157="","",IF(Z157="BLOQUEADA",0,MAX(0,ROUND(0.30*AA157+0.20*AB157+0.15*AC157+0.15*AD157+0.10*AE157+0.10*AF157-AG157,1))))</x:f>
      </x:c>
      <x:c r="AI157" s="69" t="str">
        <x:f>IF(A157="","",IF(Z157="ELEGIBLE",RANK.EQ(AH157,$AH$2:$AH$201,0),""))</x:f>
      </x:c>
      <x:c r="AJ157" s="69" t="str">
        <x:f>IF(A157="","",IF(Z157="BLOQUEADA","No aplica",IF(Z157="REVISIÓN","Slot 8 posible: exploratorio",IF(AI157&lt;=5,"Slot 1-5: alto potencial",IF(R157&gt;=2.5,"Slot 6: handoff/dependencia",IF(S157&gt;=2.5,"Slot 7: transformación/objeto",IF(AND(K157&gt;=1,U157&gt;=2),"Slot 8 posible: exploratorio","Backlog/contexto")))))))</x:f>
      </x:c>
      <x:c r="AK157" s="69" t="str">
        <x:f>IF(A157="","",IF(Z157="BLOQUEADA","No seleccionable",IF(Z157="REVISIÓN","Revisión para slot exploratorio",IF(AI157&lt;=8,"Primaria propuesta","Contexto no primario"))))</x:f>
      </x:c>
      <x:c r="AL157" s="69" t="str">
        <x:f>IF(A157="","",IF(OR(Z157="REVISIÓN",Y157&gt;=3,V157&gt;=2),"Sí","No"))</x:f>
      </x:c>
      <x:c r="AM157" s="69" t="str">
        <x:f>IF(A157="","",IF(AK157="Primaria propuesta","Primaria propuesta",IF(AK157="Revisión para slot exploratorio","Revisión / posible primaria exploratoria",IF(AK157="No seleccionable","No seleccionable","Contexto no primario"))))</x:f>
      </x:c>
      <x:c r="AN157" s="69" t="str">
        <x:f>IF(A157="","",IF(AM157="Primaria propuesta",IF(AH157&gt;=75,"40+20 probable",IF(AH157&gt;=55,"40 base + causales selectivas","40 base + probes mínimos")),IF(AM157="Revisión / posible primaria exploratoria","B0/B0.5 reconstrucción antes de Runtime","No abre Runtime profundo")))</x:f>
      </x:c>
      <x:c r="AO157" s="69" t="str">
        <x:f>IF(A157="","",IF(Z157="BLOQUEADA","No probe",IF(AH157&gt;=75,"Alta",IF(AH157&gt;=55,"Media",IF(Z157="REVISIÓN","Exploratoria","Baja")))))</x:f>
      </x:c>
      <x:c r="AP157" s="69" t="str">
        <x:f>IF(A157="","",IF(M157="","unknown",IF(M157&gt;=2,"Prometedora","Débil / validar en B0.5-B1")))</x:f>
      </x:c>
      <x:c r="AQ157" s="69" t="str">
        <x:f>IF(A157="","",IF(N157="","unknown",IF(N157&gt;=2,"Prometedora","Débil / validar en B2")))</x:f>
      </x:c>
      <x:c r="AR157" s="69" t="str">
        <x:f>IF(A157="","",IF(O157="","unknown",IF(O157&gt;=2,"Prometedora","Débil / validar en B3-B4")))</x:f>
      </x:c>
      <x:c r="AS157" s="69" t="str">
        <x:f>IF(A157="","",IF(P157="","unknown",IF(P157&gt;=2,"Prometedora","Débil / validar en B2-B4")))</x:f>
      </x:c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 t="str">
        <x:f>IF(A158="","",COUNTBLANK(M158:P158))</x:f>
      </x:c>
      <x:c r="Z158" s="69" t="str">
        <x:f>IF(A158="","",IF(OR(E158="",G158="No",H158="No",I158="Responsabilidad genérica",I158="Demasiado amplia",I158="Microtarea",J158="Duplicado evidente"),"BLOQUEADA",IF(OR(I158="Ambigua",L158&lt;1,K158&lt;1),"REVISIÓN","ELEGIBLE")))</x:f>
      </x:c>
      <x:c r="AA158" s="69" t="str">
        <x:f>IF(A158="","",IF(Z158="BLOQUEADA",0,ROUND(100*(IF(M158="",1.5,M158)+IF(N158="",1.5,N158)+IF(O158="",1.5,O158)+IF(P158="",1.5,P158))/12,1)))</x:f>
      </x:c>
      <x:c r="AB158" s="69" t="str">
        <x:f>IF(A158="","",IF(Z158="BLOQUEADA",0,ROUND(100*IF(Q158="",1.5,Q158)/3,1)))</x:f>
      </x:c>
      <x:c r="AC158" s="69" t="str">
        <x:f>IF(A158="","",IF(Z158="BLOQUEADA",0,ROUND(100*IF(R158="",1.5,R158)/3,1)))</x:f>
      </x:c>
      <x:c r="AD158" s="69" t="str">
        <x:f>IF(A158="","",IF(Z158="BLOQUEADA",0,ROUND(100*IF(S158="",1.5,S158)/3,1)))</x:f>
      </x:c>
      <x:c r="AE158" s="69" t="str">
        <x:f>IF(A158="","",IF(Z158="BLOQUEADA",0,ROUND(100*IF(T158="",1.5,T158)/3,1)))</x:f>
      </x:c>
      <x:c r="AF158" s="69" t="str">
        <x:f>IF(A158="","",IF(Z158="BLOQUEADA",0,ROUND(100*IF(U158="",1.5,U158)/3,1)))</x:f>
      </x:c>
      <x:c r="AG158" s="69" t="str">
        <x:f>IF(A158="","",ROUND(IF(Z158="BLOQUEADA",100,(X158*10)+(V158*8)+(W158*8)),1))</x:f>
      </x:c>
      <x:c r="AH158" s="69" t="str">
        <x:f>IF(A158="","",IF(Z158="BLOQUEADA",0,MAX(0,ROUND(0.30*AA158+0.20*AB158+0.15*AC158+0.15*AD158+0.10*AE158+0.10*AF158-AG158,1))))</x:f>
      </x:c>
      <x:c r="AI158" s="69" t="str">
        <x:f>IF(A158="","",IF(Z158="ELEGIBLE",RANK.EQ(AH158,$AH$2:$AH$201,0),""))</x:f>
      </x:c>
      <x:c r="AJ158" s="69" t="str">
        <x:f>IF(A158="","",IF(Z158="BLOQUEADA","No aplica",IF(Z158="REVISIÓN","Slot 8 posible: exploratorio",IF(AI158&lt;=5,"Slot 1-5: alto potencial",IF(R158&gt;=2.5,"Slot 6: handoff/dependencia",IF(S158&gt;=2.5,"Slot 7: transformación/objeto",IF(AND(K158&gt;=1,U158&gt;=2),"Slot 8 posible: exploratorio","Backlog/contexto")))))))</x:f>
      </x:c>
      <x:c r="AK158" s="69" t="str">
        <x:f>IF(A158="","",IF(Z158="BLOQUEADA","No seleccionable",IF(Z158="REVISIÓN","Revisión para slot exploratorio",IF(AI158&lt;=8,"Primaria propuesta","Contexto no primario"))))</x:f>
      </x:c>
      <x:c r="AL158" s="69" t="str">
        <x:f>IF(A158="","",IF(OR(Z158="REVISIÓN",Y158&gt;=3,V158&gt;=2),"Sí","No"))</x:f>
      </x:c>
      <x:c r="AM158" s="69" t="str">
        <x:f>IF(A158="","",IF(AK158="Primaria propuesta","Primaria propuesta",IF(AK158="Revisión para slot exploratorio","Revisión / posible primaria exploratoria",IF(AK158="No seleccionable","No seleccionable","Contexto no primario"))))</x:f>
      </x:c>
      <x:c r="AN158" s="69" t="str">
        <x:f>IF(A158="","",IF(AM158="Primaria propuesta",IF(AH158&gt;=75,"40+20 probable",IF(AH158&gt;=55,"40 base + causales selectivas","40 base + probes mínimos")),IF(AM158="Revisión / posible primaria exploratoria","B0/B0.5 reconstrucción antes de Runtime","No abre Runtime profundo")))</x:f>
      </x:c>
      <x:c r="AO158" s="69" t="str">
        <x:f>IF(A158="","",IF(Z158="BLOQUEADA","No probe",IF(AH158&gt;=75,"Alta",IF(AH158&gt;=55,"Media",IF(Z158="REVISIÓN","Exploratoria","Baja")))))</x:f>
      </x:c>
      <x:c r="AP158" s="69" t="str">
        <x:f>IF(A158="","",IF(M158="","unknown",IF(M158&gt;=2,"Prometedora","Débil / validar en B0.5-B1")))</x:f>
      </x:c>
      <x:c r="AQ158" s="69" t="str">
        <x:f>IF(A158="","",IF(N158="","unknown",IF(N158&gt;=2,"Prometedora","Débil / validar en B2")))</x:f>
      </x:c>
      <x:c r="AR158" s="69" t="str">
        <x:f>IF(A158="","",IF(O158="","unknown",IF(O158&gt;=2,"Prometedora","Débil / validar en B3-B4")))</x:f>
      </x:c>
      <x:c r="AS158" s="69" t="str">
        <x:f>IF(A158="","",IF(P158="","unknown",IF(P158&gt;=2,"Prometedora","Débil / validar en B2-B4")))</x:f>
      </x:c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 t="str">
        <x:f>IF(A159="","",COUNTBLANK(M159:P159))</x:f>
      </x:c>
      <x:c r="Z159" s="69" t="str">
        <x:f>IF(A159="","",IF(OR(E159="",G159="No",H159="No",I159="Responsabilidad genérica",I159="Demasiado amplia",I159="Microtarea",J159="Duplicado evidente"),"BLOQUEADA",IF(OR(I159="Ambigua",L159&lt;1,K159&lt;1),"REVISIÓN","ELEGIBLE")))</x:f>
      </x:c>
      <x:c r="AA159" s="69" t="str">
        <x:f>IF(A159="","",IF(Z159="BLOQUEADA",0,ROUND(100*(IF(M159="",1.5,M159)+IF(N159="",1.5,N159)+IF(O159="",1.5,O159)+IF(P159="",1.5,P159))/12,1)))</x:f>
      </x:c>
      <x:c r="AB159" s="69" t="str">
        <x:f>IF(A159="","",IF(Z159="BLOQUEADA",0,ROUND(100*IF(Q159="",1.5,Q159)/3,1)))</x:f>
      </x:c>
      <x:c r="AC159" s="69" t="str">
        <x:f>IF(A159="","",IF(Z159="BLOQUEADA",0,ROUND(100*IF(R159="",1.5,R159)/3,1)))</x:f>
      </x:c>
      <x:c r="AD159" s="69" t="str">
        <x:f>IF(A159="","",IF(Z159="BLOQUEADA",0,ROUND(100*IF(S159="",1.5,S159)/3,1)))</x:f>
      </x:c>
      <x:c r="AE159" s="69" t="str">
        <x:f>IF(A159="","",IF(Z159="BLOQUEADA",0,ROUND(100*IF(T159="",1.5,T159)/3,1)))</x:f>
      </x:c>
      <x:c r="AF159" s="69" t="str">
        <x:f>IF(A159="","",IF(Z159="BLOQUEADA",0,ROUND(100*IF(U159="",1.5,U159)/3,1)))</x:f>
      </x:c>
      <x:c r="AG159" s="69" t="str">
        <x:f>IF(A159="","",ROUND(IF(Z159="BLOQUEADA",100,(X159*10)+(V159*8)+(W159*8)),1))</x:f>
      </x:c>
      <x:c r="AH159" s="69" t="str">
        <x:f>IF(A159="","",IF(Z159="BLOQUEADA",0,MAX(0,ROUND(0.30*AA159+0.20*AB159+0.15*AC159+0.15*AD159+0.10*AE159+0.10*AF159-AG159,1))))</x:f>
      </x:c>
      <x:c r="AI159" s="69" t="str">
        <x:f>IF(A159="","",IF(Z159="ELEGIBLE",RANK.EQ(AH159,$AH$2:$AH$201,0),""))</x:f>
      </x:c>
      <x:c r="AJ159" s="69" t="str">
        <x:f>IF(A159="","",IF(Z159="BLOQUEADA","No aplica",IF(Z159="REVISIÓN","Slot 8 posible: exploratorio",IF(AI159&lt;=5,"Slot 1-5: alto potencial",IF(R159&gt;=2.5,"Slot 6: handoff/dependencia",IF(S159&gt;=2.5,"Slot 7: transformación/objeto",IF(AND(K159&gt;=1,U159&gt;=2),"Slot 8 posible: exploratorio","Backlog/contexto")))))))</x:f>
      </x:c>
      <x:c r="AK159" s="69" t="str">
        <x:f>IF(A159="","",IF(Z159="BLOQUEADA","No seleccionable",IF(Z159="REVISIÓN","Revisión para slot exploratorio",IF(AI159&lt;=8,"Primaria propuesta","Contexto no primario"))))</x:f>
      </x:c>
      <x:c r="AL159" s="69" t="str">
        <x:f>IF(A159="","",IF(OR(Z159="REVISIÓN",Y159&gt;=3,V159&gt;=2),"Sí","No"))</x:f>
      </x:c>
      <x:c r="AM159" s="69" t="str">
        <x:f>IF(A159="","",IF(AK159="Primaria propuesta","Primaria propuesta",IF(AK159="Revisión para slot exploratorio","Revisión / posible primaria exploratoria",IF(AK159="No seleccionable","No seleccionable","Contexto no primario"))))</x:f>
      </x:c>
      <x:c r="AN159" s="69" t="str">
        <x:f>IF(A159="","",IF(AM159="Primaria propuesta",IF(AH159&gt;=75,"40+20 probable",IF(AH159&gt;=55,"40 base + causales selectivas","40 base + probes mínimos")),IF(AM159="Revisión / posible primaria exploratoria","B0/B0.5 reconstrucción antes de Runtime","No abre Runtime profundo")))</x:f>
      </x:c>
      <x:c r="AO159" s="69" t="str">
        <x:f>IF(A159="","",IF(Z159="BLOQUEADA","No probe",IF(AH159&gt;=75,"Alta",IF(AH159&gt;=55,"Media",IF(Z159="REVISIÓN","Exploratoria","Baja")))))</x:f>
      </x:c>
      <x:c r="AP159" s="69" t="str">
        <x:f>IF(A159="","",IF(M159="","unknown",IF(M159&gt;=2,"Prometedora","Débil / validar en B0.5-B1")))</x:f>
      </x:c>
      <x:c r="AQ159" s="69" t="str">
        <x:f>IF(A159="","",IF(N159="","unknown",IF(N159&gt;=2,"Prometedora","Débil / validar en B2")))</x:f>
      </x:c>
      <x:c r="AR159" s="69" t="str">
        <x:f>IF(A159="","",IF(O159="","unknown",IF(O159&gt;=2,"Prometedora","Débil / validar en B3-B4")))</x:f>
      </x:c>
      <x:c r="AS159" s="69" t="str">
        <x:f>IF(A159="","",IF(P159="","unknown",IF(P159&gt;=2,"Prometedora","Débil / validar en B2-B4")))</x:f>
      </x:c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 t="str">
        <x:f>IF(A160="","",COUNTBLANK(M160:P160))</x:f>
      </x:c>
      <x:c r="Z160" s="69" t="str">
        <x:f>IF(A160="","",IF(OR(E160="",G160="No",H160="No",I160="Responsabilidad genérica",I160="Demasiado amplia",I160="Microtarea",J160="Duplicado evidente"),"BLOQUEADA",IF(OR(I160="Ambigua",L160&lt;1,K160&lt;1),"REVISIÓN","ELEGIBLE")))</x:f>
      </x:c>
      <x:c r="AA160" s="69" t="str">
        <x:f>IF(A160="","",IF(Z160="BLOQUEADA",0,ROUND(100*(IF(M160="",1.5,M160)+IF(N160="",1.5,N160)+IF(O160="",1.5,O160)+IF(P160="",1.5,P160))/12,1)))</x:f>
      </x:c>
      <x:c r="AB160" s="69" t="str">
        <x:f>IF(A160="","",IF(Z160="BLOQUEADA",0,ROUND(100*IF(Q160="",1.5,Q160)/3,1)))</x:f>
      </x:c>
      <x:c r="AC160" s="69" t="str">
        <x:f>IF(A160="","",IF(Z160="BLOQUEADA",0,ROUND(100*IF(R160="",1.5,R160)/3,1)))</x:f>
      </x:c>
      <x:c r="AD160" s="69" t="str">
        <x:f>IF(A160="","",IF(Z160="BLOQUEADA",0,ROUND(100*IF(S160="",1.5,S160)/3,1)))</x:f>
      </x:c>
      <x:c r="AE160" s="69" t="str">
        <x:f>IF(A160="","",IF(Z160="BLOQUEADA",0,ROUND(100*IF(T160="",1.5,T160)/3,1)))</x:f>
      </x:c>
      <x:c r="AF160" s="69" t="str">
        <x:f>IF(A160="","",IF(Z160="BLOQUEADA",0,ROUND(100*IF(U160="",1.5,U160)/3,1)))</x:f>
      </x:c>
      <x:c r="AG160" s="69" t="str">
        <x:f>IF(A160="","",ROUND(IF(Z160="BLOQUEADA",100,(X160*10)+(V160*8)+(W160*8)),1))</x:f>
      </x:c>
      <x:c r="AH160" s="69" t="str">
        <x:f>IF(A160="","",IF(Z160="BLOQUEADA",0,MAX(0,ROUND(0.30*AA160+0.20*AB160+0.15*AC160+0.15*AD160+0.10*AE160+0.10*AF160-AG160,1))))</x:f>
      </x:c>
      <x:c r="AI160" s="69" t="str">
        <x:f>IF(A160="","",IF(Z160="ELEGIBLE",RANK.EQ(AH160,$AH$2:$AH$201,0),""))</x:f>
      </x:c>
      <x:c r="AJ160" s="69" t="str">
        <x:f>IF(A160="","",IF(Z160="BLOQUEADA","No aplica",IF(Z160="REVISIÓN","Slot 8 posible: exploratorio",IF(AI160&lt;=5,"Slot 1-5: alto potencial",IF(R160&gt;=2.5,"Slot 6: handoff/dependencia",IF(S160&gt;=2.5,"Slot 7: transformación/objeto",IF(AND(K160&gt;=1,U160&gt;=2),"Slot 8 posible: exploratorio","Backlog/contexto")))))))</x:f>
      </x:c>
      <x:c r="AK160" s="69" t="str">
        <x:f>IF(A160="","",IF(Z160="BLOQUEADA","No seleccionable",IF(Z160="REVISIÓN","Revisión para slot exploratorio",IF(AI160&lt;=8,"Primaria propuesta","Contexto no primario"))))</x:f>
      </x:c>
      <x:c r="AL160" s="69" t="str">
        <x:f>IF(A160="","",IF(OR(Z160="REVISIÓN",Y160&gt;=3,V160&gt;=2),"Sí","No"))</x:f>
      </x:c>
      <x:c r="AM160" s="69" t="str">
        <x:f>IF(A160="","",IF(AK160="Primaria propuesta","Primaria propuesta",IF(AK160="Revisión para slot exploratorio","Revisión / posible primaria exploratoria",IF(AK160="No seleccionable","No seleccionable","Contexto no primario"))))</x:f>
      </x:c>
      <x:c r="AN160" s="69" t="str">
        <x:f>IF(A160="","",IF(AM160="Primaria propuesta",IF(AH160&gt;=75,"40+20 probable",IF(AH160&gt;=55,"40 base + causales selectivas","40 base + probes mínimos")),IF(AM160="Revisión / posible primaria exploratoria","B0/B0.5 reconstrucción antes de Runtime","No abre Runtime profundo")))</x:f>
      </x:c>
      <x:c r="AO160" s="69" t="str">
        <x:f>IF(A160="","",IF(Z160="BLOQUEADA","No probe",IF(AH160&gt;=75,"Alta",IF(AH160&gt;=55,"Media",IF(Z160="REVISIÓN","Exploratoria","Baja")))))</x:f>
      </x:c>
      <x:c r="AP160" s="69" t="str">
        <x:f>IF(A160="","",IF(M160="","unknown",IF(M160&gt;=2,"Prometedora","Débil / validar en B0.5-B1")))</x:f>
      </x:c>
      <x:c r="AQ160" s="69" t="str">
        <x:f>IF(A160="","",IF(N160="","unknown",IF(N160&gt;=2,"Prometedora","Débil / validar en B2")))</x:f>
      </x:c>
      <x:c r="AR160" s="69" t="str">
        <x:f>IF(A160="","",IF(O160="","unknown",IF(O160&gt;=2,"Prometedora","Débil / validar en B3-B4")))</x:f>
      </x:c>
      <x:c r="AS160" s="69" t="str">
        <x:f>IF(A160="","",IF(P160="","unknown",IF(P160&gt;=2,"Prometedora","Débil / validar en B2-B4")))</x:f>
      </x:c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 t="str">
        <x:f>IF(A161="","",COUNTBLANK(M161:P161))</x:f>
      </x:c>
      <x:c r="Z161" s="69" t="str">
        <x:f>IF(A161="","",IF(OR(E161="",G161="No",H161="No",I161="Responsabilidad genérica",I161="Demasiado amplia",I161="Microtarea",J161="Duplicado evidente"),"BLOQUEADA",IF(OR(I161="Ambigua",L161&lt;1,K161&lt;1),"REVISIÓN","ELEGIBLE")))</x:f>
      </x:c>
      <x:c r="AA161" s="69" t="str">
        <x:f>IF(A161="","",IF(Z161="BLOQUEADA",0,ROUND(100*(IF(M161="",1.5,M161)+IF(N161="",1.5,N161)+IF(O161="",1.5,O161)+IF(P161="",1.5,P161))/12,1)))</x:f>
      </x:c>
      <x:c r="AB161" s="69" t="str">
        <x:f>IF(A161="","",IF(Z161="BLOQUEADA",0,ROUND(100*IF(Q161="",1.5,Q161)/3,1)))</x:f>
      </x:c>
      <x:c r="AC161" s="69" t="str">
        <x:f>IF(A161="","",IF(Z161="BLOQUEADA",0,ROUND(100*IF(R161="",1.5,R161)/3,1)))</x:f>
      </x:c>
      <x:c r="AD161" s="69" t="str">
        <x:f>IF(A161="","",IF(Z161="BLOQUEADA",0,ROUND(100*IF(S161="",1.5,S161)/3,1)))</x:f>
      </x:c>
      <x:c r="AE161" s="69" t="str">
        <x:f>IF(A161="","",IF(Z161="BLOQUEADA",0,ROUND(100*IF(T161="",1.5,T161)/3,1)))</x:f>
      </x:c>
      <x:c r="AF161" s="69" t="str">
        <x:f>IF(A161="","",IF(Z161="BLOQUEADA",0,ROUND(100*IF(U161="",1.5,U161)/3,1)))</x:f>
      </x:c>
      <x:c r="AG161" s="69" t="str">
        <x:f>IF(A161="","",ROUND(IF(Z161="BLOQUEADA",100,(X161*10)+(V161*8)+(W161*8)),1))</x:f>
      </x:c>
      <x:c r="AH161" s="69" t="str">
        <x:f>IF(A161="","",IF(Z161="BLOQUEADA",0,MAX(0,ROUND(0.30*AA161+0.20*AB161+0.15*AC161+0.15*AD161+0.10*AE161+0.10*AF161-AG161,1))))</x:f>
      </x:c>
      <x:c r="AI161" s="69" t="str">
        <x:f>IF(A161="","",IF(Z161="ELEGIBLE",RANK.EQ(AH161,$AH$2:$AH$201,0),""))</x:f>
      </x:c>
      <x:c r="AJ161" s="69" t="str">
        <x:f>IF(A161="","",IF(Z161="BLOQUEADA","No aplica",IF(Z161="REVISIÓN","Slot 8 posible: exploratorio",IF(AI161&lt;=5,"Slot 1-5: alto potencial",IF(R161&gt;=2.5,"Slot 6: handoff/dependencia",IF(S161&gt;=2.5,"Slot 7: transformación/objeto",IF(AND(K161&gt;=1,U161&gt;=2),"Slot 8 posible: exploratorio","Backlog/contexto")))))))</x:f>
      </x:c>
      <x:c r="AK161" s="69" t="str">
        <x:f>IF(A161="","",IF(Z161="BLOQUEADA","No seleccionable",IF(Z161="REVISIÓN","Revisión para slot exploratorio",IF(AI161&lt;=8,"Primaria propuesta","Contexto no primario"))))</x:f>
      </x:c>
      <x:c r="AL161" s="69" t="str">
        <x:f>IF(A161="","",IF(OR(Z161="REVISIÓN",Y161&gt;=3,V161&gt;=2),"Sí","No"))</x:f>
      </x:c>
      <x:c r="AM161" s="69" t="str">
        <x:f>IF(A161="","",IF(AK161="Primaria propuesta","Primaria propuesta",IF(AK161="Revisión para slot exploratorio","Revisión / posible primaria exploratoria",IF(AK161="No seleccionable","No seleccionable","Contexto no primario"))))</x:f>
      </x:c>
      <x:c r="AN161" s="69" t="str">
        <x:f>IF(A161="","",IF(AM161="Primaria propuesta",IF(AH161&gt;=75,"40+20 probable",IF(AH161&gt;=55,"40 base + causales selectivas","40 base + probes mínimos")),IF(AM161="Revisión / posible primaria exploratoria","B0/B0.5 reconstrucción antes de Runtime","No abre Runtime profundo")))</x:f>
      </x:c>
      <x:c r="AO161" s="69" t="str">
        <x:f>IF(A161="","",IF(Z161="BLOQUEADA","No probe",IF(AH161&gt;=75,"Alta",IF(AH161&gt;=55,"Media",IF(Z161="REVISIÓN","Exploratoria","Baja")))))</x:f>
      </x:c>
      <x:c r="AP161" s="69" t="str">
        <x:f>IF(A161="","",IF(M161="","unknown",IF(M161&gt;=2,"Prometedora","Débil / validar en B0.5-B1")))</x:f>
      </x:c>
      <x:c r="AQ161" s="69" t="str">
        <x:f>IF(A161="","",IF(N161="","unknown",IF(N161&gt;=2,"Prometedora","Débil / validar en B2")))</x:f>
      </x:c>
      <x:c r="AR161" s="69" t="str">
        <x:f>IF(A161="","",IF(O161="","unknown",IF(O161&gt;=2,"Prometedora","Débil / validar en B3-B4")))</x:f>
      </x:c>
      <x:c r="AS161" s="69" t="str">
        <x:f>IF(A161="","",IF(P161="","unknown",IF(P161&gt;=2,"Prometedora","Débil / validar en B2-B4")))</x:f>
      </x:c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 t="str">
        <x:f>IF(A162="","",COUNTBLANK(M162:P162))</x:f>
      </x:c>
      <x:c r="Z162" s="69" t="str">
        <x:f>IF(A162="","",IF(OR(E162="",G162="No",H162="No",I162="Responsabilidad genérica",I162="Demasiado amplia",I162="Microtarea",J162="Duplicado evidente"),"BLOQUEADA",IF(OR(I162="Ambigua",L162&lt;1,K162&lt;1),"REVISIÓN","ELEGIBLE")))</x:f>
      </x:c>
      <x:c r="AA162" s="69" t="str">
        <x:f>IF(A162="","",IF(Z162="BLOQUEADA",0,ROUND(100*(IF(M162="",1.5,M162)+IF(N162="",1.5,N162)+IF(O162="",1.5,O162)+IF(P162="",1.5,P162))/12,1)))</x:f>
      </x:c>
      <x:c r="AB162" s="69" t="str">
        <x:f>IF(A162="","",IF(Z162="BLOQUEADA",0,ROUND(100*IF(Q162="",1.5,Q162)/3,1)))</x:f>
      </x:c>
      <x:c r="AC162" s="69" t="str">
        <x:f>IF(A162="","",IF(Z162="BLOQUEADA",0,ROUND(100*IF(R162="",1.5,R162)/3,1)))</x:f>
      </x:c>
      <x:c r="AD162" s="69" t="str">
        <x:f>IF(A162="","",IF(Z162="BLOQUEADA",0,ROUND(100*IF(S162="",1.5,S162)/3,1)))</x:f>
      </x:c>
      <x:c r="AE162" s="69" t="str">
        <x:f>IF(A162="","",IF(Z162="BLOQUEADA",0,ROUND(100*IF(T162="",1.5,T162)/3,1)))</x:f>
      </x:c>
      <x:c r="AF162" s="69" t="str">
        <x:f>IF(A162="","",IF(Z162="BLOQUEADA",0,ROUND(100*IF(U162="",1.5,U162)/3,1)))</x:f>
      </x:c>
      <x:c r="AG162" s="69" t="str">
        <x:f>IF(A162="","",ROUND(IF(Z162="BLOQUEADA",100,(X162*10)+(V162*8)+(W162*8)),1))</x:f>
      </x:c>
      <x:c r="AH162" s="69" t="str">
        <x:f>IF(A162="","",IF(Z162="BLOQUEADA",0,MAX(0,ROUND(0.30*AA162+0.20*AB162+0.15*AC162+0.15*AD162+0.10*AE162+0.10*AF162-AG162,1))))</x:f>
      </x:c>
      <x:c r="AI162" s="69" t="str">
        <x:f>IF(A162="","",IF(Z162="ELEGIBLE",RANK.EQ(AH162,$AH$2:$AH$201,0),""))</x:f>
      </x:c>
      <x:c r="AJ162" s="69" t="str">
        <x:f>IF(A162="","",IF(Z162="BLOQUEADA","No aplica",IF(Z162="REVISIÓN","Slot 8 posible: exploratorio",IF(AI162&lt;=5,"Slot 1-5: alto potencial",IF(R162&gt;=2.5,"Slot 6: handoff/dependencia",IF(S162&gt;=2.5,"Slot 7: transformación/objeto",IF(AND(K162&gt;=1,U162&gt;=2),"Slot 8 posible: exploratorio","Backlog/contexto")))))))</x:f>
      </x:c>
      <x:c r="AK162" s="69" t="str">
        <x:f>IF(A162="","",IF(Z162="BLOQUEADA","No seleccionable",IF(Z162="REVISIÓN","Revisión para slot exploratorio",IF(AI162&lt;=8,"Primaria propuesta","Contexto no primario"))))</x:f>
      </x:c>
      <x:c r="AL162" s="69" t="str">
        <x:f>IF(A162="","",IF(OR(Z162="REVISIÓN",Y162&gt;=3,V162&gt;=2),"Sí","No"))</x:f>
      </x:c>
      <x:c r="AM162" s="69" t="str">
        <x:f>IF(A162="","",IF(AK162="Primaria propuesta","Primaria propuesta",IF(AK162="Revisión para slot exploratorio","Revisión / posible primaria exploratoria",IF(AK162="No seleccionable","No seleccionable","Contexto no primario"))))</x:f>
      </x:c>
      <x:c r="AN162" s="69" t="str">
        <x:f>IF(A162="","",IF(AM162="Primaria propuesta",IF(AH162&gt;=75,"40+20 probable",IF(AH162&gt;=55,"40 base + causales selectivas","40 base + probes mínimos")),IF(AM162="Revisión / posible primaria exploratoria","B0/B0.5 reconstrucción antes de Runtime","No abre Runtime profundo")))</x:f>
      </x:c>
      <x:c r="AO162" s="69" t="str">
        <x:f>IF(A162="","",IF(Z162="BLOQUEADA","No probe",IF(AH162&gt;=75,"Alta",IF(AH162&gt;=55,"Media",IF(Z162="REVISIÓN","Exploratoria","Baja")))))</x:f>
      </x:c>
      <x:c r="AP162" s="69" t="str">
        <x:f>IF(A162="","",IF(M162="","unknown",IF(M162&gt;=2,"Prometedora","Débil / validar en B0.5-B1")))</x:f>
      </x:c>
      <x:c r="AQ162" s="69" t="str">
        <x:f>IF(A162="","",IF(N162="","unknown",IF(N162&gt;=2,"Prometedora","Débil / validar en B2")))</x:f>
      </x:c>
      <x:c r="AR162" s="69" t="str">
        <x:f>IF(A162="","",IF(O162="","unknown",IF(O162&gt;=2,"Prometedora","Débil / validar en B3-B4")))</x:f>
      </x:c>
      <x:c r="AS162" s="69" t="str">
        <x:f>IF(A162="","",IF(P162="","unknown",IF(P162&gt;=2,"Prometedora","Débil / validar en B2-B4")))</x:f>
      </x:c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 t="str">
        <x:f>IF(A163="","",COUNTBLANK(M163:P163))</x:f>
      </x:c>
      <x:c r="Z163" s="69" t="str">
        <x:f>IF(A163="","",IF(OR(E163="",G163="No",H163="No",I163="Responsabilidad genérica",I163="Demasiado amplia",I163="Microtarea",J163="Duplicado evidente"),"BLOQUEADA",IF(OR(I163="Ambigua",L163&lt;1,K163&lt;1),"REVISIÓN","ELEGIBLE")))</x:f>
      </x:c>
      <x:c r="AA163" s="69" t="str">
        <x:f>IF(A163="","",IF(Z163="BLOQUEADA",0,ROUND(100*(IF(M163="",1.5,M163)+IF(N163="",1.5,N163)+IF(O163="",1.5,O163)+IF(P163="",1.5,P163))/12,1)))</x:f>
      </x:c>
      <x:c r="AB163" s="69" t="str">
        <x:f>IF(A163="","",IF(Z163="BLOQUEADA",0,ROUND(100*IF(Q163="",1.5,Q163)/3,1)))</x:f>
      </x:c>
      <x:c r="AC163" s="69" t="str">
        <x:f>IF(A163="","",IF(Z163="BLOQUEADA",0,ROUND(100*IF(R163="",1.5,R163)/3,1)))</x:f>
      </x:c>
      <x:c r="AD163" s="69" t="str">
        <x:f>IF(A163="","",IF(Z163="BLOQUEADA",0,ROUND(100*IF(S163="",1.5,S163)/3,1)))</x:f>
      </x:c>
      <x:c r="AE163" s="69" t="str">
        <x:f>IF(A163="","",IF(Z163="BLOQUEADA",0,ROUND(100*IF(T163="",1.5,T163)/3,1)))</x:f>
      </x:c>
      <x:c r="AF163" s="69" t="str">
        <x:f>IF(A163="","",IF(Z163="BLOQUEADA",0,ROUND(100*IF(U163="",1.5,U163)/3,1)))</x:f>
      </x:c>
      <x:c r="AG163" s="69" t="str">
        <x:f>IF(A163="","",ROUND(IF(Z163="BLOQUEADA",100,(X163*10)+(V163*8)+(W163*8)),1))</x:f>
      </x:c>
      <x:c r="AH163" s="69" t="str">
        <x:f>IF(A163="","",IF(Z163="BLOQUEADA",0,MAX(0,ROUND(0.30*AA163+0.20*AB163+0.15*AC163+0.15*AD163+0.10*AE163+0.10*AF163-AG163,1))))</x:f>
      </x:c>
      <x:c r="AI163" s="69" t="str">
        <x:f>IF(A163="","",IF(Z163="ELEGIBLE",RANK.EQ(AH163,$AH$2:$AH$201,0),""))</x:f>
      </x:c>
      <x:c r="AJ163" s="69" t="str">
        <x:f>IF(A163="","",IF(Z163="BLOQUEADA","No aplica",IF(Z163="REVISIÓN","Slot 8 posible: exploratorio",IF(AI163&lt;=5,"Slot 1-5: alto potencial",IF(R163&gt;=2.5,"Slot 6: handoff/dependencia",IF(S163&gt;=2.5,"Slot 7: transformación/objeto",IF(AND(K163&gt;=1,U163&gt;=2),"Slot 8 posible: exploratorio","Backlog/contexto")))))))</x:f>
      </x:c>
      <x:c r="AK163" s="69" t="str">
        <x:f>IF(A163="","",IF(Z163="BLOQUEADA","No seleccionable",IF(Z163="REVISIÓN","Revisión para slot exploratorio",IF(AI163&lt;=8,"Primaria propuesta","Contexto no primario"))))</x:f>
      </x:c>
      <x:c r="AL163" s="69" t="str">
        <x:f>IF(A163="","",IF(OR(Z163="REVISIÓN",Y163&gt;=3,V163&gt;=2),"Sí","No"))</x:f>
      </x:c>
      <x:c r="AM163" s="69" t="str">
        <x:f>IF(A163="","",IF(AK163="Primaria propuesta","Primaria propuesta",IF(AK163="Revisión para slot exploratorio","Revisión / posible primaria exploratoria",IF(AK163="No seleccionable","No seleccionable","Contexto no primario"))))</x:f>
      </x:c>
      <x:c r="AN163" s="69" t="str">
        <x:f>IF(A163="","",IF(AM163="Primaria propuesta",IF(AH163&gt;=75,"40+20 probable",IF(AH163&gt;=55,"40 base + causales selectivas","40 base + probes mínimos")),IF(AM163="Revisión / posible primaria exploratoria","B0/B0.5 reconstrucción antes de Runtime","No abre Runtime profundo")))</x:f>
      </x:c>
      <x:c r="AO163" s="69" t="str">
        <x:f>IF(A163="","",IF(Z163="BLOQUEADA","No probe",IF(AH163&gt;=75,"Alta",IF(AH163&gt;=55,"Media",IF(Z163="REVISIÓN","Exploratoria","Baja")))))</x:f>
      </x:c>
      <x:c r="AP163" s="69" t="str">
        <x:f>IF(A163="","",IF(M163="","unknown",IF(M163&gt;=2,"Prometedora","Débil / validar en B0.5-B1")))</x:f>
      </x:c>
      <x:c r="AQ163" s="69" t="str">
        <x:f>IF(A163="","",IF(N163="","unknown",IF(N163&gt;=2,"Prometedora","Débil / validar en B2")))</x:f>
      </x:c>
      <x:c r="AR163" s="69" t="str">
        <x:f>IF(A163="","",IF(O163="","unknown",IF(O163&gt;=2,"Prometedora","Débil / validar en B3-B4")))</x:f>
      </x:c>
      <x:c r="AS163" s="69" t="str">
        <x:f>IF(A163="","",IF(P163="","unknown",IF(P163&gt;=2,"Prometedora","Débil / validar en B2-B4")))</x:f>
      </x:c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 t="str">
        <x:f>IF(A164="","",COUNTBLANK(M164:P164))</x:f>
      </x:c>
      <x:c r="Z164" s="69" t="str">
        <x:f>IF(A164="","",IF(OR(E164="",G164="No",H164="No",I164="Responsabilidad genérica",I164="Demasiado amplia",I164="Microtarea",J164="Duplicado evidente"),"BLOQUEADA",IF(OR(I164="Ambigua",L164&lt;1,K164&lt;1),"REVISIÓN","ELEGIBLE")))</x:f>
      </x:c>
      <x:c r="AA164" s="69" t="str">
        <x:f>IF(A164="","",IF(Z164="BLOQUEADA",0,ROUND(100*(IF(M164="",1.5,M164)+IF(N164="",1.5,N164)+IF(O164="",1.5,O164)+IF(P164="",1.5,P164))/12,1)))</x:f>
      </x:c>
      <x:c r="AB164" s="69" t="str">
        <x:f>IF(A164="","",IF(Z164="BLOQUEADA",0,ROUND(100*IF(Q164="",1.5,Q164)/3,1)))</x:f>
      </x:c>
      <x:c r="AC164" s="69" t="str">
        <x:f>IF(A164="","",IF(Z164="BLOQUEADA",0,ROUND(100*IF(R164="",1.5,R164)/3,1)))</x:f>
      </x:c>
      <x:c r="AD164" s="69" t="str">
        <x:f>IF(A164="","",IF(Z164="BLOQUEADA",0,ROUND(100*IF(S164="",1.5,S164)/3,1)))</x:f>
      </x:c>
      <x:c r="AE164" s="69" t="str">
        <x:f>IF(A164="","",IF(Z164="BLOQUEADA",0,ROUND(100*IF(T164="",1.5,T164)/3,1)))</x:f>
      </x:c>
      <x:c r="AF164" s="69" t="str">
        <x:f>IF(A164="","",IF(Z164="BLOQUEADA",0,ROUND(100*IF(U164="",1.5,U164)/3,1)))</x:f>
      </x:c>
      <x:c r="AG164" s="69" t="str">
        <x:f>IF(A164="","",ROUND(IF(Z164="BLOQUEADA",100,(X164*10)+(V164*8)+(W164*8)),1))</x:f>
      </x:c>
      <x:c r="AH164" s="69" t="str">
        <x:f>IF(A164="","",IF(Z164="BLOQUEADA",0,MAX(0,ROUND(0.30*AA164+0.20*AB164+0.15*AC164+0.15*AD164+0.10*AE164+0.10*AF164-AG164,1))))</x:f>
      </x:c>
      <x:c r="AI164" s="69" t="str">
        <x:f>IF(A164="","",IF(Z164="ELEGIBLE",RANK.EQ(AH164,$AH$2:$AH$201,0),""))</x:f>
      </x:c>
      <x:c r="AJ164" s="69" t="str">
        <x:f>IF(A164="","",IF(Z164="BLOQUEADA","No aplica",IF(Z164="REVISIÓN","Slot 8 posible: exploratorio",IF(AI164&lt;=5,"Slot 1-5: alto potencial",IF(R164&gt;=2.5,"Slot 6: handoff/dependencia",IF(S164&gt;=2.5,"Slot 7: transformación/objeto",IF(AND(K164&gt;=1,U164&gt;=2),"Slot 8 posible: exploratorio","Backlog/contexto")))))))</x:f>
      </x:c>
      <x:c r="AK164" s="69" t="str">
        <x:f>IF(A164="","",IF(Z164="BLOQUEADA","No seleccionable",IF(Z164="REVISIÓN","Revisión para slot exploratorio",IF(AI164&lt;=8,"Primaria propuesta","Contexto no primario"))))</x:f>
      </x:c>
      <x:c r="AL164" s="69" t="str">
        <x:f>IF(A164="","",IF(OR(Z164="REVISIÓN",Y164&gt;=3,V164&gt;=2),"Sí","No"))</x:f>
      </x:c>
      <x:c r="AM164" s="69" t="str">
        <x:f>IF(A164="","",IF(AK164="Primaria propuesta","Primaria propuesta",IF(AK164="Revisión para slot exploratorio","Revisión / posible primaria exploratoria",IF(AK164="No seleccionable","No seleccionable","Contexto no primario"))))</x:f>
      </x:c>
      <x:c r="AN164" s="69" t="str">
        <x:f>IF(A164="","",IF(AM164="Primaria propuesta",IF(AH164&gt;=75,"40+20 probable",IF(AH164&gt;=55,"40 base + causales selectivas","40 base + probes mínimos")),IF(AM164="Revisión / posible primaria exploratoria","B0/B0.5 reconstrucción antes de Runtime","No abre Runtime profundo")))</x:f>
      </x:c>
      <x:c r="AO164" s="69" t="str">
        <x:f>IF(A164="","",IF(Z164="BLOQUEADA","No probe",IF(AH164&gt;=75,"Alta",IF(AH164&gt;=55,"Media",IF(Z164="REVISIÓN","Exploratoria","Baja")))))</x:f>
      </x:c>
      <x:c r="AP164" s="69" t="str">
        <x:f>IF(A164="","",IF(M164="","unknown",IF(M164&gt;=2,"Prometedora","Débil / validar en B0.5-B1")))</x:f>
      </x:c>
      <x:c r="AQ164" s="69" t="str">
        <x:f>IF(A164="","",IF(N164="","unknown",IF(N164&gt;=2,"Prometedora","Débil / validar en B2")))</x:f>
      </x:c>
      <x:c r="AR164" s="69" t="str">
        <x:f>IF(A164="","",IF(O164="","unknown",IF(O164&gt;=2,"Prometedora","Débil / validar en B3-B4")))</x:f>
      </x:c>
      <x:c r="AS164" s="69" t="str">
        <x:f>IF(A164="","",IF(P164="","unknown",IF(P164&gt;=2,"Prometedora","Débil / validar en B2-B4")))</x:f>
      </x:c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 t="str">
        <x:f>IF(A165="","",COUNTBLANK(M165:P165))</x:f>
      </x:c>
      <x:c r="Z165" s="69" t="str">
        <x:f>IF(A165="","",IF(OR(E165="",G165="No",H165="No",I165="Responsabilidad genérica",I165="Demasiado amplia",I165="Microtarea",J165="Duplicado evidente"),"BLOQUEADA",IF(OR(I165="Ambigua",L165&lt;1,K165&lt;1),"REVISIÓN","ELEGIBLE")))</x:f>
      </x:c>
      <x:c r="AA165" s="69" t="str">
        <x:f>IF(A165="","",IF(Z165="BLOQUEADA",0,ROUND(100*(IF(M165="",1.5,M165)+IF(N165="",1.5,N165)+IF(O165="",1.5,O165)+IF(P165="",1.5,P165))/12,1)))</x:f>
      </x:c>
      <x:c r="AB165" s="69" t="str">
        <x:f>IF(A165="","",IF(Z165="BLOQUEADA",0,ROUND(100*IF(Q165="",1.5,Q165)/3,1)))</x:f>
      </x:c>
      <x:c r="AC165" s="69" t="str">
        <x:f>IF(A165="","",IF(Z165="BLOQUEADA",0,ROUND(100*IF(R165="",1.5,R165)/3,1)))</x:f>
      </x:c>
      <x:c r="AD165" s="69" t="str">
        <x:f>IF(A165="","",IF(Z165="BLOQUEADA",0,ROUND(100*IF(S165="",1.5,S165)/3,1)))</x:f>
      </x:c>
      <x:c r="AE165" s="69" t="str">
        <x:f>IF(A165="","",IF(Z165="BLOQUEADA",0,ROUND(100*IF(T165="",1.5,T165)/3,1)))</x:f>
      </x:c>
      <x:c r="AF165" s="69" t="str">
        <x:f>IF(A165="","",IF(Z165="BLOQUEADA",0,ROUND(100*IF(U165="",1.5,U165)/3,1)))</x:f>
      </x:c>
      <x:c r="AG165" s="69" t="str">
        <x:f>IF(A165="","",ROUND(IF(Z165="BLOQUEADA",100,(X165*10)+(V165*8)+(W165*8)),1))</x:f>
      </x:c>
      <x:c r="AH165" s="69" t="str">
        <x:f>IF(A165="","",IF(Z165="BLOQUEADA",0,MAX(0,ROUND(0.30*AA165+0.20*AB165+0.15*AC165+0.15*AD165+0.10*AE165+0.10*AF165-AG165,1))))</x:f>
      </x:c>
      <x:c r="AI165" s="69" t="str">
        <x:f>IF(A165="","",IF(Z165="ELEGIBLE",RANK.EQ(AH165,$AH$2:$AH$201,0),""))</x:f>
      </x:c>
      <x:c r="AJ165" s="69" t="str">
        <x:f>IF(A165="","",IF(Z165="BLOQUEADA","No aplica",IF(Z165="REVISIÓN","Slot 8 posible: exploratorio",IF(AI165&lt;=5,"Slot 1-5: alto potencial",IF(R165&gt;=2.5,"Slot 6: handoff/dependencia",IF(S165&gt;=2.5,"Slot 7: transformación/objeto",IF(AND(K165&gt;=1,U165&gt;=2),"Slot 8 posible: exploratorio","Backlog/contexto")))))))</x:f>
      </x:c>
      <x:c r="AK165" s="69" t="str">
        <x:f>IF(A165="","",IF(Z165="BLOQUEADA","No seleccionable",IF(Z165="REVISIÓN","Revisión para slot exploratorio",IF(AI165&lt;=8,"Primaria propuesta","Contexto no primario"))))</x:f>
      </x:c>
      <x:c r="AL165" s="69" t="str">
        <x:f>IF(A165="","",IF(OR(Z165="REVISIÓN",Y165&gt;=3,V165&gt;=2),"Sí","No"))</x:f>
      </x:c>
      <x:c r="AM165" s="69" t="str">
        <x:f>IF(A165="","",IF(AK165="Primaria propuesta","Primaria propuesta",IF(AK165="Revisión para slot exploratorio","Revisión / posible primaria exploratoria",IF(AK165="No seleccionable","No seleccionable","Contexto no primario"))))</x:f>
      </x:c>
      <x:c r="AN165" s="69" t="str">
        <x:f>IF(A165="","",IF(AM165="Primaria propuesta",IF(AH165&gt;=75,"40+20 probable",IF(AH165&gt;=55,"40 base + causales selectivas","40 base + probes mínimos")),IF(AM165="Revisión / posible primaria exploratoria","B0/B0.5 reconstrucción antes de Runtime","No abre Runtime profundo")))</x:f>
      </x:c>
      <x:c r="AO165" s="69" t="str">
        <x:f>IF(A165="","",IF(Z165="BLOQUEADA","No probe",IF(AH165&gt;=75,"Alta",IF(AH165&gt;=55,"Media",IF(Z165="REVISIÓN","Exploratoria","Baja")))))</x:f>
      </x:c>
      <x:c r="AP165" s="69" t="str">
        <x:f>IF(A165="","",IF(M165="","unknown",IF(M165&gt;=2,"Prometedora","Débil / validar en B0.5-B1")))</x:f>
      </x:c>
      <x:c r="AQ165" s="69" t="str">
        <x:f>IF(A165="","",IF(N165="","unknown",IF(N165&gt;=2,"Prometedora","Débil / validar en B2")))</x:f>
      </x:c>
      <x:c r="AR165" s="69" t="str">
        <x:f>IF(A165="","",IF(O165="","unknown",IF(O165&gt;=2,"Prometedora","Débil / validar en B3-B4")))</x:f>
      </x:c>
      <x:c r="AS165" s="69" t="str">
        <x:f>IF(A165="","",IF(P165="","unknown",IF(P165&gt;=2,"Prometedora","Débil / validar en B2-B4")))</x:f>
      </x:c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 t="str">
        <x:f>IF(A166="","",COUNTBLANK(M166:P166))</x:f>
      </x:c>
      <x:c r="Z166" s="69" t="str">
        <x:f>IF(A166="","",IF(OR(E166="",G166="No",H166="No",I166="Responsabilidad genérica",I166="Demasiado amplia",I166="Microtarea",J166="Duplicado evidente"),"BLOQUEADA",IF(OR(I166="Ambigua",L166&lt;1,K166&lt;1),"REVISIÓN","ELEGIBLE")))</x:f>
      </x:c>
      <x:c r="AA166" s="69" t="str">
        <x:f>IF(A166="","",IF(Z166="BLOQUEADA",0,ROUND(100*(IF(M166="",1.5,M166)+IF(N166="",1.5,N166)+IF(O166="",1.5,O166)+IF(P166="",1.5,P166))/12,1)))</x:f>
      </x:c>
      <x:c r="AB166" s="69" t="str">
        <x:f>IF(A166="","",IF(Z166="BLOQUEADA",0,ROUND(100*IF(Q166="",1.5,Q166)/3,1)))</x:f>
      </x:c>
      <x:c r="AC166" s="69" t="str">
        <x:f>IF(A166="","",IF(Z166="BLOQUEADA",0,ROUND(100*IF(R166="",1.5,R166)/3,1)))</x:f>
      </x:c>
      <x:c r="AD166" s="69" t="str">
        <x:f>IF(A166="","",IF(Z166="BLOQUEADA",0,ROUND(100*IF(S166="",1.5,S166)/3,1)))</x:f>
      </x:c>
      <x:c r="AE166" s="69" t="str">
        <x:f>IF(A166="","",IF(Z166="BLOQUEADA",0,ROUND(100*IF(T166="",1.5,T166)/3,1)))</x:f>
      </x:c>
      <x:c r="AF166" s="69" t="str">
        <x:f>IF(A166="","",IF(Z166="BLOQUEADA",0,ROUND(100*IF(U166="",1.5,U166)/3,1)))</x:f>
      </x:c>
      <x:c r="AG166" s="69" t="str">
        <x:f>IF(A166="","",ROUND(IF(Z166="BLOQUEADA",100,(X166*10)+(V166*8)+(W166*8)),1))</x:f>
      </x:c>
      <x:c r="AH166" s="69" t="str">
        <x:f>IF(A166="","",IF(Z166="BLOQUEADA",0,MAX(0,ROUND(0.30*AA166+0.20*AB166+0.15*AC166+0.15*AD166+0.10*AE166+0.10*AF166-AG166,1))))</x:f>
      </x:c>
      <x:c r="AI166" s="69" t="str">
        <x:f>IF(A166="","",IF(Z166="ELEGIBLE",RANK.EQ(AH166,$AH$2:$AH$201,0),""))</x:f>
      </x:c>
      <x:c r="AJ166" s="69" t="str">
        <x:f>IF(A166="","",IF(Z166="BLOQUEADA","No aplica",IF(Z166="REVISIÓN","Slot 8 posible: exploratorio",IF(AI166&lt;=5,"Slot 1-5: alto potencial",IF(R166&gt;=2.5,"Slot 6: handoff/dependencia",IF(S166&gt;=2.5,"Slot 7: transformación/objeto",IF(AND(K166&gt;=1,U166&gt;=2),"Slot 8 posible: exploratorio","Backlog/contexto")))))))</x:f>
      </x:c>
      <x:c r="AK166" s="69" t="str">
        <x:f>IF(A166="","",IF(Z166="BLOQUEADA","No seleccionable",IF(Z166="REVISIÓN","Revisión para slot exploratorio",IF(AI166&lt;=8,"Primaria propuesta","Contexto no primario"))))</x:f>
      </x:c>
      <x:c r="AL166" s="69" t="str">
        <x:f>IF(A166="","",IF(OR(Z166="REVISIÓN",Y166&gt;=3,V166&gt;=2),"Sí","No"))</x:f>
      </x:c>
      <x:c r="AM166" s="69" t="str">
        <x:f>IF(A166="","",IF(AK166="Primaria propuesta","Primaria propuesta",IF(AK166="Revisión para slot exploratorio","Revisión / posible primaria exploratoria",IF(AK166="No seleccionable","No seleccionable","Contexto no primario"))))</x:f>
      </x:c>
      <x:c r="AN166" s="69" t="str">
        <x:f>IF(A166="","",IF(AM166="Primaria propuesta",IF(AH166&gt;=75,"40+20 probable",IF(AH166&gt;=55,"40 base + causales selectivas","40 base + probes mínimos")),IF(AM166="Revisión / posible primaria exploratoria","B0/B0.5 reconstrucción antes de Runtime","No abre Runtime profundo")))</x:f>
      </x:c>
      <x:c r="AO166" s="69" t="str">
        <x:f>IF(A166="","",IF(Z166="BLOQUEADA","No probe",IF(AH166&gt;=75,"Alta",IF(AH166&gt;=55,"Media",IF(Z166="REVISIÓN","Exploratoria","Baja")))))</x:f>
      </x:c>
      <x:c r="AP166" s="69" t="str">
        <x:f>IF(A166="","",IF(M166="","unknown",IF(M166&gt;=2,"Prometedora","Débil / validar en B0.5-B1")))</x:f>
      </x:c>
      <x:c r="AQ166" s="69" t="str">
        <x:f>IF(A166="","",IF(N166="","unknown",IF(N166&gt;=2,"Prometedora","Débil / validar en B2")))</x:f>
      </x:c>
      <x:c r="AR166" s="69" t="str">
        <x:f>IF(A166="","",IF(O166="","unknown",IF(O166&gt;=2,"Prometedora","Débil / validar en B3-B4")))</x:f>
      </x:c>
      <x:c r="AS166" s="69" t="str">
        <x:f>IF(A166="","",IF(P166="","unknown",IF(P166&gt;=2,"Prometedora","Débil / validar en B2-B4")))</x:f>
      </x:c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 t="str">
        <x:f>IF(A167="","",COUNTBLANK(M167:P167))</x:f>
      </x:c>
      <x:c r="Z167" s="69" t="str">
        <x:f>IF(A167="","",IF(OR(E167="",G167="No",H167="No",I167="Responsabilidad genérica",I167="Demasiado amplia",I167="Microtarea",J167="Duplicado evidente"),"BLOQUEADA",IF(OR(I167="Ambigua",L167&lt;1,K167&lt;1),"REVISIÓN","ELEGIBLE")))</x:f>
      </x:c>
      <x:c r="AA167" s="69" t="str">
        <x:f>IF(A167="","",IF(Z167="BLOQUEADA",0,ROUND(100*(IF(M167="",1.5,M167)+IF(N167="",1.5,N167)+IF(O167="",1.5,O167)+IF(P167="",1.5,P167))/12,1)))</x:f>
      </x:c>
      <x:c r="AB167" s="69" t="str">
        <x:f>IF(A167="","",IF(Z167="BLOQUEADA",0,ROUND(100*IF(Q167="",1.5,Q167)/3,1)))</x:f>
      </x:c>
      <x:c r="AC167" s="69" t="str">
        <x:f>IF(A167="","",IF(Z167="BLOQUEADA",0,ROUND(100*IF(R167="",1.5,R167)/3,1)))</x:f>
      </x:c>
      <x:c r="AD167" s="69" t="str">
        <x:f>IF(A167="","",IF(Z167="BLOQUEADA",0,ROUND(100*IF(S167="",1.5,S167)/3,1)))</x:f>
      </x:c>
      <x:c r="AE167" s="69" t="str">
        <x:f>IF(A167="","",IF(Z167="BLOQUEADA",0,ROUND(100*IF(T167="",1.5,T167)/3,1)))</x:f>
      </x:c>
      <x:c r="AF167" s="69" t="str">
        <x:f>IF(A167="","",IF(Z167="BLOQUEADA",0,ROUND(100*IF(U167="",1.5,U167)/3,1)))</x:f>
      </x:c>
      <x:c r="AG167" s="69" t="str">
        <x:f>IF(A167="","",ROUND(IF(Z167="BLOQUEADA",100,(X167*10)+(V167*8)+(W167*8)),1))</x:f>
      </x:c>
      <x:c r="AH167" s="69" t="str">
        <x:f>IF(A167="","",IF(Z167="BLOQUEADA",0,MAX(0,ROUND(0.30*AA167+0.20*AB167+0.15*AC167+0.15*AD167+0.10*AE167+0.10*AF167-AG167,1))))</x:f>
      </x:c>
      <x:c r="AI167" s="69" t="str">
        <x:f>IF(A167="","",IF(Z167="ELEGIBLE",RANK.EQ(AH167,$AH$2:$AH$201,0),""))</x:f>
      </x:c>
      <x:c r="AJ167" s="69" t="str">
        <x:f>IF(A167="","",IF(Z167="BLOQUEADA","No aplica",IF(Z167="REVISIÓN","Slot 8 posible: exploratorio",IF(AI167&lt;=5,"Slot 1-5: alto potencial",IF(R167&gt;=2.5,"Slot 6: handoff/dependencia",IF(S167&gt;=2.5,"Slot 7: transformación/objeto",IF(AND(K167&gt;=1,U167&gt;=2),"Slot 8 posible: exploratorio","Backlog/contexto")))))))</x:f>
      </x:c>
      <x:c r="AK167" s="69" t="str">
        <x:f>IF(A167="","",IF(Z167="BLOQUEADA","No seleccionable",IF(Z167="REVISIÓN","Revisión para slot exploratorio",IF(AI167&lt;=8,"Primaria propuesta","Contexto no primario"))))</x:f>
      </x:c>
      <x:c r="AL167" s="69" t="str">
        <x:f>IF(A167="","",IF(OR(Z167="REVISIÓN",Y167&gt;=3,V167&gt;=2),"Sí","No"))</x:f>
      </x:c>
      <x:c r="AM167" s="69" t="str">
        <x:f>IF(A167="","",IF(AK167="Primaria propuesta","Primaria propuesta",IF(AK167="Revisión para slot exploratorio","Revisión / posible primaria exploratoria",IF(AK167="No seleccionable","No seleccionable","Contexto no primario"))))</x:f>
      </x:c>
      <x:c r="AN167" s="69" t="str">
        <x:f>IF(A167="","",IF(AM167="Primaria propuesta",IF(AH167&gt;=75,"40+20 probable",IF(AH167&gt;=55,"40 base + causales selectivas","40 base + probes mínimos")),IF(AM167="Revisión / posible primaria exploratoria","B0/B0.5 reconstrucción antes de Runtime","No abre Runtime profundo")))</x:f>
      </x:c>
      <x:c r="AO167" s="69" t="str">
        <x:f>IF(A167="","",IF(Z167="BLOQUEADA","No probe",IF(AH167&gt;=75,"Alta",IF(AH167&gt;=55,"Media",IF(Z167="REVISIÓN","Exploratoria","Baja")))))</x:f>
      </x:c>
      <x:c r="AP167" s="69" t="str">
        <x:f>IF(A167="","",IF(M167="","unknown",IF(M167&gt;=2,"Prometedora","Débil / validar en B0.5-B1")))</x:f>
      </x:c>
      <x:c r="AQ167" s="69" t="str">
        <x:f>IF(A167="","",IF(N167="","unknown",IF(N167&gt;=2,"Prometedora","Débil / validar en B2")))</x:f>
      </x:c>
      <x:c r="AR167" s="69" t="str">
        <x:f>IF(A167="","",IF(O167="","unknown",IF(O167&gt;=2,"Prometedora","Débil / validar en B3-B4")))</x:f>
      </x:c>
      <x:c r="AS167" s="69" t="str">
        <x:f>IF(A167="","",IF(P167="","unknown",IF(P167&gt;=2,"Prometedora","Débil / validar en B2-B4")))</x:f>
      </x:c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 t="str">
        <x:f>IF(A168="","",COUNTBLANK(M168:P168))</x:f>
      </x:c>
      <x:c r="Z168" s="69" t="str">
        <x:f>IF(A168="","",IF(OR(E168="",G168="No",H168="No",I168="Responsabilidad genérica",I168="Demasiado amplia",I168="Microtarea",J168="Duplicado evidente"),"BLOQUEADA",IF(OR(I168="Ambigua",L168&lt;1,K168&lt;1),"REVISIÓN","ELEGIBLE")))</x:f>
      </x:c>
      <x:c r="AA168" s="69" t="str">
        <x:f>IF(A168="","",IF(Z168="BLOQUEADA",0,ROUND(100*(IF(M168="",1.5,M168)+IF(N168="",1.5,N168)+IF(O168="",1.5,O168)+IF(P168="",1.5,P168))/12,1)))</x:f>
      </x:c>
      <x:c r="AB168" s="69" t="str">
        <x:f>IF(A168="","",IF(Z168="BLOQUEADA",0,ROUND(100*IF(Q168="",1.5,Q168)/3,1)))</x:f>
      </x:c>
      <x:c r="AC168" s="69" t="str">
        <x:f>IF(A168="","",IF(Z168="BLOQUEADA",0,ROUND(100*IF(R168="",1.5,R168)/3,1)))</x:f>
      </x:c>
      <x:c r="AD168" s="69" t="str">
        <x:f>IF(A168="","",IF(Z168="BLOQUEADA",0,ROUND(100*IF(S168="",1.5,S168)/3,1)))</x:f>
      </x:c>
      <x:c r="AE168" s="69" t="str">
        <x:f>IF(A168="","",IF(Z168="BLOQUEADA",0,ROUND(100*IF(T168="",1.5,T168)/3,1)))</x:f>
      </x:c>
      <x:c r="AF168" s="69" t="str">
        <x:f>IF(A168="","",IF(Z168="BLOQUEADA",0,ROUND(100*IF(U168="",1.5,U168)/3,1)))</x:f>
      </x:c>
      <x:c r="AG168" s="69" t="str">
        <x:f>IF(A168="","",ROUND(IF(Z168="BLOQUEADA",100,(X168*10)+(V168*8)+(W168*8)),1))</x:f>
      </x:c>
      <x:c r="AH168" s="69" t="str">
        <x:f>IF(A168="","",IF(Z168="BLOQUEADA",0,MAX(0,ROUND(0.30*AA168+0.20*AB168+0.15*AC168+0.15*AD168+0.10*AE168+0.10*AF168-AG168,1))))</x:f>
      </x:c>
      <x:c r="AI168" s="69" t="str">
        <x:f>IF(A168="","",IF(Z168="ELEGIBLE",RANK.EQ(AH168,$AH$2:$AH$201,0),""))</x:f>
      </x:c>
      <x:c r="AJ168" s="69" t="str">
        <x:f>IF(A168="","",IF(Z168="BLOQUEADA","No aplica",IF(Z168="REVISIÓN","Slot 8 posible: exploratorio",IF(AI168&lt;=5,"Slot 1-5: alto potencial",IF(R168&gt;=2.5,"Slot 6: handoff/dependencia",IF(S168&gt;=2.5,"Slot 7: transformación/objeto",IF(AND(K168&gt;=1,U168&gt;=2),"Slot 8 posible: exploratorio","Backlog/contexto")))))))</x:f>
      </x:c>
      <x:c r="AK168" s="69" t="str">
        <x:f>IF(A168="","",IF(Z168="BLOQUEADA","No seleccionable",IF(Z168="REVISIÓN","Revisión para slot exploratorio",IF(AI168&lt;=8,"Primaria propuesta","Contexto no primario"))))</x:f>
      </x:c>
      <x:c r="AL168" s="69" t="str">
        <x:f>IF(A168="","",IF(OR(Z168="REVISIÓN",Y168&gt;=3,V168&gt;=2),"Sí","No"))</x:f>
      </x:c>
      <x:c r="AM168" s="69" t="str">
        <x:f>IF(A168="","",IF(AK168="Primaria propuesta","Primaria propuesta",IF(AK168="Revisión para slot exploratorio","Revisión / posible primaria exploratoria",IF(AK168="No seleccionable","No seleccionable","Contexto no primario"))))</x:f>
      </x:c>
      <x:c r="AN168" s="69" t="str">
        <x:f>IF(A168="","",IF(AM168="Primaria propuesta",IF(AH168&gt;=75,"40+20 probable",IF(AH168&gt;=55,"40 base + causales selectivas","40 base + probes mínimos")),IF(AM168="Revisión / posible primaria exploratoria","B0/B0.5 reconstrucción antes de Runtime","No abre Runtime profundo")))</x:f>
      </x:c>
      <x:c r="AO168" s="69" t="str">
        <x:f>IF(A168="","",IF(Z168="BLOQUEADA","No probe",IF(AH168&gt;=75,"Alta",IF(AH168&gt;=55,"Media",IF(Z168="REVISIÓN","Exploratoria","Baja")))))</x:f>
      </x:c>
      <x:c r="AP168" s="69" t="str">
        <x:f>IF(A168="","",IF(M168="","unknown",IF(M168&gt;=2,"Prometedora","Débil / validar en B0.5-B1")))</x:f>
      </x:c>
      <x:c r="AQ168" s="69" t="str">
        <x:f>IF(A168="","",IF(N168="","unknown",IF(N168&gt;=2,"Prometedora","Débil / validar en B2")))</x:f>
      </x:c>
      <x:c r="AR168" s="69" t="str">
        <x:f>IF(A168="","",IF(O168="","unknown",IF(O168&gt;=2,"Prometedora","Débil / validar en B3-B4")))</x:f>
      </x:c>
      <x:c r="AS168" s="69" t="str">
        <x:f>IF(A168="","",IF(P168="","unknown",IF(P168&gt;=2,"Prometedora","Débil / validar en B2-B4")))</x:f>
      </x:c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 t="str">
        <x:f>IF(A169="","",COUNTBLANK(M169:P169))</x:f>
      </x:c>
      <x:c r="Z169" s="69" t="str">
        <x:f>IF(A169="","",IF(OR(E169="",G169="No",H169="No",I169="Responsabilidad genérica",I169="Demasiado amplia",I169="Microtarea",J169="Duplicado evidente"),"BLOQUEADA",IF(OR(I169="Ambigua",L169&lt;1,K169&lt;1),"REVISIÓN","ELEGIBLE")))</x:f>
      </x:c>
      <x:c r="AA169" s="69" t="str">
        <x:f>IF(A169="","",IF(Z169="BLOQUEADA",0,ROUND(100*(IF(M169="",1.5,M169)+IF(N169="",1.5,N169)+IF(O169="",1.5,O169)+IF(P169="",1.5,P169))/12,1)))</x:f>
      </x:c>
      <x:c r="AB169" s="69" t="str">
        <x:f>IF(A169="","",IF(Z169="BLOQUEADA",0,ROUND(100*IF(Q169="",1.5,Q169)/3,1)))</x:f>
      </x:c>
      <x:c r="AC169" s="69" t="str">
        <x:f>IF(A169="","",IF(Z169="BLOQUEADA",0,ROUND(100*IF(R169="",1.5,R169)/3,1)))</x:f>
      </x:c>
      <x:c r="AD169" s="69" t="str">
        <x:f>IF(A169="","",IF(Z169="BLOQUEADA",0,ROUND(100*IF(S169="",1.5,S169)/3,1)))</x:f>
      </x:c>
      <x:c r="AE169" s="69" t="str">
        <x:f>IF(A169="","",IF(Z169="BLOQUEADA",0,ROUND(100*IF(T169="",1.5,T169)/3,1)))</x:f>
      </x:c>
      <x:c r="AF169" s="69" t="str">
        <x:f>IF(A169="","",IF(Z169="BLOQUEADA",0,ROUND(100*IF(U169="",1.5,U169)/3,1)))</x:f>
      </x:c>
      <x:c r="AG169" s="69" t="str">
        <x:f>IF(A169="","",ROUND(IF(Z169="BLOQUEADA",100,(X169*10)+(V169*8)+(W169*8)),1))</x:f>
      </x:c>
      <x:c r="AH169" s="69" t="str">
        <x:f>IF(A169="","",IF(Z169="BLOQUEADA",0,MAX(0,ROUND(0.30*AA169+0.20*AB169+0.15*AC169+0.15*AD169+0.10*AE169+0.10*AF169-AG169,1))))</x:f>
      </x:c>
      <x:c r="AI169" s="69" t="str">
        <x:f>IF(A169="","",IF(Z169="ELEGIBLE",RANK.EQ(AH169,$AH$2:$AH$201,0),""))</x:f>
      </x:c>
      <x:c r="AJ169" s="69" t="str">
        <x:f>IF(A169="","",IF(Z169="BLOQUEADA","No aplica",IF(Z169="REVISIÓN","Slot 8 posible: exploratorio",IF(AI169&lt;=5,"Slot 1-5: alto potencial",IF(R169&gt;=2.5,"Slot 6: handoff/dependencia",IF(S169&gt;=2.5,"Slot 7: transformación/objeto",IF(AND(K169&gt;=1,U169&gt;=2),"Slot 8 posible: exploratorio","Backlog/contexto")))))))</x:f>
      </x:c>
      <x:c r="AK169" s="69" t="str">
        <x:f>IF(A169="","",IF(Z169="BLOQUEADA","No seleccionable",IF(Z169="REVISIÓN","Revisión para slot exploratorio",IF(AI169&lt;=8,"Primaria propuesta","Contexto no primario"))))</x:f>
      </x:c>
      <x:c r="AL169" s="69" t="str">
        <x:f>IF(A169="","",IF(OR(Z169="REVISIÓN",Y169&gt;=3,V169&gt;=2),"Sí","No"))</x:f>
      </x:c>
      <x:c r="AM169" s="69" t="str">
        <x:f>IF(A169="","",IF(AK169="Primaria propuesta","Primaria propuesta",IF(AK169="Revisión para slot exploratorio","Revisión / posible primaria exploratoria",IF(AK169="No seleccionable","No seleccionable","Contexto no primario"))))</x:f>
      </x:c>
      <x:c r="AN169" s="69" t="str">
        <x:f>IF(A169="","",IF(AM169="Primaria propuesta",IF(AH169&gt;=75,"40+20 probable",IF(AH169&gt;=55,"40 base + causales selectivas","40 base + probes mínimos")),IF(AM169="Revisión / posible primaria exploratoria","B0/B0.5 reconstrucción antes de Runtime","No abre Runtime profundo")))</x:f>
      </x:c>
      <x:c r="AO169" s="69" t="str">
        <x:f>IF(A169="","",IF(Z169="BLOQUEADA","No probe",IF(AH169&gt;=75,"Alta",IF(AH169&gt;=55,"Media",IF(Z169="REVISIÓN","Exploratoria","Baja")))))</x:f>
      </x:c>
      <x:c r="AP169" s="69" t="str">
        <x:f>IF(A169="","",IF(M169="","unknown",IF(M169&gt;=2,"Prometedora","Débil / validar en B0.5-B1")))</x:f>
      </x:c>
      <x:c r="AQ169" s="69" t="str">
        <x:f>IF(A169="","",IF(N169="","unknown",IF(N169&gt;=2,"Prometedora","Débil / validar en B2")))</x:f>
      </x:c>
      <x:c r="AR169" s="69" t="str">
        <x:f>IF(A169="","",IF(O169="","unknown",IF(O169&gt;=2,"Prometedora","Débil / validar en B3-B4")))</x:f>
      </x:c>
      <x:c r="AS169" s="69" t="str">
        <x:f>IF(A169="","",IF(P169="","unknown",IF(P169&gt;=2,"Prometedora","Débil / validar en B2-B4")))</x:f>
      </x:c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 t="str">
        <x:f>IF(A170="","",COUNTBLANK(M170:P170))</x:f>
      </x:c>
      <x:c r="Z170" s="69" t="str">
        <x:f>IF(A170="","",IF(OR(E170="",G170="No",H170="No",I170="Responsabilidad genérica",I170="Demasiado amplia",I170="Microtarea",J170="Duplicado evidente"),"BLOQUEADA",IF(OR(I170="Ambigua",L170&lt;1,K170&lt;1),"REVISIÓN","ELEGIBLE")))</x:f>
      </x:c>
      <x:c r="AA170" s="69" t="str">
        <x:f>IF(A170="","",IF(Z170="BLOQUEADA",0,ROUND(100*(IF(M170="",1.5,M170)+IF(N170="",1.5,N170)+IF(O170="",1.5,O170)+IF(P170="",1.5,P170))/12,1)))</x:f>
      </x:c>
      <x:c r="AB170" s="69" t="str">
        <x:f>IF(A170="","",IF(Z170="BLOQUEADA",0,ROUND(100*IF(Q170="",1.5,Q170)/3,1)))</x:f>
      </x:c>
      <x:c r="AC170" s="69" t="str">
        <x:f>IF(A170="","",IF(Z170="BLOQUEADA",0,ROUND(100*IF(R170="",1.5,R170)/3,1)))</x:f>
      </x:c>
      <x:c r="AD170" s="69" t="str">
        <x:f>IF(A170="","",IF(Z170="BLOQUEADA",0,ROUND(100*IF(S170="",1.5,S170)/3,1)))</x:f>
      </x:c>
      <x:c r="AE170" s="69" t="str">
        <x:f>IF(A170="","",IF(Z170="BLOQUEADA",0,ROUND(100*IF(T170="",1.5,T170)/3,1)))</x:f>
      </x:c>
      <x:c r="AF170" s="69" t="str">
        <x:f>IF(A170="","",IF(Z170="BLOQUEADA",0,ROUND(100*IF(U170="",1.5,U170)/3,1)))</x:f>
      </x:c>
      <x:c r="AG170" s="69" t="str">
        <x:f>IF(A170="","",ROUND(IF(Z170="BLOQUEADA",100,(X170*10)+(V170*8)+(W170*8)),1))</x:f>
      </x:c>
      <x:c r="AH170" s="69" t="str">
        <x:f>IF(A170="","",IF(Z170="BLOQUEADA",0,MAX(0,ROUND(0.30*AA170+0.20*AB170+0.15*AC170+0.15*AD170+0.10*AE170+0.10*AF170-AG170,1))))</x:f>
      </x:c>
      <x:c r="AI170" s="69" t="str">
        <x:f>IF(A170="","",IF(Z170="ELEGIBLE",RANK.EQ(AH170,$AH$2:$AH$201,0),""))</x:f>
      </x:c>
      <x:c r="AJ170" s="69" t="str">
        <x:f>IF(A170="","",IF(Z170="BLOQUEADA","No aplica",IF(Z170="REVISIÓN","Slot 8 posible: exploratorio",IF(AI170&lt;=5,"Slot 1-5: alto potencial",IF(R170&gt;=2.5,"Slot 6: handoff/dependencia",IF(S170&gt;=2.5,"Slot 7: transformación/objeto",IF(AND(K170&gt;=1,U170&gt;=2),"Slot 8 posible: exploratorio","Backlog/contexto")))))))</x:f>
      </x:c>
      <x:c r="AK170" s="69" t="str">
        <x:f>IF(A170="","",IF(Z170="BLOQUEADA","No seleccionable",IF(Z170="REVISIÓN","Revisión para slot exploratorio",IF(AI170&lt;=8,"Primaria propuesta","Contexto no primario"))))</x:f>
      </x:c>
      <x:c r="AL170" s="69" t="str">
        <x:f>IF(A170="","",IF(OR(Z170="REVISIÓN",Y170&gt;=3,V170&gt;=2),"Sí","No"))</x:f>
      </x:c>
      <x:c r="AM170" s="69" t="str">
        <x:f>IF(A170="","",IF(AK170="Primaria propuesta","Primaria propuesta",IF(AK170="Revisión para slot exploratorio","Revisión / posible primaria exploratoria",IF(AK170="No seleccionable","No seleccionable","Contexto no primario"))))</x:f>
      </x:c>
      <x:c r="AN170" s="69" t="str">
        <x:f>IF(A170="","",IF(AM170="Primaria propuesta",IF(AH170&gt;=75,"40+20 probable",IF(AH170&gt;=55,"40 base + causales selectivas","40 base + probes mínimos")),IF(AM170="Revisión / posible primaria exploratoria","B0/B0.5 reconstrucción antes de Runtime","No abre Runtime profundo")))</x:f>
      </x:c>
      <x:c r="AO170" s="69" t="str">
        <x:f>IF(A170="","",IF(Z170="BLOQUEADA","No probe",IF(AH170&gt;=75,"Alta",IF(AH170&gt;=55,"Media",IF(Z170="REVISIÓN","Exploratoria","Baja")))))</x:f>
      </x:c>
      <x:c r="AP170" s="69" t="str">
        <x:f>IF(A170="","",IF(M170="","unknown",IF(M170&gt;=2,"Prometedora","Débil / validar en B0.5-B1")))</x:f>
      </x:c>
      <x:c r="AQ170" s="69" t="str">
        <x:f>IF(A170="","",IF(N170="","unknown",IF(N170&gt;=2,"Prometedora","Débil / validar en B2")))</x:f>
      </x:c>
      <x:c r="AR170" s="69" t="str">
        <x:f>IF(A170="","",IF(O170="","unknown",IF(O170&gt;=2,"Prometedora","Débil / validar en B3-B4")))</x:f>
      </x:c>
      <x:c r="AS170" s="69" t="str">
        <x:f>IF(A170="","",IF(P170="","unknown",IF(P170&gt;=2,"Prometedora","Débil / validar en B2-B4")))</x:f>
      </x:c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 t="str">
        <x:f>IF(A171="","",COUNTBLANK(M171:P171))</x:f>
      </x:c>
      <x:c r="Z171" s="69" t="str">
        <x:f>IF(A171="","",IF(OR(E171="",G171="No",H171="No",I171="Responsabilidad genérica",I171="Demasiado amplia",I171="Microtarea",J171="Duplicado evidente"),"BLOQUEADA",IF(OR(I171="Ambigua",L171&lt;1,K171&lt;1),"REVISIÓN","ELEGIBLE")))</x:f>
      </x:c>
      <x:c r="AA171" s="69" t="str">
        <x:f>IF(A171="","",IF(Z171="BLOQUEADA",0,ROUND(100*(IF(M171="",1.5,M171)+IF(N171="",1.5,N171)+IF(O171="",1.5,O171)+IF(P171="",1.5,P171))/12,1)))</x:f>
      </x:c>
      <x:c r="AB171" s="69" t="str">
        <x:f>IF(A171="","",IF(Z171="BLOQUEADA",0,ROUND(100*IF(Q171="",1.5,Q171)/3,1)))</x:f>
      </x:c>
      <x:c r="AC171" s="69" t="str">
        <x:f>IF(A171="","",IF(Z171="BLOQUEADA",0,ROUND(100*IF(R171="",1.5,R171)/3,1)))</x:f>
      </x:c>
      <x:c r="AD171" s="69" t="str">
        <x:f>IF(A171="","",IF(Z171="BLOQUEADA",0,ROUND(100*IF(S171="",1.5,S171)/3,1)))</x:f>
      </x:c>
      <x:c r="AE171" s="69" t="str">
        <x:f>IF(A171="","",IF(Z171="BLOQUEADA",0,ROUND(100*IF(T171="",1.5,T171)/3,1)))</x:f>
      </x:c>
      <x:c r="AF171" s="69" t="str">
        <x:f>IF(A171="","",IF(Z171="BLOQUEADA",0,ROUND(100*IF(U171="",1.5,U171)/3,1)))</x:f>
      </x:c>
      <x:c r="AG171" s="69" t="str">
        <x:f>IF(A171="","",ROUND(IF(Z171="BLOQUEADA",100,(X171*10)+(V171*8)+(W171*8)),1))</x:f>
      </x:c>
      <x:c r="AH171" s="69" t="str">
        <x:f>IF(A171="","",IF(Z171="BLOQUEADA",0,MAX(0,ROUND(0.30*AA171+0.20*AB171+0.15*AC171+0.15*AD171+0.10*AE171+0.10*AF171-AG171,1))))</x:f>
      </x:c>
      <x:c r="AI171" s="69" t="str">
        <x:f>IF(A171="","",IF(Z171="ELEGIBLE",RANK.EQ(AH171,$AH$2:$AH$201,0),""))</x:f>
      </x:c>
      <x:c r="AJ171" s="69" t="str">
        <x:f>IF(A171="","",IF(Z171="BLOQUEADA","No aplica",IF(Z171="REVISIÓN","Slot 8 posible: exploratorio",IF(AI171&lt;=5,"Slot 1-5: alto potencial",IF(R171&gt;=2.5,"Slot 6: handoff/dependencia",IF(S171&gt;=2.5,"Slot 7: transformación/objeto",IF(AND(K171&gt;=1,U171&gt;=2),"Slot 8 posible: exploratorio","Backlog/contexto")))))))</x:f>
      </x:c>
      <x:c r="AK171" s="69" t="str">
        <x:f>IF(A171="","",IF(Z171="BLOQUEADA","No seleccionable",IF(Z171="REVISIÓN","Revisión para slot exploratorio",IF(AI171&lt;=8,"Primaria propuesta","Contexto no primario"))))</x:f>
      </x:c>
      <x:c r="AL171" s="69" t="str">
        <x:f>IF(A171="","",IF(OR(Z171="REVISIÓN",Y171&gt;=3,V171&gt;=2),"Sí","No"))</x:f>
      </x:c>
      <x:c r="AM171" s="69" t="str">
        <x:f>IF(A171="","",IF(AK171="Primaria propuesta","Primaria propuesta",IF(AK171="Revisión para slot exploratorio","Revisión / posible primaria exploratoria",IF(AK171="No seleccionable","No seleccionable","Contexto no primario"))))</x:f>
      </x:c>
      <x:c r="AN171" s="69" t="str">
        <x:f>IF(A171="","",IF(AM171="Primaria propuesta",IF(AH171&gt;=75,"40+20 probable",IF(AH171&gt;=55,"40 base + causales selectivas","40 base + probes mínimos")),IF(AM171="Revisión / posible primaria exploratoria","B0/B0.5 reconstrucción antes de Runtime","No abre Runtime profundo")))</x:f>
      </x:c>
      <x:c r="AO171" s="69" t="str">
        <x:f>IF(A171="","",IF(Z171="BLOQUEADA","No probe",IF(AH171&gt;=75,"Alta",IF(AH171&gt;=55,"Media",IF(Z171="REVISIÓN","Exploratoria","Baja")))))</x:f>
      </x:c>
      <x:c r="AP171" s="69" t="str">
        <x:f>IF(A171="","",IF(M171="","unknown",IF(M171&gt;=2,"Prometedora","Débil / validar en B0.5-B1")))</x:f>
      </x:c>
      <x:c r="AQ171" s="69" t="str">
        <x:f>IF(A171="","",IF(N171="","unknown",IF(N171&gt;=2,"Prometedora","Débil / validar en B2")))</x:f>
      </x:c>
      <x:c r="AR171" s="69" t="str">
        <x:f>IF(A171="","",IF(O171="","unknown",IF(O171&gt;=2,"Prometedora","Débil / validar en B3-B4")))</x:f>
      </x:c>
      <x:c r="AS171" s="69" t="str">
        <x:f>IF(A171="","",IF(P171="","unknown",IF(P171&gt;=2,"Prometedora","Débil / validar en B2-B4")))</x:f>
      </x:c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 t="str">
        <x:f>IF(A172="","",COUNTBLANK(M172:P172))</x:f>
      </x:c>
      <x:c r="Z172" s="69" t="str">
        <x:f>IF(A172="","",IF(OR(E172="",G172="No",H172="No",I172="Responsabilidad genérica",I172="Demasiado amplia",I172="Microtarea",J172="Duplicado evidente"),"BLOQUEADA",IF(OR(I172="Ambigua",L172&lt;1,K172&lt;1),"REVISIÓN","ELEGIBLE")))</x:f>
      </x:c>
      <x:c r="AA172" s="69" t="str">
        <x:f>IF(A172="","",IF(Z172="BLOQUEADA",0,ROUND(100*(IF(M172="",1.5,M172)+IF(N172="",1.5,N172)+IF(O172="",1.5,O172)+IF(P172="",1.5,P172))/12,1)))</x:f>
      </x:c>
      <x:c r="AB172" s="69" t="str">
        <x:f>IF(A172="","",IF(Z172="BLOQUEADA",0,ROUND(100*IF(Q172="",1.5,Q172)/3,1)))</x:f>
      </x:c>
      <x:c r="AC172" s="69" t="str">
        <x:f>IF(A172="","",IF(Z172="BLOQUEADA",0,ROUND(100*IF(R172="",1.5,R172)/3,1)))</x:f>
      </x:c>
      <x:c r="AD172" s="69" t="str">
        <x:f>IF(A172="","",IF(Z172="BLOQUEADA",0,ROUND(100*IF(S172="",1.5,S172)/3,1)))</x:f>
      </x:c>
      <x:c r="AE172" s="69" t="str">
        <x:f>IF(A172="","",IF(Z172="BLOQUEADA",0,ROUND(100*IF(T172="",1.5,T172)/3,1)))</x:f>
      </x:c>
      <x:c r="AF172" s="69" t="str">
        <x:f>IF(A172="","",IF(Z172="BLOQUEADA",0,ROUND(100*IF(U172="",1.5,U172)/3,1)))</x:f>
      </x:c>
      <x:c r="AG172" s="69" t="str">
        <x:f>IF(A172="","",ROUND(IF(Z172="BLOQUEADA",100,(X172*10)+(V172*8)+(W172*8)),1))</x:f>
      </x:c>
      <x:c r="AH172" s="69" t="str">
        <x:f>IF(A172="","",IF(Z172="BLOQUEADA",0,MAX(0,ROUND(0.30*AA172+0.20*AB172+0.15*AC172+0.15*AD172+0.10*AE172+0.10*AF172-AG172,1))))</x:f>
      </x:c>
      <x:c r="AI172" s="69" t="str">
        <x:f>IF(A172="","",IF(Z172="ELEGIBLE",RANK.EQ(AH172,$AH$2:$AH$201,0),""))</x:f>
      </x:c>
      <x:c r="AJ172" s="69" t="str">
        <x:f>IF(A172="","",IF(Z172="BLOQUEADA","No aplica",IF(Z172="REVISIÓN","Slot 8 posible: exploratorio",IF(AI172&lt;=5,"Slot 1-5: alto potencial",IF(R172&gt;=2.5,"Slot 6: handoff/dependencia",IF(S172&gt;=2.5,"Slot 7: transformación/objeto",IF(AND(K172&gt;=1,U172&gt;=2),"Slot 8 posible: exploratorio","Backlog/contexto")))))))</x:f>
      </x:c>
      <x:c r="AK172" s="69" t="str">
        <x:f>IF(A172="","",IF(Z172="BLOQUEADA","No seleccionable",IF(Z172="REVISIÓN","Revisión para slot exploratorio",IF(AI172&lt;=8,"Primaria propuesta","Contexto no primario"))))</x:f>
      </x:c>
      <x:c r="AL172" s="69" t="str">
        <x:f>IF(A172="","",IF(OR(Z172="REVISIÓN",Y172&gt;=3,V172&gt;=2),"Sí","No"))</x:f>
      </x:c>
      <x:c r="AM172" s="69" t="str">
        <x:f>IF(A172="","",IF(AK172="Primaria propuesta","Primaria propuesta",IF(AK172="Revisión para slot exploratorio","Revisión / posible primaria exploratoria",IF(AK172="No seleccionable","No seleccionable","Contexto no primario"))))</x:f>
      </x:c>
      <x:c r="AN172" s="69" t="str">
        <x:f>IF(A172="","",IF(AM172="Primaria propuesta",IF(AH172&gt;=75,"40+20 probable",IF(AH172&gt;=55,"40 base + causales selectivas","40 base + probes mínimos")),IF(AM172="Revisión / posible primaria exploratoria","B0/B0.5 reconstrucción antes de Runtime","No abre Runtime profundo")))</x:f>
      </x:c>
      <x:c r="AO172" s="69" t="str">
        <x:f>IF(A172="","",IF(Z172="BLOQUEADA","No probe",IF(AH172&gt;=75,"Alta",IF(AH172&gt;=55,"Media",IF(Z172="REVISIÓN","Exploratoria","Baja")))))</x:f>
      </x:c>
      <x:c r="AP172" s="69" t="str">
        <x:f>IF(A172="","",IF(M172="","unknown",IF(M172&gt;=2,"Prometedora","Débil / validar en B0.5-B1")))</x:f>
      </x:c>
      <x:c r="AQ172" s="69" t="str">
        <x:f>IF(A172="","",IF(N172="","unknown",IF(N172&gt;=2,"Prometedora","Débil / validar en B2")))</x:f>
      </x:c>
      <x:c r="AR172" s="69" t="str">
        <x:f>IF(A172="","",IF(O172="","unknown",IF(O172&gt;=2,"Prometedora","Débil / validar en B3-B4")))</x:f>
      </x:c>
      <x:c r="AS172" s="69" t="str">
        <x:f>IF(A172="","",IF(P172="","unknown",IF(P172&gt;=2,"Prometedora","Débil / validar en B2-B4")))</x:f>
      </x:c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 t="str">
        <x:f>IF(A173="","",COUNTBLANK(M173:P173))</x:f>
      </x:c>
      <x:c r="Z173" s="69" t="str">
        <x:f>IF(A173="","",IF(OR(E173="",G173="No",H173="No",I173="Responsabilidad genérica",I173="Demasiado amplia",I173="Microtarea",J173="Duplicado evidente"),"BLOQUEADA",IF(OR(I173="Ambigua",L173&lt;1,K173&lt;1),"REVISIÓN","ELEGIBLE")))</x:f>
      </x:c>
      <x:c r="AA173" s="69" t="str">
        <x:f>IF(A173="","",IF(Z173="BLOQUEADA",0,ROUND(100*(IF(M173="",1.5,M173)+IF(N173="",1.5,N173)+IF(O173="",1.5,O173)+IF(P173="",1.5,P173))/12,1)))</x:f>
      </x:c>
      <x:c r="AB173" s="69" t="str">
        <x:f>IF(A173="","",IF(Z173="BLOQUEADA",0,ROUND(100*IF(Q173="",1.5,Q173)/3,1)))</x:f>
      </x:c>
      <x:c r="AC173" s="69" t="str">
        <x:f>IF(A173="","",IF(Z173="BLOQUEADA",0,ROUND(100*IF(R173="",1.5,R173)/3,1)))</x:f>
      </x:c>
      <x:c r="AD173" s="69" t="str">
        <x:f>IF(A173="","",IF(Z173="BLOQUEADA",0,ROUND(100*IF(S173="",1.5,S173)/3,1)))</x:f>
      </x:c>
      <x:c r="AE173" s="69" t="str">
        <x:f>IF(A173="","",IF(Z173="BLOQUEADA",0,ROUND(100*IF(T173="",1.5,T173)/3,1)))</x:f>
      </x:c>
      <x:c r="AF173" s="69" t="str">
        <x:f>IF(A173="","",IF(Z173="BLOQUEADA",0,ROUND(100*IF(U173="",1.5,U173)/3,1)))</x:f>
      </x:c>
      <x:c r="AG173" s="69" t="str">
        <x:f>IF(A173="","",ROUND(IF(Z173="BLOQUEADA",100,(X173*10)+(V173*8)+(W173*8)),1))</x:f>
      </x:c>
      <x:c r="AH173" s="69" t="str">
        <x:f>IF(A173="","",IF(Z173="BLOQUEADA",0,MAX(0,ROUND(0.30*AA173+0.20*AB173+0.15*AC173+0.15*AD173+0.10*AE173+0.10*AF173-AG173,1))))</x:f>
      </x:c>
      <x:c r="AI173" s="69" t="str">
        <x:f>IF(A173="","",IF(Z173="ELEGIBLE",RANK.EQ(AH173,$AH$2:$AH$201,0),""))</x:f>
      </x:c>
      <x:c r="AJ173" s="69" t="str">
        <x:f>IF(A173="","",IF(Z173="BLOQUEADA","No aplica",IF(Z173="REVISIÓN","Slot 8 posible: exploratorio",IF(AI173&lt;=5,"Slot 1-5: alto potencial",IF(R173&gt;=2.5,"Slot 6: handoff/dependencia",IF(S173&gt;=2.5,"Slot 7: transformación/objeto",IF(AND(K173&gt;=1,U173&gt;=2),"Slot 8 posible: exploratorio","Backlog/contexto")))))))</x:f>
      </x:c>
      <x:c r="AK173" s="69" t="str">
        <x:f>IF(A173="","",IF(Z173="BLOQUEADA","No seleccionable",IF(Z173="REVISIÓN","Revisión para slot exploratorio",IF(AI173&lt;=8,"Primaria propuesta","Contexto no primario"))))</x:f>
      </x:c>
      <x:c r="AL173" s="69" t="str">
        <x:f>IF(A173="","",IF(OR(Z173="REVISIÓN",Y173&gt;=3,V173&gt;=2),"Sí","No"))</x:f>
      </x:c>
      <x:c r="AM173" s="69" t="str">
        <x:f>IF(A173="","",IF(AK173="Primaria propuesta","Primaria propuesta",IF(AK173="Revisión para slot exploratorio","Revisión / posible primaria exploratoria",IF(AK173="No seleccionable","No seleccionable","Contexto no primario"))))</x:f>
      </x:c>
      <x:c r="AN173" s="69" t="str">
        <x:f>IF(A173="","",IF(AM173="Primaria propuesta",IF(AH173&gt;=75,"40+20 probable",IF(AH173&gt;=55,"40 base + causales selectivas","40 base + probes mínimos")),IF(AM173="Revisión / posible primaria exploratoria","B0/B0.5 reconstrucción antes de Runtime","No abre Runtime profundo")))</x:f>
      </x:c>
      <x:c r="AO173" s="69" t="str">
        <x:f>IF(A173="","",IF(Z173="BLOQUEADA","No probe",IF(AH173&gt;=75,"Alta",IF(AH173&gt;=55,"Media",IF(Z173="REVISIÓN","Exploratoria","Baja")))))</x:f>
      </x:c>
      <x:c r="AP173" s="69" t="str">
        <x:f>IF(A173="","",IF(M173="","unknown",IF(M173&gt;=2,"Prometedora","Débil / validar en B0.5-B1")))</x:f>
      </x:c>
      <x:c r="AQ173" s="69" t="str">
        <x:f>IF(A173="","",IF(N173="","unknown",IF(N173&gt;=2,"Prometedora","Débil / validar en B2")))</x:f>
      </x:c>
      <x:c r="AR173" s="69" t="str">
        <x:f>IF(A173="","",IF(O173="","unknown",IF(O173&gt;=2,"Prometedora","Débil / validar en B3-B4")))</x:f>
      </x:c>
      <x:c r="AS173" s="69" t="str">
        <x:f>IF(A173="","",IF(P173="","unknown",IF(P173&gt;=2,"Prometedora","Débil / validar en B2-B4")))</x:f>
      </x:c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 t="str">
        <x:f>IF(A174="","",COUNTBLANK(M174:P174))</x:f>
      </x:c>
      <x:c r="Z174" s="69" t="str">
        <x:f>IF(A174="","",IF(OR(E174="",G174="No",H174="No",I174="Responsabilidad genérica",I174="Demasiado amplia",I174="Microtarea",J174="Duplicado evidente"),"BLOQUEADA",IF(OR(I174="Ambigua",L174&lt;1,K174&lt;1),"REVISIÓN","ELEGIBLE")))</x:f>
      </x:c>
      <x:c r="AA174" s="69" t="str">
        <x:f>IF(A174="","",IF(Z174="BLOQUEADA",0,ROUND(100*(IF(M174="",1.5,M174)+IF(N174="",1.5,N174)+IF(O174="",1.5,O174)+IF(P174="",1.5,P174))/12,1)))</x:f>
      </x:c>
      <x:c r="AB174" s="69" t="str">
        <x:f>IF(A174="","",IF(Z174="BLOQUEADA",0,ROUND(100*IF(Q174="",1.5,Q174)/3,1)))</x:f>
      </x:c>
      <x:c r="AC174" s="69" t="str">
        <x:f>IF(A174="","",IF(Z174="BLOQUEADA",0,ROUND(100*IF(R174="",1.5,R174)/3,1)))</x:f>
      </x:c>
      <x:c r="AD174" s="69" t="str">
        <x:f>IF(A174="","",IF(Z174="BLOQUEADA",0,ROUND(100*IF(S174="",1.5,S174)/3,1)))</x:f>
      </x:c>
      <x:c r="AE174" s="69" t="str">
        <x:f>IF(A174="","",IF(Z174="BLOQUEADA",0,ROUND(100*IF(T174="",1.5,T174)/3,1)))</x:f>
      </x:c>
      <x:c r="AF174" s="69" t="str">
        <x:f>IF(A174="","",IF(Z174="BLOQUEADA",0,ROUND(100*IF(U174="",1.5,U174)/3,1)))</x:f>
      </x:c>
      <x:c r="AG174" s="69" t="str">
        <x:f>IF(A174="","",ROUND(IF(Z174="BLOQUEADA",100,(X174*10)+(V174*8)+(W174*8)),1))</x:f>
      </x:c>
      <x:c r="AH174" s="69" t="str">
        <x:f>IF(A174="","",IF(Z174="BLOQUEADA",0,MAX(0,ROUND(0.30*AA174+0.20*AB174+0.15*AC174+0.15*AD174+0.10*AE174+0.10*AF174-AG174,1))))</x:f>
      </x:c>
      <x:c r="AI174" s="69" t="str">
        <x:f>IF(A174="","",IF(Z174="ELEGIBLE",RANK.EQ(AH174,$AH$2:$AH$201,0),""))</x:f>
      </x:c>
      <x:c r="AJ174" s="69" t="str">
        <x:f>IF(A174="","",IF(Z174="BLOQUEADA","No aplica",IF(Z174="REVISIÓN","Slot 8 posible: exploratorio",IF(AI174&lt;=5,"Slot 1-5: alto potencial",IF(R174&gt;=2.5,"Slot 6: handoff/dependencia",IF(S174&gt;=2.5,"Slot 7: transformación/objeto",IF(AND(K174&gt;=1,U174&gt;=2),"Slot 8 posible: exploratorio","Backlog/contexto")))))))</x:f>
      </x:c>
      <x:c r="AK174" s="69" t="str">
        <x:f>IF(A174="","",IF(Z174="BLOQUEADA","No seleccionable",IF(Z174="REVISIÓN","Revisión para slot exploratorio",IF(AI174&lt;=8,"Primaria propuesta","Contexto no primario"))))</x:f>
      </x:c>
      <x:c r="AL174" s="69" t="str">
        <x:f>IF(A174="","",IF(OR(Z174="REVISIÓN",Y174&gt;=3,V174&gt;=2),"Sí","No"))</x:f>
      </x:c>
      <x:c r="AM174" s="69" t="str">
        <x:f>IF(A174="","",IF(AK174="Primaria propuesta","Primaria propuesta",IF(AK174="Revisión para slot exploratorio","Revisión / posible primaria exploratoria",IF(AK174="No seleccionable","No seleccionable","Contexto no primario"))))</x:f>
      </x:c>
      <x:c r="AN174" s="69" t="str">
        <x:f>IF(A174="","",IF(AM174="Primaria propuesta",IF(AH174&gt;=75,"40+20 probable",IF(AH174&gt;=55,"40 base + causales selectivas","40 base + probes mínimos")),IF(AM174="Revisión / posible primaria exploratoria","B0/B0.5 reconstrucción antes de Runtime","No abre Runtime profundo")))</x:f>
      </x:c>
      <x:c r="AO174" s="69" t="str">
        <x:f>IF(A174="","",IF(Z174="BLOQUEADA","No probe",IF(AH174&gt;=75,"Alta",IF(AH174&gt;=55,"Media",IF(Z174="REVISIÓN","Exploratoria","Baja")))))</x:f>
      </x:c>
      <x:c r="AP174" s="69" t="str">
        <x:f>IF(A174="","",IF(M174="","unknown",IF(M174&gt;=2,"Prometedora","Débil / validar en B0.5-B1")))</x:f>
      </x:c>
      <x:c r="AQ174" s="69" t="str">
        <x:f>IF(A174="","",IF(N174="","unknown",IF(N174&gt;=2,"Prometedora","Débil / validar en B2")))</x:f>
      </x:c>
      <x:c r="AR174" s="69" t="str">
        <x:f>IF(A174="","",IF(O174="","unknown",IF(O174&gt;=2,"Prometedora","Débil / validar en B3-B4")))</x:f>
      </x:c>
      <x:c r="AS174" s="69" t="str">
        <x:f>IF(A174="","",IF(P174="","unknown",IF(P174&gt;=2,"Prometedora","Débil / validar en B2-B4")))</x:f>
      </x:c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 t="str">
        <x:f>IF(A175="","",COUNTBLANK(M175:P175))</x:f>
      </x:c>
      <x:c r="Z175" s="69" t="str">
        <x:f>IF(A175="","",IF(OR(E175="",G175="No",H175="No",I175="Responsabilidad genérica",I175="Demasiado amplia",I175="Microtarea",J175="Duplicado evidente"),"BLOQUEADA",IF(OR(I175="Ambigua",L175&lt;1,K175&lt;1),"REVISIÓN","ELEGIBLE")))</x:f>
      </x:c>
      <x:c r="AA175" s="69" t="str">
        <x:f>IF(A175="","",IF(Z175="BLOQUEADA",0,ROUND(100*(IF(M175="",1.5,M175)+IF(N175="",1.5,N175)+IF(O175="",1.5,O175)+IF(P175="",1.5,P175))/12,1)))</x:f>
      </x:c>
      <x:c r="AB175" s="69" t="str">
        <x:f>IF(A175="","",IF(Z175="BLOQUEADA",0,ROUND(100*IF(Q175="",1.5,Q175)/3,1)))</x:f>
      </x:c>
      <x:c r="AC175" s="69" t="str">
        <x:f>IF(A175="","",IF(Z175="BLOQUEADA",0,ROUND(100*IF(R175="",1.5,R175)/3,1)))</x:f>
      </x:c>
      <x:c r="AD175" s="69" t="str">
        <x:f>IF(A175="","",IF(Z175="BLOQUEADA",0,ROUND(100*IF(S175="",1.5,S175)/3,1)))</x:f>
      </x:c>
      <x:c r="AE175" s="69" t="str">
        <x:f>IF(A175="","",IF(Z175="BLOQUEADA",0,ROUND(100*IF(T175="",1.5,T175)/3,1)))</x:f>
      </x:c>
      <x:c r="AF175" s="69" t="str">
        <x:f>IF(A175="","",IF(Z175="BLOQUEADA",0,ROUND(100*IF(U175="",1.5,U175)/3,1)))</x:f>
      </x:c>
      <x:c r="AG175" s="69" t="str">
        <x:f>IF(A175="","",ROUND(IF(Z175="BLOQUEADA",100,(X175*10)+(V175*8)+(W175*8)),1))</x:f>
      </x:c>
      <x:c r="AH175" s="69" t="str">
        <x:f>IF(A175="","",IF(Z175="BLOQUEADA",0,MAX(0,ROUND(0.30*AA175+0.20*AB175+0.15*AC175+0.15*AD175+0.10*AE175+0.10*AF175-AG175,1))))</x:f>
      </x:c>
      <x:c r="AI175" s="69" t="str">
        <x:f>IF(A175="","",IF(Z175="ELEGIBLE",RANK.EQ(AH175,$AH$2:$AH$201,0),""))</x:f>
      </x:c>
      <x:c r="AJ175" s="69" t="str">
        <x:f>IF(A175="","",IF(Z175="BLOQUEADA","No aplica",IF(Z175="REVISIÓN","Slot 8 posible: exploratorio",IF(AI175&lt;=5,"Slot 1-5: alto potencial",IF(R175&gt;=2.5,"Slot 6: handoff/dependencia",IF(S175&gt;=2.5,"Slot 7: transformación/objeto",IF(AND(K175&gt;=1,U175&gt;=2),"Slot 8 posible: exploratorio","Backlog/contexto")))))))</x:f>
      </x:c>
      <x:c r="AK175" s="69" t="str">
        <x:f>IF(A175="","",IF(Z175="BLOQUEADA","No seleccionable",IF(Z175="REVISIÓN","Revisión para slot exploratorio",IF(AI175&lt;=8,"Primaria propuesta","Contexto no primario"))))</x:f>
      </x:c>
      <x:c r="AL175" s="69" t="str">
        <x:f>IF(A175="","",IF(OR(Z175="REVISIÓN",Y175&gt;=3,V175&gt;=2),"Sí","No"))</x:f>
      </x:c>
      <x:c r="AM175" s="69" t="str">
        <x:f>IF(A175="","",IF(AK175="Primaria propuesta","Primaria propuesta",IF(AK175="Revisión para slot exploratorio","Revisión / posible primaria exploratoria",IF(AK175="No seleccionable","No seleccionable","Contexto no primario"))))</x:f>
      </x:c>
      <x:c r="AN175" s="69" t="str">
        <x:f>IF(A175="","",IF(AM175="Primaria propuesta",IF(AH175&gt;=75,"40+20 probable",IF(AH175&gt;=55,"40 base + causales selectivas","40 base + probes mínimos")),IF(AM175="Revisión / posible primaria exploratoria","B0/B0.5 reconstrucción antes de Runtime","No abre Runtime profundo")))</x:f>
      </x:c>
      <x:c r="AO175" s="69" t="str">
        <x:f>IF(A175="","",IF(Z175="BLOQUEADA","No probe",IF(AH175&gt;=75,"Alta",IF(AH175&gt;=55,"Media",IF(Z175="REVISIÓN","Exploratoria","Baja")))))</x:f>
      </x:c>
      <x:c r="AP175" s="69" t="str">
        <x:f>IF(A175="","",IF(M175="","unknown",IF(M175&gt;=2,"Prometedora","Débil / validar en B0.5-B1")))</x:f>
      </x:c>
      <x:c r="AQ175" s="69" t="str">
        <x:f>IF(A175="","",IF(N175="","unknown",IF(N175&gt;=2,"Prometedora","Débil / validar en B2")))</x:f>
      </x:c>
      <x:c r="AR175" s="69" t="str">
        <x:f>IF(A175="","",IF(O175="","unknown",IF(O175&gt;=2,"Prometedora","Débil / validar en B3-B4")))</x:f>
      </x:c>
      <x:c r="AS175" s="69" t="str">
        <x:f>IF(A175="","",IF(P175="","unknown",IF(P175&gt;=2,"Prometedora","Débil / validar en B2-B4")))</x:f>
      </x:c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 t="str">
        <x:f>IF(A176="","",COUNTBLANK(M176:P176))</x:f>
      </x:c>
      <x:c r="Z176" s="69" t="str">
        <x:f>IF(A176="","",IF(OR(E176="",G176="No",H176="No",I176="Responsabilidad genérica",I176="Demasiado amplia",I176="Microtarea",J176="Duplicado evidente"),"BLOQUEADA",IF(OR(I176="Ambigua",L176&lt;1,K176&lt;1),"REVISIÓN","ELEGIBLE")))</x:f>
      </x:c>
      <x:c r="AA176" s="69" t="str">
        <x:f>IF(A176="","",IF(Z176="BLOQUEADA",0,ROUND(100*(IF(M176="",1.5,M176)+IF(N176="",1.5,N176)+IF(O176="",1.5,O176)+IF(P176="",1.5,P176))/12,1)))</x:f>
      </x:c>
      <x:c r="AB176" s="69" t="str">
        <x:f>IF(A176="","",IF(Z176="BLOQUEADA",0,ROUND(100*IF(Q176="",1.5,Q176)/3,1)))</x:f>
      </x:c>
      <x:c r="AC176" s="69" t="str">
        <x:f>IF(A176="","",IF(Z176="BLOQUEADA",0,ROUND(100*IF(R176="",1.5,R176)/3,1)))</x:f>
      </x:c>
      <x:c r="AD176" s="69" t="str">
        <x:f>IF(A176="","",IF(Z176="BLOQUEADA",0,ROUND(100*IF(S176="",1.5,S176)/3,1)))</x:f>
      </x:c>
      <x:c r="AE176" s="69" t="str">
        <x:f>IF(A176="","",IF(Z176="BLOQUEADA",0,ROUND(100*IF(T176="",1.5,T176)/3,1)))</x:f>
      </x:c>
      <x:c r="AF176" s="69" t="str">
        <x:f>IF(A176="","",IF(Z176="BLOQUEADA",0,ROUND(100*IF(U176="",1.5,U176)/3,1)))</x:f>
      </x:c>
      <x:c r="AG176" s="69" t="str">
        <x:f>IF(A176="","",ROUND(IF(Z176="BLOQUEADA",100,(X176*10)+(V176*8)+(W176*8)),1))</x:f>
      </x:c>
      <x:c r="AH176" s="69" t="str">
        <x:f>IF(A176="","",IF(Z176="BLOQUEADA",0,MAX(0,ROUND(0.30*AA176+0.20*AB176+0.15*AC176+0.15*AD176+0.10*AE176+0.10*AF176-AG176,1))))</x:f>
      </x:c>
      <x:c r="AI176" s="69" t="str">
        <x:f>IF(A176="","",IF(Z176="ELEGIBLE",RANK.EQ(AH176,$AH$2:$AH$201,0),""))</x:f>
      </x:c>
      <x:c r="AJ176" s="69" t="str">
        <x:f>IF(A176="","",IF(Z176="BLOQUEADA","No aplica",IF(Z176="REVISIÓN","Slot 8 posible: exploratorio",IF(AI176&lt;=5,"Slot 1-5: alto potencial",IF(R176&gt;=2.5,"Slot 6: handoff/dependencia",IF(S176&gt;=2.5,"Slot 7: transformación/objeto",IF(AND(K176&gt;=1,U176&gt;=2),"Slot 8 posible: exploratorio","Backlog/contexto")))))))</x:f>
      </x:c>
      <x:c r="AK176" s="69" t="str">
        <x:f>IF(A176="","",IF(Z176="BLOQUEADA","No seleccionable",IF(Z176="REVISIÓN","Revisión para slot exploratorio",IF(AI176&lt;=8,"Primaria propuesta","Contexto no primario"))))</x:f>
      </x:c>
      <x:c r="AL176" s="69" t="str">
        <x:f>IF(A176="","",IF(OR(Z176="REVISIÓN",Y176&gt;=3,V176&gt;=2),"Sí","No"))</x:f>
      </x:c>
      <x:c r="AM176" s="69" t="str">
        <x:f>IF(A176="","",IF(AK176="Primaria propuesta","Primaria propuesta",IF(AK176="Revisión para slot exploratorio","Revisión / posible primaria exploratoria",IF(AK176="No seleccionable","No seleccionable","Contexto no primario"))))</x:f>
      </x:c>
      <x:c r="AN176" s="69" t="str">
        <x:f>IF(A176="","",IF(AM176="Primaria propuesta",IF(AH176&gt;=75,"40+20 probable",IF(AH176&gt;=55,"40 base + causales selectivas","40 base + probes mínimos")),IF(AM176="Revisión / posible primaria exploratoria","B0/B0.5 reconstrucción antes de Runtime","No abre Runtime profundo")))</x:f>
      </x:c>
      <x:c r="AO176" s="69" t="str">
        <x:f>IF(A176="","",IF(Z176="BLOQUEADA","No probe",IF(AH176&gt;=75,"Alta",IF(AH176&gt;=55,"Media",IF(Z176="REVISIÓN","Exploratoria","Baja")))))</x:f>
      </x:c>
      <x:c r="AP176" s="69" t="str">
        <x:f>IF(A176="","",IF(M176="","unknown",IF(M176&gt;=2,"Prometedora","Débil / validar en B0.5-B1")))</x:f>
      </x:c>
      <x:c r="AQ176" s="69" t="str">
        <x:f>IF(A176="","",IF(N176="","unknown",IF(N176&gt;=2,"Prometedora","Débil / validar en B2")))</x:f>
      </x:c>
      <x:c r="AR176" s="69" t="str">
        <x:f>IF(A176="","",IF(O176="","unknown",IF(O176&gt;=2,"Prometedora","Débil / validar en B3-B4")))</x:f>
      </x:c>
      <x:c r="AS176" s="69" t="str">
        <x:f>IF(A176="","",IF(P176="","unknown",IF(P176&gt;=2,"Prometedora","Débil / validar en B2-B4")))</x:f>
      </x:c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 t="str">
        <x:f>IF(A177="","",COUNTBLANK(M177:P177))</x:f>
      </x:c>
      <x:c r="Z177" s="69" t="str">
        <x:f>IF(A177="","",IF(OR(E177="",G177="No",H177="No",I177="Responsabilidad genérica",I177="Demasiado amplia",I177="Microtarea",J177="Duplicado evidente"),"BLOQUEADA",IF(OR(I177="Ambigua",L177&lt;1,K177&lt;1),"REVISIÓN","ELEGIBLE")))</x:f>
      </x:c>
      <x:c r="AA177" s="69" t="str">
        <x:f>IF(A177="","",IF(Z177="BLOQUEADA",0,ROUND(100*(IF(M177="",1.5,M177)+IF(N177="",1.5,N177)+IF(O177="",1.5,O177)+IF(P177="",1.5,P177))/12,1)))</x:f>
      </x:c>
      <x:c r="AB177" s="69" t="str">
        <x:f>IF(A177="","",IF(Z177="BLOQUEADA",0,ROUND(100*IF(Q177="",1.5,Q177)/3,1)))</x:f>
      </x:c>
      <x:c r="AC177" s="69" t="str">
        <x:f>IF(A177="","",IF(Z177="BLOQUEADA",0,ROUND(100*IF(R177="",1.5,R177)/3,1)))</x:f>
      </x:c>
      <x:c r="AD177" s="69" t="str">
        <x:f>IF(A177="","",IF(Z177="BLOQUEADA",0,ROUND(100*IF(S177="",1.5,S177)/3,1)))</x:f>
      </x:c>
      <x:c r="AE177" s="69" t="str">
        <x:f>IF(A177="","",IF(Z177="BLOQUEADA",0,ROUND(100*IF(T177="",1.5,T177)/3,1)))</x:f>
      </x:c>
      <x:c r="AF177" s="69" t="str">
        <x:f>IF(A177="","",IF(Z177="BLOQUEADA",0,ROUND(100*IF(U177="",1.5,U177)/3,1)))</x:f>
      </x:c>
      <x:c r="AG177" s="69" t="str">
        <x:f>IF(A177="","",ROUND(IF(Z177="BLOQUEADA",100,(X177*10)+(V177*8)+(W177*8)),1))</x:f>
      </x:c>
      <x:c r="AH177" s="69" t="str">
        <x:f>IF(A177="","",IF(Z177="BLOQUEADA",0,MAX(0,ROUND(0.30*AA177+0.20*AB177+0.15*AC177+0.15*AD177+0.10*AE177+0.10*AF177-AG177,1))))</x:f>
      </x:c>
      <x:c r="AI177" s="69" t="str">
        <x:f>IF(A177="","",IF(Z177="ELEGIBLE",RANK.EQ(AH177,$AH$2:$AH$201,0),""))</x:f>
      </x:c>
      <x:c r="AJ177" s="69" t="str">
        <x:f>IF(A177="","",IF(Z177="BLOQUEADA","No aplica",IF(Z177="REVISIÓN","Slot 8 posible: exploratorio",IF(AI177&lt;=5,"Slot 1-5: alto potencial",IF(R177&gt;=2.5,"Slot 6: handoff/dependencia",IF(S177&gt;=2.5,"Slot 7: transformación/objeto",IF(AND(K177&gt;=1,U177&gt;=2),"Slot 8 posible: exploratorio","Backlog/contexto")))))))</x:f>
      </x:c>
      <x:c r="AK177" s="69" t="str">
        <x:f>IF(A177="","",IF(Z177="BLOQUEADA","No seleccionable",IF(Z177="REVISIÓN","Revisión para slot exploratorio",IF(AI177&lt;=8,"Primaria propuesta","Contexto no primario"))))</x:f>
      </x:c>
      <x:c r="AL177" s="69" t="str">
        <x:f>IF(A177="","",IF(OR(Z177="REVISIÓN",Y177&gt;=3,V177&gt;=2),"Sí","No"))</x:f>
      </x:c>
      <x:c r="AM177" s="69" t="str">
        <x:f>IF(A177="","",IF(AK177="Primaria propuesta","Primaria propuesta",IF(AK177="Revisión para slot exploratorio","Revisión / posible primaria exploratoria",IF(AK177="No seleccionable","No seleccionable","Contexto no primario"))))</x:f>
      </x:c>
      <x:c r="AN177" s="69" t="str">
        <x:f>IF(A177="","",IF(AM177="Primaria propuesta",IF(AH177&gt;=75,"40+20 probable",IF(AH177&gt;=55,"40 base + causales selectivas","40 base + probes mínimos")),IF(AM177="Revisión / posible primaria exploratoria","B0/B0.5 reconstrucción antes de Runtime","No abre Runtime profundo")))</x:f>
      </x:c>
      <x:c r="AO177" s="69" t="str">
        <x:f>IF(A177="","",IF(Z177="BLOQUEADA","No probe",IF(AH177&gt;=75,"Alta",IF(AH177&gt;=55,"Media",IF(Z177="REVISIÓN","Exploratoria","Baja")))))</x:f>
      </x:c>
      <x:c r="AP177" s="69" t="str">
        <x:f>IF(A177="","",IF(M177="","unknown",IF(M177&gt;=2,"Prometedora","Débil / validar en B0.5-B1")))</x:f>
      </x:c>
      <x:c r="AQ177" s="69" t="str">
        <x:f>IF(A177="","",IF(N177="","unknown",IF(N177&gt;=2,"Prometedora","Débil / validar en B2")))</x:f>
      </x:c>
      <x:c r="AR177" s="69" t="str">
        <x:f>IF(A177="","",IF(O177="","unknown",IF(O177&gt;=2,"Prometedora","Débil / validar en B3-B4")))</x:f>
      </x:c>
      <x:c r="AS177" s="69" t="str">
        <x:f>IF(A177="","",IF(P177="","unknown",IF(P177&gt;=2,"Prometedora","Débil / validar en B2-B4")))</x:f>
      </x:c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 t="str">
        <x:f>IF(A178="","",COUNTBLANK(M178:P178))</x:f>
      </x:c>
      <x:c r="Z178" s="69" t="str">
        <x:f>IF(A178="","",IF(OR(E178="",G178="No",H178="No",I178="Responsabilidad genérica",I178="Demasiado amplia",I178="Microtarea",J178="Duplicado evidente"),"BLOQUEADA",IF(OR(I178="Ambigua",L178&lt;1,K178&lt;1),"REVISIÓN","ELEGIBLE")))</x:f>
      </x:c>
      <x:c r="AA178" s="69" t="str">
        <x:f>IF(A178="","",IF(Z178="BLOQUEADA",0,ROUND(100*(IF(M178="",1.5,M178)+IF(N178="",1.5,N178)+IF(O178="",1.5,O178)+IF(P178="",1.5,P178))/12,1)))</x:f>
      </x:c>
      <x:c r="AB178" s="69" t="str">
        <x:f>IF(A178="","",IF(Z178="BLOQUEADA",0,ROUND(100*IF(Q178="",1.5,Q178)/3,1)))</x:f>
      </x:c>
      <x:c r="AC178" s="69" t="str">
        <x:f>IF(A178="","",IF(Z178="BLOQUEADA",0,ROUND(100*IF(R178="",1.5,R178)/3,1)))</x:f>
      </x:c>
      <x:c r="AD178" s="69" t="str">
        <x:f>IF(A178="","",IF(Z178="BLOQUEADA",0,ROUND(100*IF(S178="",1.5,S178)/3,1)))</x:f>
      </x:c>
      <x:c r="AE178" s="69" t="str">
        <x:f>IF(A178="","",IF(Z178="BLOQUEADA",0,ROUND(100*IF(T178="",1.5,T178)/3,1)))</x:f>
      </x:c>
      <x:c r="AF178" s="69" t="str">
        <x:f>IF(A178="","",IF(Z178="BLOQUEADA",0,ROUND(100*IF(U178="",1.5,U178)/3,1)))</x:f>
      </x:c>
      <x:c r="AG178" s="69" t="str">
        <x:f>IF(A178="","",ROUND(IF(Z178="BLOQUEADA",100,(X178*10)+(V178*8)+(W178*8)),1))</x:f>
      </x:c>
      <x:c r="AH178" s="69" t="str">
        <x:f>IF(A178="","",IF(Z178="BLOQUEADA",0,MAX(0,ROUND(0.30*AA178+0.20*AB178+0.15*AC178+0.15*AD178+0.10*AE178+0.10*AF178-AG178,1))))</x:f>
      </x:c>
      <x:c r="AI178" s="69" t="str">
        <x:f>IF(A178="","",IF(Z178="ELEGIBLE",RANK.EQ(AH178,$AH$2:$AH$201,0),""))</x:f>
      </x:c>
      <x:c r="AJ178" s="69" t="str">
        <x:f>IF(A178="","",IF(Z178="BLOQUEADA","No aplica",IF(Z178="REVISIÓN","Slot 8 posible: exploratorio",IF(AI178&lt;=5,"Slot 1-5: alto potencial",IF(R178&gt;=2.5,"Slot 6: handoff/dependencia",IF(S178&gt;=2.5,"Slot 7: transformación/objeto",IF(AND(K178&gt;=1,U178&gt;=2),"Slot 8 posible: exploratorio","Backlog/contexto")))))))</x:f>
      </x:c>
      <x:c r="AK178" s="69" t="str">
        <x:f>IF(A178="","",IF(Z178="BLOQUEADA","No seleccionable",IF(Z178="REVISIÓN","Revisión para slot exploratorio",IF(AI178&lt;=8,"Primaria propuesta","Contexto no primario"))))</x:f>
      </x:c>
      <x:c r="AL178" s="69" t="str">
        <x:f>IF(A178="","",IF(OR(Z178="REVISIÓN",Y178&gt;=3,V178&gt;=2),"Sí","No"))</x:f>
      </x:c>
      <x:c r="AM178" s="69" t="str">
        <x:f>IF(A178="","",IF(AK178="Primaria propuesta","Primaria propuesta",IF(AK178="Revisión para slot exploratorio","Revisión / posible primaria exploratoria",IF(AK178="No seleccionable","No seleccionable","Contexto no primario"))))</x:f>
      </x:c>
      <x:c r="AN178" s="69" t="str">
        <x:f>IF(A178="","",IF(AM178="Primaria propuesta",IF(AH178&gt;=75,"40+20 probable",IF(AH178&gt;=55,"40 base + causales selectivas","40 base + probes mínimos")),IF(AM178="Revisión / posible primaria exploratoria","B0/B0.5 reconstrucción antes de Runtime","No abre Runtime profundo")))</x:f>
      </x:c>
      <x:c r="AO178" s="69" t="str">
        <x:f>IF(A178="","",IF(Z178="BLOQUEADA","No probe",IF(AH178&gt;=75,"Alta",IF(AH178&gt;=55,"Media",IF(Z178="REVISIÓN","Exploratoria","Baja")))))</x:f>
      </x:c>
      <x:c r="AP178" s="69" t="str">
        <x:f>IF(A178="","",IF(M178="","unknown",IF(M178&gt;=2,"Prometedora","Débil / validar en B0.5-B1")))</x:f>
      </x:c>
      <x:c r="AQ178" s="69" t="str">
        <x:f>IF(A178="","",IF(N178="","unknown",IF(N178&gt;=2,"Prometedora","Débil / validar en B2")))</x:f>
      </x:c>
      <x:c r="AR178" s="69" t="str">
        <x:f>IF(A178="","",IF(O178="","unknown",IF(O178&gt;=2,"Prometedora","Débil / validar en B3-B4")))</x:f>
      </x:c>
      <x:c r="AS178" s="69" t="str">
        <x:f>IF(A178="","",IF(P178="","unknown",IF(P178&gt;=2,"Prometedora","Débil / validar en B2-B4")))</x:f>
      </x:c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 t="str">
        <x:f>IF(A179="","",COUNTBLANK(M179:P179))</x:f>
      </x:c>
      <x:c r="Z179" s="69" t="str">
        <x:f>IF(A179="","",IF(OR(E179="",G179="No",H179="No",I179="Responsabilidad genérica",I179="Demasiado amplia",I179="Microtarea",J179="Duplicado evidente"),"BLOQUEADA",IF(OR(I179="Ambigua",L179&lt;1,K179&lt;1),"REVISIÓN","ELEGIBLE")))</x:f>
      </x:c>
      <x:c r="AA179" s="69" t="str">
        <x:f>IF(A179="","",IF(Z179="BLOQUEADA",0,ROUND(100*(IF(M179="",1.5,M179)+IF(N179="",1.5,N179)+IF(O179="",1.5,O179)+IF(P179="",1.5,P179))/12,1)))</x:f>
      </x:c>
      <x:c r="AB179" s="69" t="str">
        <x:f>IF(A179="","",IF(Z179="BLOQUEADA",0,ROUND(100*IF(Q179="",1.5,Q179)/3,1)))</x:f>
      </x:c>
      <x:c r="AC179" s="69" t="str">
        <x:f>IF(A179="","",IF(Z179="BLOQUEADA",0,ROUND(100*IF(R179="",1.5,R179)/3,1)))</x:f>
      </x:c>
      <x:c r="AD179" s="69" t="str">
        <x:f>IF(A179="","",IF(Z179="BLOQUEADA",0,ROUND(100*IF(S179="",1.5,S179)/3,1)))</x:f>
      </x:c>
      <x:c r="AE179" s="69" t="str">
        <x:f>IF(A179="","",IF(Z179="BLOQUEADA",0,ROUND(100*IF(T179="",1.5,T179)/3,1)))</x:f>
      </x:c>
      <x:c r="AF179" s="69" t="str">
        <x:f>IF(A179="","",IF(Z179="BLOQUEADA",0,ROUND(100*IF(U179="",1.5,U179)/3,1)))</x:f>
      </x:c>
      <x:c r="AG179" s="69" t="str">
        <x:f>IF(A179="","",ROUND(IF(Z179="BLOQUEADA",100,(X179*10)+(V179*8)+(W179*8)),1))</x:f>
      </x:c>
      <x:c r="AH179" s="69" t="str">
        <x:f>IF(A179="","",IF(Z179="BLOQUEADA",0,MAX(0,ROUND(0.30*AA179+0.20*AB179+0.15*AC179+0.15*AD179+0.10*AE179+0.10*AF179-AG179,1))))</x:f>
      </x:c>
      <x:c r="AI179" s="69" t="str">
        <x:f>IF(A179="","",IF(Z179="ELEGIBLE",RANK.EQ(AH179,$AH$2:$AH$201,0),""))</x:f>
      </x:c>
      <x:c r="AJ179" s="69" t="str">
        <x:f>IF(A179="","",IF(Z179="BLOQUEADA","No aplica",IF(Z179="REVISIÓN","Slot 8 posible: exploratorio",IF(AI179&lt;=5,"Slot 1-5: alto potencial",IF(R179&gt;=2.5,"Slot 6: handoff/dependencia",IF(S179&gt;=2.5,"Slot 7: transformación/objeto",IF(AND(K179&gt;=1,U179&gt;=2),"Slot 8 posible: exploratorio","Backlog/contexto")))))))</x:f>
      </x:c>
      <x:c r="AK179" s="69" t="str">
        <x:f>IF(A179="","",IF(Z179="BLOQUEADA","No seleccionable",IF(Z179="REVISIÓN","Revisión para slot exploratorio",IF(AI179&lt;=8,"Primaria propuesta","Contexto no primario"))))</x:f>
      </x:c>
      <x:c r="AL179" s="69" t="str">
        <x:f>IF(A179="","",IF(OR(Z179="REVISIÓN",Y179&gt;=3,V179&gt;=2),"Sí","No"))</x:f>
      </x:c>
      <x:c r="AM179" s="69" t="str">
        <x:f>IF(A179="","",IF(AK179="Primaria propuesta","Primaria propuesta",IF(AK179="Revisión para slot exploratorio","Revisión / posible primaria exploratoria",IF(AK179="No seleccionable","No seleccionable","Contexto no primario"))))</x:f>
      </x:c>
      <x:c r="AN179" s="69" t="str">
        <x:f>IF(A179="","",IF(AM179="Primaria propuesta",IF(AH179&gt;=75,"40+20 probable",IF(AH179&gt;=55,"40 base + causales selectivas","40 base + probes mínimos")),IF(AM179="Revisión / posible primaria exploratoria","B0/B0.5 reconstrucción antes de Runtime","No abre Runtime profundo")))</x:f>
      </x:c>
      <x:c r="AO179" s="69" t="str">
        <x:f>IF(A179="","",IF(Z179="BLOQUEADA","No probe",IF(AH179&gt;=75,"Alta",IF(AH179&gt;=55,"Media",IF(Z179="REVISIÓN","Exploratoria","Baja")))))</x:f>
      </x:c>
      <x:c r="AP179" s="69" t="str">
        <x:f>IF(A179="","",IF(M179="","unknown",IF(M179&gt;=2,"Prometedora","Débil / validar en B0.5-B1")))</x:f>
      </x:c>
      <x:c r="AQ179" s="69" t="str">
        <x:f>IF(A179="","",IF(N179="","unknown",IF(N179&gt;=2,"Prometedora","Débil / validar en B2")))</x:f>
      </x:c>
      <x:c r="AR179" s="69" t="str">
        <x:f>IF(A179="","",IF(O179="","unknown",IF(O179&gt;=2,"Prometedora","Débil / validar en B3-B4")))</x:f>
      </x:c>
      <x:c r="AS179" s="69" t="str">
        <x:f>IF(A179="","",IF(P179="","unknown",IF(P179&gt;=2,"Prometedora","Débil / validar en B2-B4")))</x:f>
      </x:c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 t="str">
        <x:f>IF(A180="","",COUNTBLANK(M180:P180))</x:f>
      </x:c>
      <x:c r="Z180" s="69" t="str">
        <x:f>IF(A180="","",IF(OR(E180="",G180="No",H180="No",I180="Responsabilidad genérica",I180="Demasiado amplia",I180="Microtarea",J180="Duplicado evidente"),"BLOQUEADA",IF(OR(I180="Ambigua",L180&lt;1,K180&lt;1),"REVISIÓN","ELEGIBLE")))</x:f>
      </x:c>
      <x:c r="AA180" s="69" t="str">
        <x:f>IF(A180="","",IF(Z180="BLOQUEADA",0,ROUND(100*(IF(M180="",1.5,M180)+IF(N180="",1.5,N180)+IF(O180="",1.5,O180)+IF(P180="",1.5,P180))/12,1)))</x:f>
      </x:c>
      <x:c r="AB180" s="69" t="str">
        <x:f>IF(A180="","",IF(Z180="BLOQUEADA",0,ROUND(100*IF(Q180="",1.5,Q180)/3,1)))</x:f>
      </x:c>
      <x:c r="AC180" s="69" t="str">
        <x:f>IF(A180="","",IF(Z180="BLOQUEADA",0,ROUND(100*IF(R180="",1.5,R180)/3,1)))</x:f>
      </x:c>
      <x:c r="AD180" s="69" t="str">
        <x:f>IF(A180="","",IF(Z180="BLOQUEADA",0,ROUND(100*IF(S180="",1.5,S180)/3,1)))</x:f>
      </x:c>
      <x:c r="AE180" s="69" t="str">
        <x:f>IF(A180="","",IF(Z180="BLOQUEADA",0,ROUND(100*IF(T180="",1.5,T180)/3,1)))</x:f>
      </x:c>
      <x:c r="AF180" s="69" t="str">
        <x:f>IF(A180="","",IF(Z180="BLOQUEADA",0,ROUND(100*IF(U180="",1.5,U180)/3,1)))</x:f>
      </x:c>
      <x:c r="AG180" s="69" t="str">
        <x:f>IF(A180="","",ROUND(IF(Z180="BLOQUEADA",100,(X180*10)+(V180*8)+(W180*8)),1))</x:f>
      </x:c>
      <x:c r="AH180" s="69" t="str">
        <x:f>IF(A180="","",IF(Z180="BLOQUEADA",0,MAX(0,ROUND(0.30*AA180+0.20*AB180+0.15*AC180+0.15*AD180+0.10*AE180+0.10*AF180-AG180,1))))</x:f>
      </x:c>
      <x:c r="AI180" s="69" t="str">
        <x:f>IF(A180="","",IF(Z180="ELEGIBLE",RANK.EQ(AH180,$AH$2:$AH$201,0),""))</x:f>
      </x:c>
      <x:c r="AJ180" s="69" t="str">
        <x:f>IF(A180="","",IF(Z180="BLOQUEADA","No aplica",IF(Z180="REVISIÓN","Slot 8 posible: exploratorio",IF(AI180&lt;=5,"Slot 1-5: alto potencial",IF(R180&gt;=2.5,"Slot 6: handoff/dependencia",IF(S180&gt;=2.5,"Slot 7: transformación/objeto",IF(AND(K180&gt;=1,U180&gt;=2),"Slot 8 posible: exploratorio","Backlog/contexto")))))))</x:f>
      </x:c>
      <x:c r="AK180" s="69" t="str">
        <x:f>IF(A180="","",IF(Z180="BLOQUEADA","No seleccionable",IF(Z180="REVISIÓN","Revisión para slot exploratorio",IF(AI180&lt;=8,"Primaria propuesta","Contexto no primario"))))</x:f>
      </x:c>
      <x:c r="AL180" s="69" t="str">
        <x:f>IF(A180="","",IF(OR(Z180="REVISIÓN",Y180&gt;=3,V180&gt;=2),"Sí","No"))</x:f>
      </x:c>
      <x:c r="AM180" s="69" t="str">
        <x:f>IF(A180="","",IF(AK180="Primaria propuesta","Primaria propuesta",IF(AK180="Revisión para slot exploratorio","Revisión / posible primaria exploratoria",IF(AK180="No seleccionable","No seleccionable","Contexto no primario"))))</x:f>
      </x:c>
      <x:c r="AN180" s="69" t="str">
        <x:f>IF(A180="","",IF(AM180="Primaria propuesta",IF(AH180&gt;=75,"40+20 probable",IF(AH180&gt;=55,"40 base + causales selectivas","40 base + probes mínimos")),IF(AM180="Revisión / posible primaria exploratoria","B0/B0.5 reconstrucción antes de Runtime","No abre Runtime profundo")))</x:f>
      </x:c>
      <x:c r="AO180" s="69" t="str">
        <x:f>IF(A180="","",IF(Z180="BLOQUEADA","No probe",IF(AH180&gt;=75,"Alta",IF(AH180&gt;=55,"Media",IF(Z180="REVISIÓN","Exploratoria","Baja")))))</x:f>
      </x:c>
      <x:c r="AP180" s="69" t="str">
        <x:f>IF(A180="","",IF(M180="","unknown",IF(M180&gt;=2,"Prometedora","Débil / validar en B0.5-B1")))</x:f>
      </x:c>
      <x:c r="AQ180" s="69" t="str">
        <x:f>IF(A180="","",IF(N180="","unknown",IF(N180&gt;=2,"Prometedora","Débil / validar en B2")))</x:f>
      </x:c>
      <x:c r="AR180" s="69" t="str">
        <x:f>IF(A180="","",IF(O180="","unknown",IF(O180&gt;=2,"Prometedora","Débil / validar en B3-B4")))</x:f>
      </x:c>
      <x:c r="AS180" s="69" t="str">
        <x:f>IF(A180="","",IF(P180="","unknown",IF(P180&gt;=2,"Prometedora","Débil / validar en B2-B4")))</x:f>
      </x:c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 t="str">
        <x:f>IF(A181="","",COUNTBLANK(M181:P181))</x:f>
      </x:c>
      <x:c r="Z181" s="69" t="str">
        <x:f>IF(A181="","",IF(OR(E181="",G181="No",H181="No",I181="Responsabilidad genérica",I181="Demasiado amplia",I181="Microtarea",J181="Duplicado evidente"),"BLOQUEADA",IF(OR(I181="Ambigua",L181&lt;1,K181&lt;1),"REVISIÓN","ELEGIBLE")))</x:f>
      </x:c>
      <x:c r="AA181" s="69" t="str">
        <x:f>IF(A181="","",IF(Z181="BLOQUEADA",0,ROUND(100*(IF(M181="",1.5,M181)+IF(N181="",1.5,N181)+IF(O181="",1.5,O181)+IF(P181="",1.5,P181))/12,1)))</x:f>
      </x:c>
      <x:c r="AB181" s="69" t="str">
        <x:f>IF(A181="","",IF(Z181="BLOQUEADA",0,ROUND(100*IF(Q181="",1.5,Q181)/3,1)))</x:f>
      </x:c>
      <x:c r="AC181" s="69" t="str">
        <x:f>IF(A181="","",IF(Z181="BLOQUEADA",0,ROUND(100*IF(R181="",1.5,R181)/3,1)))</x:f>
      </x:c>
      <x:c r="AD181" s="69" t="str">
        <x:f>IF(A181="","",IF(Z181="BLOQUEADA",0,ROUND(100*IF(S181="",1.5,S181)/3,1)))</x:f>
      </x:c>
      <x:c r="AE181" s="69" t="str">
        <x:f>IF(A181="","",IF(Z181="BLOQUEADA",0,ROUND(100*IF(T181="",1.5,T181)/3,1)))</x:f>
      </x:c>
      <x:c r="AF181" s="69" t="str">
        <x:f>IF(A181="","",IF(Z181="BLOQUEADA",0,ROUND(100*IF(U181="",1.5,U181)/3,1)))</x:f>
      </x:c>
      <x:c r="AG181" s="69" t="str">
        <x:f>IF(A181="","",ROUND(IF(Z181="BLOQUEADA",100,(X181*10)+(V181*8)+(W181*8)),1))</x:f>
      </x:c>
      <x:c r="AH181" s="69" t="str">
        <x:f>IF(A181="","",IF(Z181="BLOQUEADA",0,MAX(0,ROUND(0.30*AA181+0.20*AB181+0.15*AC181+0.15*AD181+0.10*AE181+0.10*AF181-AG181,1))))</x:f>
      </x:c>
      <x:c r="AI181" s="69" t="str">
        <x:f>IF(A181="","",IF(Z181="ELEGIBLE",RANK.EQ(AH181,$AH$2:$AH$201,0),""))</x:f>
      </x:c>
      <x:c r="AJ181" s="69" t="str">
        <x:f>IF(A181="","",IF(Z181="BLOQUEADA","No aplica",IF(Z181="REVISIÓN","Slot 8 posible: exploratorio",IF(AI181&lt;=5,"Slot 1-5: alto potencial",IF(R181&gt;=2.5,"Slot 6: handoff/dependencia",IF(S181&gt;=2.5,"Slot 7: transformación/objeto",IF(AND(K181&gt;=1,U181&gt;=2),"Slot 8 posible: exploratorio","Backlog/contexto")))))))</x:f>
      </x:c>
      <x:c r="AK181" s="69" t="str">
        <x:f>IF(A181="","",IF(Z181="BLOQUEADA","No seleccionable",IF(Z181="REVISIÓN","Revisión para slot exploratorio",IF(AI181&lt;=8,"Primaria propuesta","Contexto no primario"))))</x:f>
      </x:c>
      <x:c r="AL181" s="69" t="str">
        <x:f>IF(A181="","",IF(OR(Z181="REVISIÓN",Y181&gt;=3,V181&gt;=2),"Sí","No"))</x:f>
      </x:c>
      <x:c r="AM181" s="69" t="str">
        <x:f>IF(A181="","",IF(AK181="Primaria propuesta","Primaria propuesta",IF(AK181="Revisión para slot exploratorio","Revisión / posible primaria exploratoria",IF(AK181="No seleccionable","No seleccionable","Contexto no primario"))))</x:f>
      </x:c>
      <x:c r="AN181" s="69" t="str">
        <x:f>IF(A181="","",IF(AM181="Primaria propuesta",IF(AH181&gt;=75,"40+20 probable",IF(AH181&gt;=55,"40 base + causales selectivas","40 base + probes mínimos")),IF(AM181="Revisión / posible primaria exploratoria","B0/B0.5 reconstrucción antes de Runtime","No abre Runtime profundo")))</x:f>
      </x:c>
      <x:c r="AO181" s="69" t="str">
        <x:f>IF(A181="","",IF(Z181="BLOQUEADA","No probe",IF(AH181&gt;=75,"Alta",IF(AH181&gt;=55,"Media",IF(Z181="REVISIÓN","Exploratoria","Baja")))))</x:f>
      </x:c>
      <x:c r="AP181" s="69" t="str">
        <x:f>IF(A181="","",IF(M181="","unknown",IF(M181&gt;=2,"Prometedora","Débil / validar en B0.5-B1")))</x:f>
      </x:c>
      <x:c r="AQ181" s="69" t="str">
        <x:f>IF(A181="","",IF(N181="","unknown",IF(N181&gt;=2,"Prometedora","Débil / validar en B2")))</x:f>
      </x:c>
      <x:c r="AR181" s="69" t="str">
        <x:f>IF(A181="","",IF(O181="","unknown",IF(O181&gt;=2,"Prometedora","Débil / validar en B3-B4")))</x:f>
      </x:c>
      <x:c r="AS181" s="69" t="str">
        <x:f>IF(A181="","",IF(P181="","unknown",IF(P181&gt;=2,"Prometedora","Débil / validar en B2-B4")))</x:f>
      </x:c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 t="str">
        <x:f>IF(A182="","",COUNTBLANK(M182:P182))</x:f>
      </x:c>
      <x:c r="Z182" s="69" t="str">
        <x:f>IF(A182="","",IF(OR(E182="",G182="No",H182="No",I182="Responsabilidad genérica",I182="Demasiado amplia",I182="Microtarea",J182="Duplicado evidente"),"BLOQUEADA",IF(OR(I182="Ambigua",L182&lt;1,K182&lt;1),"REVISIÓN","ELEGIBLE")))</x:f>
      </x:c>
      <x:c r="AA182" s="69" t="str">
        <x:f>IF(A182="","",IF(Z182="BLOQUEADA",0,ROUND(100*(IF(M182="",1.5,M182)+IF(N182="",1.5,N182)+IF(O182="",1.5,O182)+IF(P182="",1.5,P182))/12,1)))</x:f>
      </x:c>
      <x:c r="AB182" s="69" t="str">
        <x:f>IF(A182="","",IF(Z182="BLOQUEADA",0,ROUND(100*IF(Q182="",1.5,Q182)/3,1)))</x:f>
      </x:c>
      <x:c r="AC182" s="69" t="str">
        <x:f>IF(A182="","",IF(Z182="BLOQUEADA",0,ROUND(100*IF(R182="",1.5,R182)/3,1)))</x:f>
      </x:c>
      <x:c r="AD182" s="69" t="str">
        <x:f>IF(A182="","",IF(Z182="BLOQUEADA",0,ROUND(100*IF(S182="",1.5,S182)/3,1)))</x:f>
      </x:c>
      <x:c r="AE182" s="69" t="str">
        <x:f>IF(A182="","",IF(Z182="BLOQUEADA",0,ROUND(100*IF(T182="",1.5,T182)/3,1)))</x:f>
      </x:c>
      <x:c r="AF182" s="69" t="str">
        <x:f>IF(A182="","",IF(Z182="BLOQUEADA",0,ROUND(100*IF(U182="",1.5,U182)/3,1)))</x:f>
      </x:c>
      <x:c r="AG182" s="69" t="str">
        <x:f>IF(A182="","",ROUND(IF(Z182="BLOQUEADA",100,(X182*10)+(V182*8)+(W182*8)),1))</x:f>
      </x:c>
      <x:c r="AH182" s="69" t="str">
        <x:f>IF(A182="","",IF(Z182="BLOQUEADA",0,MAX(0,ROUND(0.30*AA182+0.20*AB182+0.15*AC182+0.15*AD182+0.10*AE182+0.10*AF182-AG182,1))))</x:f>
      </x:c>
      <x:c r="AI182" s="69" t="str">
        <x:f>IF(A182="","",IF(Z182="ELEGIBLE",RANK.EQ(AH182,$AH$2:$AH$201,0),""))</x:f>
      </x:c>
      <x:c r="AJ182" s="69" t="str">
        <x:f>IF(A182="","",IF(Z182="BLOQUEADA","No aplica",IF(Z182="REVISIÓN","Slot 8 posible: exploratorio",IF(AI182&lt;=5,"Slot 1-5: alto potencial",IF(R182&gt;=2.5,"Slot 6: handoff/dependencia",IF(S182&gt;=2.5,"Slot 7: transformación/objeto",IF(AND(K182&gt;=1,U182&gt;=2),"Slot 8 posible: exploratorio","Backlog/contexto")))))))</x:f>
      </x:c>
      <x:c r="AK182" s="69" t="str">
        <x:f>IF(A182="","",IF(Z182="BLOQUEADA","No seleccionable",IF(Z182="REVISIÓN","Revisión para slot exploratorio",IF(AI182&lt;=8,"Primaria propuesta","Contexto no primario"))))</x:f>
      </x:c>
      <x:c r="AL182" s="69" t="str">
        <x:f>IF(A182="","",IF(OR(Z182="REVISIÓN",Y182&gt;=3,V182&gt;=2),"Sí","No"))</x:f>
      </x:c>
      <x:c r="AM182" s="69" t="str">
        <x:f>IF(A182="","",IF(AK182="Primaria propuesta","Primaria propuesta",IF(AK182="Revisión para slot exploratorio","Revisión / posible primaria exploratoria",IF(AK182="No seleccionable","No seleccionable","Contexto no primario"))))</x:f>
      </x:c>
      <x:c r="AN182" s="69" t="str">
        <x:f>IF(A182="","",IF(AM182="Primaria propuesta",IF(AH182&gt;=75,"40+20 probable",IF(AH182&gt;=55,"40 base + causales selectivas","40 base + probes mínimos")),IF(AM182="Revisión / posible primaria exploratoria","B0/B0.5 reconstrucción antes de Runtime","No abre Runtime profundo")))</x:f>
      </x:c>
      <x:c r="AO182" s="69" t="str">
        <x:f>IF(A182="","",IF(Z182="BLOQUEADA","No probe",IF(AH182&gt;=75,"Alta",IF(AH182&gt;=55,"Media",IF(Z182="REVISIÓN","Exploratoria","Baja")))))</x:f>
      </x:c>
      <x:c r="AP182" s="69" t="str">
        <x:f>IF(A182="","",IF(M182="","unknown",IF(M182&gt;=2,"Prometedora","Débil / validar en B0.5-B1")))</x:f>
      </x:c>
      <x:c r="AQ182" s="69" t="str">
        <x:f>IF(A182="","",IF(N182="","unknown",IF(N182&gt;=2,"Prometedora","Débil / validar en B2")))</x:f>
      </x:c>
      <x:c r="AR182" s="69" t="str">
        <x:f>IF(A182="","",IF(O182="","unknown",IF(O182&gt;=2,"Prometedora","Débil / validar en B3-B4")))</x:f>
      </x:c>
      <x:c r="AS182" s="69" t="str">
        <x:f>IF(A182="","",IF(P182="","unknown",IF(P182&gt;=2,"Prometedora","Débil / validar en B2-B4")))</x:f>
      </x:c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 t="str">
        <x:f>IF(A183="","",COUNTBLANK(M183:P183))</x:f>
      </x:c>
      <x:c r="Z183" s="69" t="str">
        <x:f>IF(A183="","",IF(OR(E183="",G183="No",H183="No",I183="Responsabilidad genérica",I183="Demasiado amplia",I183="Microtarea",J183="Duplicado evidente"),"BLOQUEADA",IF(OR(I183="Ambigua",L183&lt;1,K183&lt;1),"REVISIÓN","ELEGIBLE")))</x:f>
      </x:c>
      <x:c r="AA183" s="69" t="str">
        <x:f>IF(A183="","",IF(Z183="BLOQUEADA",0,ROUND(100*(IF(M183="",1.5,M183)+IF(N183="",1.5,N183)+IF(O183="",1.5,O183)+IF(P183="",1.5,P183))/12,1)))</x:f>
      </x:c>
      <x:c r="AB183" s="69" t="str">
        <x:f>IF(A183="","",IF(Z183="BLOQUEADA",0,ROUND(100*IF(Q183="",1.5,Q183)/3,1)))</x:f>
      </x:c>
      <x:c r="AC183" s="69" t="str">
        <x:f>IF(A183="","",IF(Z183="BLOQUEADA",0,ROUND(100*IF(R183="",1.5,R183)/3,1)))</x:f>
      </x:c>
      <x:c r="AD183" s="69" t="str">
        <x:f>IF(A183="","",IF(Z183="BLOQUEADA",0,ROUND(100*IF(S183="",1.5,S183)/3,1)))</x:f>
      </x:c>
      <x:c r="AE183" s="69" t="str">
        <x:f>IF(A183="","",IF(Z183="BLOQUEADA",0,ROUND(100*IF(T183="",1.5,T183)/3,1)))</x:f>
      </x:c>
      <x:c r="AF183" s="69" t="str">
        <x:f>IF(A183="","",IF(Z183="BLOQUEADA",0,ROUND(100*IF(U183="",1.5,U183)/3,1)))</x:f>
      </x:c>
      <x:c r="AG183" s="69" t="str">
        <x:f>IF(A183="","",ROUND(IF(Z183="BLOQUEADA",100,(X183*10)+(V183*8)+(W183*8)),1))</x:f>
      </x:c>
      <x:c r="AH183" s="69" t="str">
        <x:f>IF(A183="","",IF(Z183="BLOQUEADA",0,MAX(0,ROUND(0.30*AA183+0.20*AB183+0.15*AC183+0.15*AD183+0.10*AE183+0.10*AF183-AG183,1))))</x:f>
      </x:c>
      <x:c r="AI183" s="69" t="str">
        <x:f>IF(A183="","",IF(Z183="ELEGIBLE",RANK.EQ(AH183,$AH$2:$AH$201,0),""))</x:f>
      </x:c>
      <x:c r="AJ183" s="69" t="str">
        <x:f>IF(A183="","",IF(Z183="BLOQUEADA","No aplica",IF(Z183="REVISIÓN","Slot 8 posible: exploratorio",IF(AI183&lt;=5,"Slot 1-5: alto potencial",IF(R183&gt;=2.5,"Slot 6: handoff/dependencia",IF(S183&gt;=2.5,"Slot 7: transformación/objeto",IF(AND(K183&gt;=1,U183&gt;=2),"Slot 8 posible: exploratorio","Backlog/contexto")))))))</x:f>
      </x:c>
      <x:c r="AK183" s="69" t="str">
        <x:f>IF(A183="","",IF(Z183="BLOQUEADA","No seleccionable",IF(Z183="REVISIÓN","Revisión para slot exploratorio",IF(AI183&lt;=8,"Primaria propuesta","Contexto no primario"))))</x:f>
      </x:c>
      <x:c r="AL183" s="69" t="str">
        <x:f>IF(A183="","",IF(OR(Z183="REVISIÓN",Y183&gt;=3,V183&gt;=2),"Sí","No"))</x:f>
      </x:c>
      <x:c r="AM183" s="69" t="str">
        <x:f>IF(A183="","",IF(AK183="Primaria propuesta","Primaria propuesta",IF(AK183="Revisión para slot exploratorio","Revisión / posible primaria exploratoria",IF(AK183="No seleccionable","No seleccionable","Contexto no primario"))))</x:f>
      </x:c>
      <x:c r="AN183" s="69" t="str">
        <x:f>IF(A183="","",IF(AM183="Primaria propuesta",IF(AH183&gt;=75,"40+20 probable",IF(AH183&gt;=55,"40 base + causales selectivas","40 base + probes mínimos")),IF(AM183="Revisión / posible primaria exploratoria","B0/B0.5 reconstrucción antes de Runtime","No abre Runtime profundo")))</x:f>
      </x:c>
      <x:c r="AO183" s="69" t="str">
        <x:f>IF(A183="","",IF(Z183="BLOQUEADA","No probe",IF(AH183&gt;=75,"Alta",IF(AH183&gt;=55,"Media",IF(Z183="REVISIÓN","Exploratoria","Baja")))))</x:f>
      </x:c>
      <x:c r="AP183" s="69" t="str">
        <x:f>IF(A183="","",IF(M183="","unknown",IF(M183&gt;=2,"Prometedora","Débil / validar en B0.5-B1")))</x:f>
      </x:c>
      <x:c r="AQ183" s="69" t="str">
        <x:f>IF(A183="","",IF(N183="","unknown",IF(N183&gt;=2,"Prometedora","Débil / validar en B2")))</x:f>
      </x:c>
      <x:c r="AR183" s="69" t="str">
        <x:f>IF(A183="","",IF(O183="","unknown",IF(O183&gt;=2,"Prometedora","Débil / validar en B3-B4")))</x:f>
      </x:c>
      <x:c r="AS183" s="69" t="str">
        <x:f>IF(A183="","",IF(P183="","unknown",IF(P183&gt;=2,"Prometedora","Débil / validar en B2-B4")))</x:f>
      </x:c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 t="str">
        <x:f>IF(A184="","",COUNTBLANK(M184:P184))</x:f>
      </x:c>
      <x:c r="Z184" s="69" t="str">
        <x:f>IF(A184="","",IF(OR(E184="",G184="No",H184="No",I184="Responsabilidad genérica",I184="Demasiado amplia",I184="Microtarea",J184="Duplicado evidente"),"BLOQUEADA",IF(OR(I184="Ambigua",L184&lt;1,K184&lt;1),"REVISIÓN","ELEGIBLE")))</x:f>
      </x:c>
      <x:c r="AA184" s="69" t="str">
        <x:f>IF(A184="","",IF(Z184="BLOQUEADA",0,ROUND(100*(IF(M184="",1.5,M184)+IF(N184="",1.5,N184)+IF(O184="",1.5,O184)+IF(P184="",1.5,P184))/12,1)))</x:f>
      </x:c>
      <x:c r="AB184" s="69" t="str">
        <x:f>IF(A184="","",IF(Z184="BLOQUEADA",0,ROUND(100*IF(Q184="",1.5,Q184)/3,1)))</x:f>
      </x:c>
      <x:c r="AC184" s="69" t="str">
        <x:f>IF(A184="","",IF(Z184="BLOQUEADA",0,ROUND(100*IF(R184="",1.5,R184)/3,1)))</x:f>
      </x:c>
      <x:c r="AD184" s="69" t="str">
        <x:f>IF(A184="","",IF(Z184="BLOQUEADA",0,ROUND(100*IF(S184="",1.5,S184)/3,1)))</x:f>
      </x:c>
      <x:c r="AE184" s="69" t="str">
        <x:f>IF(A184="","",IF(Z184="BLOQUEADA",0,ROUND(100*IF(T184="",1.5,T184)/3,1)))</x:f>
      </x:c>
      <x:c r="AF184" s="69" t="str">
        <x:f>IF(A184="","",IF(Z184="BLOQUEADA",0,ROUND(100*IF(U184="",1.5,U184)/3,1)))</x:f>
      </x:c>
      <x:c r="AG184" s="69" t="str">
        <x:f>IF(A184="","",ROUND(IF(Z184="BLOQUEADA",100,(X184*10)+(V184*8)+(W184*8)),1))</x:f>
      </x:c>
      <x:c r="AH184" s="69" t="str">
        <x:f>IF(A184="","",IF(Z184="BLOQUEADA",0,MAX(0,ROUND(0.30*AA184+0.20*AB184+0.15*AC184+0.15*AD184+0.10*AE184+0.10*AF184-AG184,1))))</x:f>
      </x:c>
      <x:c r="AI184" s="69" t="str">
        <x:f>IF(A184="","",IF(Z184="ELEGIBLE",RANK.EQ(AH184,$AH$2:$AH$201,0),""))</x:f>
      </x:c>
      <x:c r="AJ184" s="69" t="str">
        <x:f>IF(A184="","",IF(Z184="BLOQUEADA","No aplica",IF(Z184="REVISIÓN","Slot 8 posible: exploratorio",IF(AI184&lt;=5,"Slot 1-5: alto potencial",IF(R184&gt;=2.5,"Slot 6: handoff/dependencia",IF(S184&gt;=2.5,"Slot 7: transformación/objeto",IF(AND(K184&gt;=1,U184&gt;=2),"Slot 8 posible: exploratorio","Backlog/contexto")))))))</x:f>
      </x:c>
      <x:c r="AK184" s="69" t="str">
        <x:f>IF(A184="","",IF(Z184="BLOQUEADA","No seleccionable",IF(Z184="REVISIÓN","Revisión para slot exploratorio",IF(AI184&lt;=8,"Primaria propuesta","Contexto no primario"))))</x:f>
      </x:c>
      <x:c r="AL184" s="69" t="str">
        <x:f>IF(A184="","",IF(OR(Z184="REVISIÓN",Y184&gt;=3,V184&gt;=2),"Sí","No"))</x:f>
      </x:c>
      <x:c r="AM184" s="69" t="str">
        <x:f>IF(A184="","",IF(AK184="Primaria propuesta","Primaria propuesta",IF(AK184="Revisión para slot exploratorio","Revisión / posible primaria exploratoria",IF(AK184="No seleccionable","No seleccionable","Contexto no primario"))))</x:f>
      </x:c>
      <x:c r="AN184" s="69" t="str">
        <x:f>IF(A184="","",IF(AM184="Primaria propuesta",IF(AH184&gt;=75,"40+20 probable",IF(AH184&gt;=55,"40 base + causales selectivas","40 base + probes mínimos")),IF(AM184="Revisión / posible primaria exploratoria","B0/B0.5 reconstrucción antes de Runtime","No abre Runtime profundo")))</x:f>
      </x:c>
      <x:c r="AO184" s="69" t="str">
        <x:f>IF(A184="","",IF(Z184="BLOQUEADA","No probe",IF(AH184&gt;=75,"Alta",IF(AH184&gt;=55,"Media",IF(Z184="REVISIÓN","Exploratoria","Baja")))))</x:f>
      </x:c>
      <x:c r="AP184" s="69" t="str">
        <x:f>IF(A184="","",IF(M184="","unknown",IF(M184&gt;=2,"Prometedora","Débil / validar en B0.5-B1")))</x:f>
      </x:c>
      <x:c r="AQ184" s="69" t="str">
        <x:f>IF(A184="","",IF(N184="","unknown",IF(N184&gt;=2,"Prometedora","Débil / validar en B2")))</x:f>
      </x:c>
      <x:c r="AR184" s="69" t="str">
        <x:f>IF(A184="","",IF(O184="","unknown",IF(O184&gt;=2,"Prometedora","Débil / validar en B3-B4")))</x:f>
      </x:c>
      <x:c r="AS184" s="69" t="str">
        <x:f>IF(A184="","",IF(P184="","unknown",IF(P184&gt;=2,"Prometedora","Débil / validar en B2-B4")))</x:f>
      </x:c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 t="str">
        <x:f>IF(A185="","",COUNTBLANK(M185:P185))</x:f>
      </x:c>
      <x:c r="Z185" s="69" t="str">
        <x:f>IF(A185="","",IF(OR(E185="",G185="No",H185="No",I185="Responsabilidad genérica",I185="Demasiado amplia",I185="Microtarea",J185="Duplicado evidente"),"BLOQUEADA",IF(OR(I185="Ambigua",L185&lt;1,K185&lt;1),"REVISIÓN","ELEGIBLE")))</x:f>
      </x:c>
      <x:c r="AA185" s="69" t="str">
        <x:f>IF(A185="","",IF(Z185="BLOQUEADA",0,ROUND(100*(IF(M185="",1.5,M185)+IF(N185="",1.5,N185)+IF(O185="",1.5,O185)+IF(P185="",1.5,P185))/12,1)))</x:f>
      </x:c>
      <x:c r="AB185" s="69" t="str">
        <x:f>IF(A185="","",IF(Z185="BLOQUEADA",0,ROUND(100*IF(Q185="",1.5,Q185)/3,1)))</x:f>
      </x:c>
      <x:c r="AC185" s="69" t="str">
        <x:f>IF(A185="","",IF(Z185="BLOQUEADA",0,ROUND(100*IF(R185="",1.5,R185)/3,1)))</x:f>
      </x:c>
      <x:c r="AD185" s="69" t="str">
        <x:f>IF(A185="","",IF(Z185="BLOQUEADA",0,ROUND(100*IF(S185="",1.5,S185)/3,1)))</x:f>
      </x:c>
      <x:c r="AE185" s="69" t="str">
        <x:f>IF(A185="","",IF(Z185="BLOQUEADA",0,ROUND(100*IF(T185="",1.5,T185)/3,1)))</x:f>
      </x:c>
      <x:c r="AF185" s="69" t="str">
        <x:f>IF(A185="","",IF(Z185="BLOQUEADA",0,ROUND(100*IF(U185="",1.5,U185)/3,1)))</x:f>
      </x:c>
      <x:c r="AG185" s="69" t="str">
        <x:f>IF(A185="","",ROUND(IF(Z185="BLOQUEADA",100,(X185*10)+(V185*8)+(W185*8)),1))</x:f>
      </x:c>
      <x:c r="AH185" s="69" t="str">
        <x:f>IF(A185="","",IF(Z185="BLOQUEADA",0,MAX(0,ROUND(0.30*AA185+0.20*AB185+0.15*AC185+0.15*AD185+0.10*AE185+0.10*AF185-AG185,1))))</x:f>
      </x:c>
      <x:c r="AI185" s="69" t="str">
        <x:f>IF(A185="","",IF(Z185="ELEGIBLE",RANK.EQ(AH185,$AH$2:$AH$201,0),""))</x:f>
      </x:c>
      <x:c r="AJ185" s="69" t="str">
        <x:f>IF(A185="","",IF(Z185="BLOQUEADA","No aplica",IF(Z185="REVISIÓN","Slot 8 posible: exploratorio",IF(AI185&lt;=5,"Slot 1-5: alto potencial",IF(R185&gt;=2.5,"Slot 6: handoff/dependencia",IF(S185&gt;=2.5,"Slot 7: transformación/objeto",IF(AND(K185&gt;=1,U185&gt;=2),"Slot 8 posible: exploratorio","Backlog/contexto")))))))</x:f>
      </x:c>
      <x:c r="AK185" s="69" t="str">
        <x:f>IF(A185="","",IF(Z185="BLOQUEADA","No seleccionable",IF(Z185="REVISIÓN","Revisión para slot exploratorio",IF(AI185&lt;=8,"Primaria propuesta","Contexto no primario"))))</x:f>
      </x:c>
      <x:c r="AL185" s="69" t="str">
        <x:f>IF(A185="","",IF(OR(Z185="REVISIÓN",Y185&gt;=3,V185&gt;=2),"Sí","No"))</x:f>
      </x:c>
      <x:c r="AM185" s="69" t="str">
        <x:f>IF(A185="","",IF(AK185="Primaria propuesta","Primaria propuesta",IF(AK185="Revisión para slot exploratorio","Revisión / posible primaria exploratoria",IF(AK185="No seleccionable","No seleccionable","Contexto no primario"))))</x:f>
      </x:c>
      <x:c r="AN185" s="69" t="str">
        <x:f>IF(A185="","",IF(AM185="Primaria propuesta",IF(AH185&gt;=75,"40+20 probable",IF(AH185&gt;=55,"40 base + causales selectivas","40 base + probes mínimos")),IF(AM185="Revisión / posible primaria exploratoria","B0/B0.5 reconstrucción antes de Runtime","No abre Runtime profundo")))</x:f>
      </x:c>
      <x:c r="AO185" s="69" t="str">
        <x:f>IF(A185="","",IF(Z185="BLOQUEADA","No probe",IF(AH185&gt;=75,"Alta",IF(AH185&gt;=55,"Media",IF(Z185="REVISIÓN","Exploratoria","Baja")))))</x:f>
      </x:c>
      <x:c r="AP185" s="69" t="str">
        <x:f>IF(A185="","",IF(M185="","unknown",IF(M185&gt;=2,"Prometedora","Débil / validar en B0.5-B1")))</x:f>
      </x:c>
      <x:c r="AQ185" s="69" t="str">
        <x:f>IF(A185="","",IF(N185="","unknown",IF(N185&gt;=2,"Prometedora","Débil / validar en B2")))</x:f>
      </x:c>
      <x:c r="AR185" s="69" t="str">
        <x:f>IF(A185="","",IF(O185="","unknown",IF(O185&gt;=2,"Prometedora","Débil / validar en B3-B4")))</x:f>
      </x:c>
      <x:c r="AS185" s="69" t="str">
        <x:f>IF(A185="","",IF(P185="","unknown",IF(P185&gt;=2,"Prometedora","Débil / validar en B2-B4")))</x:f>
      </x:c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 t="str">
        <x:f>IF(A186="","",COUNTBLANK(M186:P186))</x:f>
      </x:c>
      <x:c r="Z186" s="69" t="str">
        <x:f>IF(A186="","",IF(OR(E186="",G186="No",H186="No",I186="Responsabilidad genérica",I186="Demasiado amplia",I186="Microtarea",J186="Duplicado evidente"),"BLOQUEADA",IF(OR(I186="Ambigua",L186&lt;1,K186&lt;1),"REVISIÓN","ELEGIBLE")))</x:f>
      </x:c>
      <x:c r="AA186" s="69" t="str">
        <x:f>IF(A186="","",IF(Z186="BLOQUEADA",0,ROUND(100*(IF(M186="",1.5,M186)+IF(N186="",1.5,N186)+IF(O186="",1.5,O186)+IF(P186="",1.5,P186))/12,1)))</x:f>
      </x:c>
      <x:c r="AB186" s="69" t="str">
        <x:f>IF(A186="","",IF(Z186="BLOQUEADA",0,ROUND(100*IF(Q186="",1.5,Q186)/3,1)))</x:f>
      </x:c>
      <x:c r="AC186" s="69" t="str">
        <x:f>IF(A186="","",IF(Z186="BLOQUEADA",0,ROUND(100*IF(R186="",1.5,R186)/3,1)))</x:f>
      </x:c>
      <x:c r="AD186" s="69" t="str">
        <x:f>IF(A186="","",IF(Z186="BLOQUEADA",0,ROUND(100*IF(S186="",1.5,S186)/3,1)))</x:f>
      </x:c>
      <x:c r="AE186" s="69" t="str">
        <x:f>IF(A186="","",IF(Z186="BLOQUEADA",0,ROUND(100*IF(T186="",1.5,T186)/3,1)))</x:f>
      </x:c>
      <x:c r="AF186" s="69" t="str">
        <x:f>IF(A186="","",IF(Z186="BLOQUEADA",0,ROUND(100*IF(U186="",1.5,U186)/3,1)))</x:f>
      </x:c>
      <x:c r="AG186" s="69" t="str">
        <x:f>IF(A186="","",ROUND(IF(Z186="BLOQUEADA",100,(X186*10)+(V186*8)+(W186*8)),1))</x:f>
      </x:c>
      <x:c r="AH186" s="69" t="str">
        <x:f>IF(A186="","",IF(Z186="BLOQUEADA",0,MAX(0,ROUND(0.30*AA186+0.20*AB186+0.15*AC186+0.15*AD186+0.10*AE186+0.10*AF186-AG186,1))))</x:f>
      </x:c>
      <x:c r="AI186" s="69" t="str">
        <x:f>IF(A186="","",IF(Z186="ELEGIBLE",RANK.EQ(AH186,$AH$2:$AH$201,0),""))</x:f>
      </x:c>
      <x:c r="AJ186" s="69" t="str">
        <x:f>IF(A186="","",IF(Z186="BLOQUEADA","No aplica",IF(Z186="REVISIÓN","Slot 8 posible: exploratorio",IF(AI186&lt;=5,"Slot 1-5: alto potencial",IF(R186&gt;=2.5,"Slot 6: handoff/dependencia",IF(S186&gt;=2.5,"Slot 7: transformación/objeto",IF(AND(K186&gt;=1,U186&gt;=2),"Slot 8 posible: exploratorio","Backlog/contexto")))))))</x:f>
      </x:c>
      <x:c r="AK186" s="69" t="str">
        <x:f>IF(A186="","",IF(Z186="BLOQUEADA","No seleccionable",IF(Z186="REVISIÓN","Revisión para slot exploratorio",IF(AI186&lt;=8,"Primaria propuesta","Contexto no primario"))))</x:f>
      </x:c>
      <x:c r="AL186" s="69" t="str">
        <x:f>IF(A186="","",IF(OR(Z186="REVISIÓN",Y186&gt;=3,V186&gt;=2),"Sí","No"))</x:f>
      </x:c>
      <x:c r="AM186" s="69" t="str">
        <x:f>IF(A186="","",IF(AK186="Primaria propuesta","Primaria propuesta",IF(AK186="Revisión para slot exploratorio","Revisión / posible primaria exploratoria",IF(AK186="No seleccionable","No seleccionable","Contexto no primario"))))</x:f>
      </x:c>
      <x:c r="AN186" s="69" t="str">
        <x:f>IF(A186="","",IF(AM186="Primaria propuesta",IF(AH186&gt;=75,"40+20 probable",IF(AH186&gt;=55,"40 base + causales selectivas","40 base + probes mínimos")),IF(AM186="Revisión / posible primaria exploratoria","B0/B0.5 reconstrucción antes de Runtime","No abre Runtime profundo")))</x:f>
      </x:c>
      <x:c r="AO186" s="69" t="str">
        <x:f>IF(A186="","",IF(Z186="BLOQUEADA","No probe",IF(AH186&gt;=75,"Alta",IF(AH186&gt;=55,"Media",IF(Z186="REVISIÓN","Exploratoria","Baja")))))</x:f>
      </x:c>
      <x:c r="AP186" s="69" t="str">
        <x:f>IF(A186="","",IF(M186="","unknown",IF(M186&gt;=2,"Prometedora","Débil / validar en B0.5-B1")))</x:f>
      </x:c>
      <x:c r="AQ186" s="69" t="str">
        <x:f>IF(A186="","",IF(N186="","unknown",IF(N186&gt;=2,"Prometedora","Débil / validar en B2")))</x:f>
      </x:c>
      <x:c r="AR186" s="69" t="str">
        <x:f>IF(A186="","",IF(O186="","unknown",IF(O186&gt;=2,"Prometedora","Débil / validar en B3-B4")))</x:f>
      </x:c>
      <x:c r="AS186" s="69" t="str">
        <x:f>IF(A186="","",IF(P186="","unknown",IF(P186&gt;=2,"Prometedora","Débil / validar en B2-B4")))</x:f>
      </x:c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 t="str">
        <x:f>IF(A187="","",COUNTBLANK(M187:P187))</x:f>
      </x:c>
      <x:c r="Z187" s="69" t="str">
        <x:f>IF(A187="","",IF(OR(E187="",G187="No",H187="No",I187="Responsabilidad genérica",I187="Demasiado amplia",I187="Microtarea",J187="Duplicado evidente"),"BLOQUEADA",IF(OR(I187="Ambigua",L187&lt;1,K187&lt;1),"REVISIÓN","ELEGIBLE")))</x:f>
      </x:c>
      <x:c r="AA187" s="69" t="str">
        <x:f>IF(A187="","",IF(Z187="BLOQUEADA",0,ROUND(100*(IF(M187="",1.5,M187)+IF(N187="",1.5,N187)+IF(O187="",1.5,O187)+IF(P187="",1.5,P187))/12,1)))</x:f>
      </x:c>
      <x:c r="AB187" s="69" t="str">
        <x:f>IF(A187="","",IF(Z187="BLOQUEADA",0,ROUND(100*IF(Q187="",1.5,Q187)/3,1)))</x:f>
      </x:c>
      <x:c r="AC187" s="69" t="str">
        <x:f>IF(A187="","",IF(Z187="BLOQUEADA",0,ROUND(100*IF(R187="",1.5,R187)/3,1)))</x:f>
      </x:c>
      <x:c r="AD187" s="69" t="str">
        <x:f>IF(A187="","",IF(Z187="BLOQUEADA",0,ROUND(100*IF(S187="",1.5,S187)/3,1)))</x:f>
      </x:c>
      <x:c r="AE187" s="69" t="str">
        <x:f>IF(A187="","",IF(Z187="BLOQUEADA",0,ROUND(100*IF(T187="",1.5,T187)/3,1)))</x:f>
      </x:c>
      <x:c r="AF187" s="69" t="str">
        <x:f>IF(A187="","",IF(Z187="BLOQUEADA",0,ROUND(100*IF(U187="",1.5,U187)/3,1)))</x:f>
      </x:c>
      <x:c r="AG187" s="69" t="str">
        <x:f>IF(A187="","",ROUND(IF(Z187="BLOQUEADA",100,(X187*10)+(V187*8)+(W187*8)),1))</x:f>
      </x:c>
      <x:c r="AH187" s="69" t="str">
        <x:f>IF(A187="","",IF(Z187="BLOQUEADA",0,MAX(0,ROUND(0.30*AA187+0.20*AB187+0.15*AC187+0.15*AD187+0.10*AE187+0.10*AF187-AG187,1))))</x:f>
      </x:c>
      <x:c r="AI187" s="69" t="str">
        <x:f>IF(A187="","",IF(Z187="ELEGIBLE",RANK.EQ(AH187,$AH$2:$AH$201,0),""))</x:f>
      </x:c>
      <x:c r="AJ187" s="69" t="str">
        <x:f>IF(A187="","",IF(Z187="BLOQUEADA","No aplica",IF(Z187="REVISIÓN","Slot 8 posible: exploratorio",IF(AI187&lt;=5,"Slot 1-5: alto potencial",IF(R187&gt;=2.5,"Slot 6: handoff/dependencia",IF(S187&gt;=2.5,"Slot 7: transformación/objeto",IF(AND(K187&gt;=1,U187&gt;=2),"Slot 8 posible: exploratorio","Backlog/contexto")))))))</x:f>
      </x:c>
      <x:c r="AK187" s="69" t="str">
        <x:f>IF(A187="","",IF(Z187="BLOQUEADA","No seleccionable",IF(Z187="REVISIÓN","Revisión para slot exploratorio",IF(AI187&lt;=8,"Primaria propuesta","Contexto no primario"))))</x:f>
      </x:c>
      <x:c r="AL187" s="69" t="str">
        <x:f>IF(A187="","",IF(OR(Z187="REVISIÓN",Y187&gt;=3,V187&gt;=2),"Sí","No"))</x:f>
      </x:c>
      <x:c r="AM187" s="69" t="str">
        <x:f>IF(A187="","",IF(AK187="Primaria propuesta","Primaria propuesta",IF(AK187="Revisión para slot exploratorio","Revisión / posible primaria exploratoria",IF(AK187="No seleccionable","No seleccionable","Contexto no primario"))))</x:f>
      </x:c>
      <x:c r="AN187" s="69" t="str">
        <x:f>IF(A187="","",IF(AM187="Primaria propuesta",IF(AH187&gt;=75,"40+20 probable",IF(AH187&gt;=55,"40 base + causales selectivas","40 base + probes mínimos")),IF(AM187="Revisión / posible primaria exploratoria","B0/B0.5 reconstrucción antes de Runtime","No abre Runtime profundo")))</x:f>
      </x:c>
      <x:c r="AO187" s="69" t="str">
        <x:f>IF(A187="","",IF(Z187="BLOQUEADA","No probe",IF(AH187&gt;=75,"Alta",IF(AH187&gt;=55,"Media",IF(Z187="REVISIÓN","Exploratoria","Baja")))))</x:f>
      </x:c>
      <x:c r="AP187" s="69" t="str">
        <x:f>IF(A187="","",IF(M187="","unknown",IF(M187&gt;=2,"Prometedora","Débil / validar en B0.5-B1")))</x:f>
      </x:c>
      <x:c r="AQ187" s="69" t="str">
        <x:f>IF(A187="","",IF(N187="","unknown",IF(N187&gt;=2,"Prometedora","Débil / validar en B2")))</x:f>
      </x:c>
      <x:c r="AR187" s="69" t="str">
        <x:f>IF(A187="","",IF(O187="","unknown",IF(O187&gt;=2,"Prometedora","Débil / validar en B3-B4")))</x:f>
      </x:c>
      <x:c r="AS187" s="69" t="str">
        <x:f>IF(A187="","",IF(P187="","unknown",IF(P187&gt;=2,"Prometedora","Débil / validar en B2-B4")))</x:f>
      </x:c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 t="str">
        <x:f>IF(A188="","",COUNTBLANK(M188:P188))</x:f>
      </x:c>
      <x:c r="Z188" s="69" t="str">
        <x:f>IF(A188="","",IF(OR(E188="",G188="No",H188="No",I188="Responsabilidad genérica",I188="Demasiado amplia",I188="Microtarea",J188="Duplicado evidente"),"BLOQUEADA",IF(OR(I188="Ambigua",L188&lt;1,K188&lt;1),"REVISIÓN","ELEGIBLE")))</x:f>
      </x:c>
      <x:c r="AA188" s="69" t="str">
        <x:f>IF(A188="","",IF(Z188="BLOQUEADA",0,ROUND(100*(IF(M188="",1.5,M188)+IF(N188="",1.5,N188)+IF(O188="",1.5,O188)+IF(P188="",1.5,P188))/12,1)))</x:f>
      </x:c>
      <x:c r="AB188" s="69" t="str">
        <x:f>IF(A188="","",IF(Z188="BLOQUEADA",0,ROUND(100*IF(Q188="",1.5,Q188)/3,1)))</x:f>
      </x:c>
      <x:c r="AC188" s="69" t="str">
        <x:f>IF(A188="","",IF(Z188="BLOQUEADA",0,ROUND(100*IF(R188="",1.5,R188)/3,1)))</x:f>
      </x:c>
      <x:c r="AD188" s="69" t="str">
        <x:f>IF(A188="","",IF(Z188="BLOQUEADA",0,ROUND(100*IF(S188="",1.5,S188)/3,1)))</x:f>
      </x:c>
      <x:c r="AE188" s="69" t="str">
        <x:f>IF(A188="","",IF(Z188="BLOQUEADA",0,ROUND(100*IF(T188="",1.5,T188)/3,1)))</x:f>
      </x:c>
      <x:c r="AF188" s="69" t="str">
        <x:f>IF(A188="","",IF(Z188="BLOQUEADA",0,ROUND(100*IF(U188="",1.5,U188)/3,1)))</x:f>
      </x:c>
      <x:c r="AG188" s="69" t="str">
        <x:f>IF(A188="","",ROUND(IF(Z188="BLOQUEADA",100,(X188*10)+(V188*8)+(W188*8)),1))</x:f>
      </x:c>
      <x:c r="AH188" s="69" t="str">
        <x:f>IF(A188="","",IF(Z188="BLOQUEADA",0,MAX(0,ROUND(0.30*AA188+0.20*AB188+0.15*AC188+0.15*AD188+0.10*AE188+0.10*AF188-AG188,1))))</x:f>
      </x:c>
      <x:c r="AI188" s="69" t="str">
        <x:f>IF(A188="","",IF(Z188="ELEGIBLE",RANK.EQ(AH188,$AH$2:$AH$201,0),""))</x:f>
      </x:c>
      <x:c r="AJ188" s="69" t="str">
        <x:f>IF(A188="","",IF(Z188="BLOQUEADA","No aplica",IF(Z188="REVISIÓN","Slot 8 posible: exploratorio",IF(AI188&lt;=5,"Slot 1-5: alto potencial",IF(R188&gt;=2.5,"Slot 6: handoff/dependencia",IF(S188&gt;=2.5,"Slot 7: transformación/objeto",IF(AND(K188&gt;=1,U188&gt;=2),"Slot 8 posible: exploratorio","Backlog/contexto")))))))</x:f>
      </x:c>
      <x:c r="AK188" s="69" t="str">
        <x:f>IF(A188="","",IF(Z188="BLOQUEADA","No seleccionable",IF(Z188="REVISIÓN","Revisión para slot exploratorio",IF(AI188&lt;=8,"Primaria propuesta","Contexto no primario"))))</x:f>
      </x:c>
      <x:c r="AL188" s="69" t="str">
        <x:f>IF(A188="","",IF(OR(Z188="REVISIÓN",Y188&gt;=3,V188&gt;=2),"Sí","No"))</x:f>
      </x:c>
      <x:c r="AM188" s="69" t="str">
        <x:f>IF(A188="","",IF(AK188="Primaria propuesta","Primaria propuesta",IF(AK188="Revisión para slot exploratorio","Revisión / posible primaria exploratoria",IF(AK188="No seleccionable","No seleccionable","Contexto no primario"))))</x:f>
      </x:c>
      <x:c r="AN188" s="69" t="str">
        <x:f>IF(A188="","",IF(AM188="Primaria propuesta",IF(AH188&gt;=75,"40+20 probable",IF(AH188&gt;=55,"40 base + causales selectivas","40 base + probes mínimos")),IF(AM188="Revisión / posible primaria exploratoria","B0/B0.5 reconstrucción antes de Runtime","No abre Runtime profundo")))</x:f>
      </x:c>
      <x:c r="AO188" s="69" t="str">
        <x:f>IF(A188="","",IF(Z188="BLOQUEADA","No probe",IF(AH188&gt;=75,"Alta",IF(AH188&gt;=55,"Media",IF(Z188="REVISIÓN","Exploratoria","Baja")))))</x:f>
      </x:c>
      <x:c r="AP188" s="69" t="str">
        <x:f>IF(A188="","",IF(M188="","unknown",IF(M188&gt;=2,"Prometedora","Débil / validar en B0.5-B1")))</x:f>
      </x:c>
      <x:c r="AQ188" s="69" t="str">
        <x:f>IF(A188="","",IF(N188="","unknown",IF(N188&gt;=2,"Prometedora","Débil / validar en B2")))</x:f>
      </x:c>
      <x:c r="AR188" s="69" t="str">
        <x:f>IF(A188="","",IF(O188="","unknown",IF(O188&gt;=2,"Prometedora","Débil / validar en B3-B4")))</x:f>
      </x:c>
      <x:c r="AS188" s="69" t="str">
        <x:f>IF(A188="","",IF(P188="","unknown",IF(P188&gt;=2,"Prometedora","Débil / validar en B2-B4")))</x:f>
      </x:c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 t="str">
        <x:f>IF(A189="","",COUNTBLANK(M189:P189))</x:f>
      </x:c>
      <x:c r="Z189" s="69" t="str">
        <x:f>IF(A189="","",IF(OR(E189="",G189="No",H189="No",I189="Responsabilidad genérica",I189="Demasiado amplia",I189="Microtarea",J189="Duplicado evidente"),"BLOQUEADA",IF(OR(I189="Ambigua",L189&lt;1,K189&lt;1),"REVISIÓN","ELEGIBLE")))</x:f>
      </x:c>
      <x:c r="AA189" s="69" t="str">
        <x:f>IF(A189="","",IF(Z189="BLOQUEADA",0,ROUND(100*(IF(M189="",1.5,M189)+IF(N189="",1.5,N189)+IF(O189="",1.5,O189)+IF(P189="",1.5,P189))/12,1)))</x:f>
      </x:c>
      <x:c r="AB189" s="69" t="str">
        <x:f>IF(A189="","",IF(Z189="BLOQUEADA",0,ROUND(100*IF(Q189="",1.5,Q189)/3,1)))</x:f>
      </x:c>
      <x:c r="AC189" s="69" t="str">
        <x:f>IF(A189="","",IF(Z189="BLOQUEADA",0,ROUND(100*IF(R189="",1.5,R189)/3,1)))</x:f>
      </x:c>
      <x:c r="AD189" s="69" t="str">
        <x:f>IF(A189="","",IF(Z189="BLOQUEADA",0,ROUND(100*IF(S189="",1.5,S189)/3,1)))</x:f>
      </x:c>
      <x:c r="AE189" s="69" t="str">
        <x:f>IF(A189="","",IF(Z189="BLOQUEADA",0,ROUND(100*IF(T189="",1.5,T189)/3,1)))</x:f>
      </x:c>
      <x:c r="AF189" s="69" t="str">
        <x:f>IF(A189="","",IF(Z189="BLOQUEADA",0,ROUND(100*IF(U189="",1.5,U189)/3,1)))</x:f>
      </x:c>
      <x:c r="AG189" s="69" t="str">
        <x:f>IF(A189="","",ROUND(IF(Z189="BLOQUEADA",100,(X189*10)+(V189*8)+(W189*8)),1))</x:f>
      </x:c>
      <x:c r="AH189" s="69" t="str">
        <x:f>IF(A189="","",IF(Z189="BLOQUEADA",0,MAX(0,ROUND(0.30*AA189+0.20*AB189+0.15*AC189+0.15*AD189+0.10*AE189+0.10*AF189-AG189,1))))</x:f>
      </x:c>
      <x:c r="AI189" s="69" t="str">
        <x:f>IF(A189="","",IF(Z189="ELEGIBLE",RANK.EQ(AH189,$AH$2:$AH$201,0),""))</x:f>
      </x:c>
      <x:c r="AJ189" s="69" t="str">
        <x:f>IF(A189="","",IF(Z189="BLOQUEADA","No aplica",IF(Z189="REVISIÓN","Slot 8 posible: exploratorio",IF(AI189&lt;=5,"Slot 1-5: alto potencial",IF(R189&gt;=2.5,"Slot 6: handoff/dependencia",IF(S189&gt;=2.5,"Slot 7: transformación/objeto",IF(AND(K189&gt;=1,U189&gt;=2),"Slot 8 posible: exploratorio","Backlog/contexto")))))))</x:f>
      </x:c>
      <x:c r="AK189" s="69" t="str">
        <x:f>IF(A189="","",IF(Z189="BLOQUEADA","No seleccionable",IF(Z189="REVISIÓN","Revisión para slot exploratorio",IF(AI189&lt;=8,"Primaria propuesta","Contexto no primario"))))</x:f>
      </x:c>
      <x:c r="AL189" s="69" t="str">
        <x:f>IF(A189="","",IF(OR(Z189="REVISIÓN",Y189&gt;=3,V189&gt;=2),"Sí","No"))</x:f>
      </x:c>
      <x:c r="AM189" s="69" t="str">
        <x:f>IF(A189="","",IF(AK189="Primaria propuesta","Primaria propuesta",IF(AK189="Revisión para slot exploratorio","Revisión / posible primaria exploratoria",IF(AK189="No seleccionable","No seleccionable","Contexto no primario"))))</x:f>
      </x:c>
      <x:c r="AN189" s="69" t="str">
        <x:f>IF(A189="","",IF(AM189="Primaria propuesta",IF(AH189&gt;=75,"40+20 probable",IF(AH189&gt;=55,"40 base + causales selectivas","40 base + probes mínimos")),IF(AM189="Revisión / posible primaria exploratoria","B0/B0.5 reconstrucción antes de Runtime","No abre Runtime profundo")))</x:f>
      </x:c>
      <x:c r="AO189" s="69" t="str">
        <x:f>IF(A189="","",IF(Z189="BLOQUEADA","No probe",IF(AH189&gt;=75,"Alta",IF(AH189&gt;=55,"Media",IF(Z189="REVISIÓN","Exploratoria","Baja")))))</x:f>
      </x:c>
      <x:c r="AP189" s="69" t="str">
        <x:f>IF(A189="","",IF(M189="","unknown",IF(M189&gt;=2,"Prometedora","Débil / validar en B0.5-B1")))</x:f>
      </x:c>
      <x:c r="AQ189" s="69" t="str">
        <x:f>IF(A189="","",IF(N189="","unknown",IF(N189&gt;=2,"Prometedora","Débil / validar en B2")))</x:f>
      </x:c>
      <x:c r="AR189" s="69" t="str">
        <x:f>IF(A189="","",IF(O189="","unknown",IF(O189&gt;=2,"Prometedora","Débil / validar en B3-B4")))</x:f>
      </x:c>
      <x:c r="AS189" s="69" t="str">
        <x:f>IF(A189="","",IF(P189="","unknown",IF(P189&gt;=2,"Prometedora","Débil / validar en B2-B4")))</x:f>
      </x:c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 t="str">
        <x:f>IF(A190="","",COUNTBLANK(M190:P190))</x:f>
      </x:c>
      <x:c r="Z190" s="69" t="str">
        <x:f>IF(A190="","",IF(OR(E190="",G190="No",H190="No",I190="Responsabilidad genérica",I190="Demasiado amplia",I190="Microtarea",J190="Duplicado evidente"),"BLOQUEADA",IF(OR(I190="Ambigua",L190&lt;1,K190&lt;1),"REVISIÓN","ELEGIBLE")))</x:f>
      </x:c>
      <x:c r="AA190" s="69" t="str">
        <x:f>IF(A190="","",IF(Z190="BLOQUEADA",0,ROUND(100*(IF(M190="",1.5,M190)+IF(N190="",1.5,N190)+IF(O190="",1.5,O190)+IF(P190="",1.5,P190))/12,1)))</x:f>
      </x:c>
      <x:c r="AB190" s="69" t="str">
        <x:f>IF(A190="","",IF(Z190="BLOQUEADA",0,ROUND(100*IF(Q190="",1.5,Q190)/3,1)))</x:f>
      </x:c>
      <x:c r="AC190" s="69" t="str">
        <x:f>IF(A190="","",IF(Z190="BLOQUEADA",0,ROUND(100*IF(R190="",1.5,R190)/3,1)))</x:f>
      </x:c>
      <x:c r="AD190" s="69" t="str">
        <x:f>IF(A190="","",IF(Z190="BLOQUEADA",0,ROUND(100*IF(S190="",1.5,S190)/3,1)))</x:f>
      </x:c>
      <x:c r="AE190" s="69" t="str">
        <x:f>IF(A190="","",IF(Z190="BLOQUEADA",0,ROUND(100*IF(T190="",1.5,T190)/3,1)))</x:f>
      </x:c>
      <x:c r="AF190" s="69" t="str">
        <x:f>IF(A190="","",IF(Z190="BLOQUEADA",0,ROUND(100*IF(U190="",1.5,U190)/3,1)))</x:f>
      </x:c>
      <x:c r="AG190" s="69" t="str">
        <x:f>IF(A190="","",ROUND(IF(Z190="BLOQUEADA",100,(X190*10)+(V190*8)+(W190*8)),1))</x:f>
      </x:c>
      <x:c r="AH190" s="69" t="str">
        <x:f>IF(A190="","",IF(Z190="BLOQUEADA",0,MAX(0,ROUND(0.30*AA190+0.20*AB190+0.15*AC190+0.15*AD190+0.10*AE190+0.10*AF190-AG190,1))))</x:f>
      </x:c>
      <x:c r="AI190" s="69" t="str">
        <x:f>IF(A190="","",IF(Z190="ELEGIBLE",RANK.EQ(AH190,$AH$2:$AH$201,0),""))</x:f>
      </x:c>
      <x:c r="AJ190" s="69" t="str">
        <x:f>IF(A190="","",IF(Z190="BLOQUEADA","No aplica",IF(Z190="REVISIÓN","Slot 8 posible: exploratorio",IF(AI190&lt;=5,"Slot 1-5: alto potencial",IF(R190&gt;=2.5,"Slot 6: handoff/dependencia",IF(S190&gt;=2.5,"Slot 7: transformación/objeto",IF(AND(K190&gt;=1,U190&gt;=2),"Slot 8 posible: exploratorio","Backlog/contexto")))))))</x:f>
      </x:c>
      <x:c r="AK190" s="69" t="str">
        <x:f>IF(A190="","",IF(Z190="BLOQUEADA","No seleccionable",IF(Z190="REVISIÓN","Revisión para slot exploratorio",IF(AI190&lt;=8,"Primaria propuesta","Contexto no primario"))))</x:f>
      </x:c>
      <x:c r="AL190" s="69" t="str">
        <x:f>IF(A190="","",IF(OR(Z190="REVISIÓN",Y190&gt;=3,V190&gt;=2),"Sí","No"))</x:f>
      </x:c>
      <x:c r="AM190" s="69" t="str">
        <x:f>IF(A190="","",IF(AK190="Primaria propuesta","Primaria propuesta",IF(AK190="Revisión para slot exploratorio","Revisión / posible primaria exploratoria",IF(AK190="No seleccionable","No seleccionable","Contexto no primario"))))</x:f>
      </x:c>
      <x:c r="AN190" s="69" t="str">
        <x:f>IF(A190="","",IF(AM190="Primaria propuesta",IF(AH190&gt;=75,"40+20 probable",IF(AH190&gt;=55,"40 base + causales selectivas","40 base + probes mínimos")),IF(AM190="Revisión / posible primaria exploratoria","B0/B0.5 reconstrucción antes de Runtime","No abre Runtime profundo")))</x:f>
      </x:c>
      <x:c r="AO190" s="69" t="str">
        <x:f>IF(A190="","",IF(Z190="BLOQUEADA","No probe",IF(AH190&gt;=75,"Alta",IF(AH190&gt;=55,"Media",IF(Z190="REVISIÓN","Exploratoria","Baja")))))</x:f>
      </x:c>
      <x:c r="AP190" s="69" t="str">
        <x:f>IF(A190="","",IF(M190="","unknown",IF(M190&gt;=2,"Prometedora","Débil / validar en B0.5-B1")))</x:f>
      </x:c>
      <x:c r="AQ190" s="69" t="str">
        <x:f>IF(A190="","",IF(N190="","unknown",IF(N190&gt;=2,"Prometedora","Débil / validar en B2")))</x:f>
      </x:c>
      <x:c r="AR190" s="69" t="str">
        <x:f>IF(A190="","",IF(O190="","unknown",IF(O190&gt;=2,"Prometedora","Débil / validar en B3-B4")))</x:f>
      </x:c>
      <x:c r="AS190" s="69" t="str">
        <x:f>IF(A190="","",IF(P190="","unknown",IF(P190&gt;=2,"Prometedora","Débil / validar en B2-B4")))</x:f>
      </x:c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 t="str">
        <x:f>IF(A191="","",COUNTBLANK(M191:P191))</x:f>
      </x:c>
      <x:c r="Z191" s="69" t="str">
        <x:f>IF(A191="","",IF(OR(E191="",G191="No",H191="No",I191="Responsabilidad genérica",I191="Demasiado amplia",I191="Microtarea",J191="Duplicado evidente"),"BLOQUEADA",IF(OR(I191="Ambigua",L191&lt;1,K191&lt;1),"REVISIÓN","ELEGIBLE")))</x:f>
      </x:c>
      <x:c r="AA191" s="69" t="str">
        <x:f>IF(A191="","",IF(Z191="BLOQUEADA",0,ROUND(100*(IF(M191="",1.5,M191)+IF(N191="",1.5,N191)+IF(O191="",1.5,O191)+IF(P191="",1.5,P191))/12,1)))</x:f>
      </x:c>
      <x:c r="AB191" s="69" t="str">
        <x:f>IF(A191="","",IF(Z191="BLOQUEADA",0,ROUND(100*IF(Q191="",1.5,Q191)/3,1)))</x:f>
      </x:c>
      <x:c r="AC191" s="69" t="str">
        <x:f>IF(A191="","",IF(Z191="BLOQUEADA",0,ROUND(100*IF(R191="",1.5,R191)/3,1)))</x:f>
      </x:c>
      <x:c r="AD191" s="69" t="str">
        <x:f>IF(A191="","",IF(Z191="BLOQUEADA",0,ROUND(100*IF(S191="",1.5,S191)/3,1)))</x:f>
      </x:c>
      <x:c r="AE191" s="69" t="str">
        <x:f>IF(A191="","",IF(Z191="BLOQUEADA",0,ROUND(100*IF(T191="",1.5,T191)/3,1)))</x:f>
      </x:c>
      <x:c r="AF191" s="69" t="str">
        <x:f>IF(A191="","",IF(Z191="BLOQUEADA",0,ROUND(100*IF(U191="",1.5,U191)/3,1)))</x:f>
      </x:c>
      <x:c r="AG191" s="69" t="str">
        <x:f>IF(A191="","",ROUND(IF(Z191="BLOQUEADA",100,(X191*10)+(V191*8)+(W191*8)),1))</x:f>
      </x:c>
      <x:c r="AH191" s="69" t="str">
        <x:f>IF(A191="","",IF(Z191="BLOQUEADA",0,MAX(0,ROUND(0.30*AA191+0.20*AB191+0.15*AC191+0.15*AD191+0.10*AE191+0.10*AF191-AG191,1))))</x:f>
      </x:c>
      <x:c r="AI191" s="69" t="str">
        <x:f>IF(A191="","",IF(Z191="ELEGIBLE",RANK.EQ(AH191,$AH$2:$AH$201,0),""))</x:f>
      </x:c>
      <x:c r="AJ191" s="69" t="str">
        <x:f>IF(A191="","",IF(Z191="BLOQUEADA","No aplica",IF(Z191="REVISIÓN","Slot 8 posible: exploratorio",IF(AI191&lt;=5,"Slot 1-5: alto potencial",IF(R191&gt;=2.5,"Slot 6: handoff/dependencia",IF(S191&gt;=2.5,"Slot 7: transformación/objeto",IF(AND(K191&gt;=1,U191&gt;=2),"Slot 8 posible: exploratorio","Backlog/contexto")))))))</x:f>
      </x:c>
      <x:c r="AK191" s="69" t="str">
        <x:f>IF(A191="","",IF(Z191="BLOQUEADA","No seleccionable",IF(Z191="REVISIÓN","Revisión para slot exploratorio",IF(AI191&lt;=8,"Primaria propuesta","Contexto no primario"))))</x:f>
      </x:c>
      <x:c r="AL191" s="69" t="str">
        <x:f>IF(A191="","",IF(OR(Z191="REVISIÓN",Y191&gt;=3,V191&gt;=2),"Sí","No"))</x:f>
      </x:c>
      <x:c r="AM191" s="69" t="str">
        <x:f>IF(A191="","",IF(AK191="Primaria propuesta","Primaria propuesta",IF(AK191="Revisión para slot exploratorio","Revisión / posible primaria exploratoria",IF(AK191="No seleccionable","No seleccionable","Contexto no primario"))))</x:f>
      </x:c>
      <x:c r="AN191" s="69" t="str">
        <x:f>IF(A191="","",IF(AM191="Primaria propuesta",IF(AH191&gt;=75,"40+20 probable",IF(AH191&gt;=55,"40 base + causales selectivas","40 base + probes mínimos")),IF(AM191="Revisión / posible primaria exploratoria","B0/B0.5 reconstrucción antes de Runtime","No abre Runtime profundo")))</x:f>
      </x:c>
      <x:c r="AO191" s="69" t="str">
        <x:f>IF(A191="","",IF(Z191="BLOQUEADA","No probe",IF(AH191&gt;=75,"Alta",IF(AH191&gt;=55,"Media",IF(Z191="REVISIÓN","Exploratoria","Baja")))))</x:f>
      </x:c>
      <x:c r="AP191" s="69" t="str">
        <x:f>IF(A191="","",IF(M191="","unknown",IF(M191&gt;=2,"Prometedora","Débil / validar en B0.5-B1")))</x:f>
      </x:c>
      <x:c r="AQ191" s="69" t="str">
        <x:f>IF(A191="","",IF(N191="","unknown",IF(N191&gt;=2,"Prometedora","Débil / validar en B2")))</x:f>
      </x:c>
      <x:c r="AR191" s="69" t="str">
        <x:f>IF(A191="","",IF(O191="","unknown",IF(O191&gt;=2,"Prometedora","Débil / validar en B3-B4")))</x:f>
      </x:c>
      <x:c r="AS191" s="69" t="str">
        <x:f>IF(A191="","",IF(P191="","unknown",IF(P191&gt;=2,"Prometedora","Débil / validar en B2-B4")))</x:f>
      </x:c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 t="str">
        <x:f>IF(A192="","",COUNTBLANK(M192:P192))</x:f>
      </x:c>
      <x:c r="Z192" s="69" t="str">
        <x:f>IF(A192="","",IF(OR(E192="",G192="No",H192="No",I192="Responsabilidad genérica",I192="Demasiado amplia",I192="Microtarea",J192="Duplicado evidente"),"BLOQUEADA",IF(OR(I192="Ambigua",L192&lt;1,K192&lt;1),"REVISIÓN","ELEGIBLE")))</x:f>
      </x:c>
      <x:c r="AA192" s="69" t="str">
        <x:f>IF(A192="","",IF(Z192="BLOQUEADA",0,ROUND(100*(IF(M192="",1.5,M192)+IF(N192="",1.5,N192)+IF(O192="",1.5,O192)+IF(P192="",1.5,P192))/12,1)))</x:f>
      </x:c>
      <x:c r="AB192" s="69" t="str">
        <x:f>IF(A192="","",IF(Z192="BLOQUEADA",0,ROUND(100*IF(Q192="",1.5,Q192)/3,1)))</x:f>
      </x:c>
      <x:c r="AC192" s="69" t="str">
        <x:f>IF(A192="","",IF(Z192="BLOQUEADA",0,ROUND(100*IF(R192="",1.5,R192)/3,1)))</x:f>
      </x:c>
      <x:c r="AD192" s="69" t="str">
        <x:f>IF(A192="","",IF(Z192="BLOQUEADA",0,ROUND(100*IF(S192="",1.5,S192)/3,1)))</x:f>
      </x:c>
      <x:c r="AE192" s="69" t="str">
        <x:f>IF(A192="","",IF(Z192="BLOQUEADA",0,ROUND(100*IF(T192="",1.5,T192)/3,1)))</x:f>
      </x:c>
      <x:c r="AF192" s="69" t="str">
        <x:f>IF(A192="","",IF(Z192="BLOQUEADA",0,ROUND(100*IF(U192="",1.5,U192)/3,1)))</x:f>
      </x:c>
      <x:c r="AG192" s="69" t="str">
        <x:f>IF(A192="","",ROUND(IF(Z192="BLOQUEADA",100,(X192*10)+(V192*8)+(W192*8)),1))</x:f>
      </x:c>
      <x:c r="AH192" s="69" t="str">
        <x:f>IF(A192="","",IF(Z192="BLOQUEADA",0,MAX(0,ROUND(0.30*AA192+0.20*AB192+0.15*AC192+0.15*AD192+0.10*AE192+0.10*AF192-AG192,1))))</x:f>
      </x:c>
      <x:c r="AI192" s="69" t="str">
        <x:f>IF(A192="","",IF(Z192="ELEGIBLE",RANK.EQ(AH192,$AH$2:$AH$201,0),""))</x:f>
      </x:c>
      <x:c r="AJ192" s="69" t="str">
        <x:f>IF(A192="","",IF(Z192="BLOQUEADA","No aplica",IF(Z192="REVISIÓN","Slot 8 posible: exploratorio",IF(AI192&lt;=5,"Slot 1-5: alto potencial",IF(R192&gt;=2.5,"Slot 6: handoff/dependencia",IF(S192&gt;=2.5,"Slot 7: transformación/objeto",IF(AND(K192&gt;=1,U192&gt;=2),"Slot 8 posible: exploratorio","Backlog/contexto")))))))</x:f>
      </x:c>
      <x:c r="AK192" s="69" t="str">
        <x:f>IF(A192="","",IF(Z192="BLOQUEADA","No seleccionable",IF(Z192="REVISIÓN","Revisión para slot exploratorio",IF(AI192&lt;=8,"Primaria propuesta","Contexto no primario"))))</x:f>
      </x:c>
      <x:c r="AL192" s="69" t="str">
        <x:f>IF(A192="","",IF(OR(Z192="REVISIÓN",Y192&gt;=3,V192&gt;=2),"Sí","No"))</x:f>
      </x:c>
      <x:c r="AM192" s="69" t="str">
        <x:f>IF(A192="","",IF(AK192="Primaria propuesta","Primaria propuesta",IF(AK192="Revisión para slot exploratorio","Revisión / posible primaria exploratoria",IF(AK192="No seleccionable","No seleccionable","Contexto no primario"))))</x:f>
      </x:c>
      <x:c r="AN192" s="69" t="str">
        <x:f>IF(A192="","",IF(AM192="Primaria propuesta",IF(AH192&gt;=75,"40+20 probable",IF(AH192&gt;=55,"40 base + causales selectivas","40 base + probes mínimos")),IF(AM192="Revisión / posible primaria exploratoria","B0/B0.5 reconstrucción antes de Runtime","No abre Runtime profundo")))</x:f>
      </x:c>
      <x:c r="AO192" s="69" t="str">
        <x:f>IF(A192="","",IF(Z192="BLOQUEADA","No probe",IF(AH192&gt;=75,"Alta",IF(AH192&gt;=55,"Media",IF(Z192="REVISIÓN","Exploratoria","Baja")))))</x:f>
      </x:c>
      <x:c r="AP192" s="69" t="str">
        <x:f>IF(A192="","",IF(M192="","unknown",IF(M192&gt;=2,"Prometedora","Débil / validar en B0.5-B1")))</x:f>
      </x:c>
      <x:c r="AQ192" s="69" t="str">
        <x:f>IF(A192="","",IF(N192="","unknown",IF(N192&gt;=2,"Prometedora","Débil / validar en B2")))</x:f>
      </x:c>
      <x:c r="AR192" s="69" t="str">
        <x:f>IF(A192="","",IF(O192="","unknown",IF(O192&gt;=2,"Prometedora","Débil / validar en B3-B4")))</x:f>
      </x:c>
      <x:c r="AS192" s="69" t="str">
        <x:f>IF(A192="","",IF(P192="","unknown",IF(P192&gt;=2,"Prometedora","Débil / validar en B2-B4")))</x:f>
      </x:c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 t="str">
        <x:f>IF(A193="","",COUNTBLANK(M193:P193))</x:f>
      </x:c>
      <x:c r="Z193" s="69" t="str">
        <x:f>IF(A193="","",IF(OR(E193="",G193="No",H193="No",I193="Responsabilidad genérica",I193="Demasiado amplia",I193="Microtarea",J193="Duplicado evidente"),"BLOQUEADA",IF(OR(I193="Ambigua",L193&lt;1,K193&lt;1),"REVISIÓN","ELEGIBLE")))</x:f>
      </x:c>
      <x:c r="AA193" s="69" t="str">
        <x:f>IF(A193="","",IF(Z193="BLOQUEADA",0,ROUND(100*(IF(M193="",1.5,M193)+IF(N193="",1.5,N193)+IF(O193="",1.5,O193)+IF(P193="",1.5,P193))/12,1)))</x:f>
      </x:c>
      <x:c r="AB193" s="69" t="str">
        <x:f>IF(A193="","",IF(Z193="BLOQUEADA",0,ROUND(100*IF(Q193="",1.5,Q193)/3,1)))</x:f>
      </x:c>
      <x:c r="AC193" s="69" t="str">
        <x:f>IF(A193="","",IF(Z193="BLOQUEADA",0,ROUND(100*IF(R193="",1.5,R193)/3,1)))</x:f>
      </x:c>
      <x:c r="AD193" s="69" t="str">
        <x:f>IF(A193="","",IF(Z193="BLOQUEADA",0,ROUND(100*IF(S193="",1.5,S193)/3,1)))</x:f>
      </x:c>
      <x:c r="AE193" s="69" t="str">
        <x:f>IF(A193="","",IF(Z193="BLOQUEADA",0,ROUND(100*IF(T193="",1.5,T193)/3,1)))</x:f>
      </x:c>
      <x:c r="AF193" s="69" t="str">
        <x:f>IF(A193="","",IF(Z193="BLOQUEADA",0,ROUND(100*IF(U193="",1.5,U193)/3,1)))</x:f>
      </x:c>
      <x:c r="AG193" s="69" t="str">
        <x:f>IF(A193="","",ROUND(IF(Z193="BLOQUEADA",100,(X193*10)+(V193*8)+(W193*8)),1))</x:f>
      </x:c>
      <x:c r="AH193" s="69" t="str">
        <x:f>IF(A193="","",IF(Z193="BLOQUEADA",0,MAX(0,ROUND(0.30*AA193+0.20*AB193+0.15*AC193+0.15*AD193+0.10*AE193+0.10*AF193-AG193,1))))</x:f>
      </x:c>
      <x:c r="AI193" s="69" t="str">
        <x:f>IF(A193="","",IF(Z193="ELEGIBLE",RANK.EQ(AH193,$AH$2:$AH$201,0),""))</x:f>
      </x:c>
      <x:c r="AJ193" s="69" t="str">
        <x:f>IF(A193="","",IF(Z193="BLOQUEADA","No aplica",IF(Z193="REVISIÓN","Slot 8 posible: exploratorio",IF(AI193&lt;=5,"Slot 1-5: alto potencial",IF(R193&gt;=2.5,"Slot 6: handoff/dependencia",IF(S193&gt;=2.5,"Slot 7: transformación/objeto",IF(AND(K193&gt;=1,U193&gt;=2),"Slot 8 posible: exploratorio","Backlog/contexto")))))))</x:f>
      </x:c>
      <x:c r="AK193" s="69" t="str">
        <x:f>IF(A193="","",IF(Z193="BLOQUEADA","No seleccionable",IF(Z193="REVISIÓN","Revisión para slot exploratorio",IF(AI193&lt;=8,"Primaria propuesta","Contexto no primario"))))</x:f>
      </x:c>
      <x:c r="AL193" s="69" t="str">
        <x:f>IF(A193="","",IF(OR(Z193="REVISIÓN",Y193&gt;=3,V193&gt;=2),"Sí","No"))</x:f>
      </x:c>
      <x:c r="AM193" s="69" t="str">
        <x:f>IF(A193="","",IF(AK193="Primaria propuesta","Primaria propuesta",IF(AK193="Revisión para slot exploratorio","Revisión / posible primaria exploratoria",IF(AK193="No seleccionable","No seleccionable","Contexto no primario"))))</x:f>
      </x:c>
      <x:c r="AN193" s="69" t="str">
        <x:f>IF(A193="","",IF(AM193="Primaria propuesta",IF(AH193&gt;=75,"40+20 probable",IF(AH193&gt;=55,"40 base + causales selectivas","40 base + probes mínimos")),IF(AM193="Revisión / posible primaria exploratoria","B0/B0.5 reconstrucción antes de Runtime","No abre Runtime profundo")))</x:f>
      </x:c>
      <x:c r="AO193" s="69" t="str">
        <x:f>IF(A193="","",IF(Z193="BLOQUEADA","No probe",IF(AH193&gt;=75,"Alta",IF(AH193&gt;=55,"Media",IF(Z193="REVISIÓN","Exploratoria","Baja")))))</x:f>
      </x:c>
      <x:c r="AP193" s="69" t="str">
        <x:f>IF(A193="","",IF(M193="","unknown",IF(M193&gt;=2,"Prometedora","Débil / validar en B0.5-B1")))</x:f>
      </x:c>
      <x:c r="AQ193" s="69" t="str">
        <x:f>IF(A193="","",IF(N193="","unknown",IF(N193&gt;=2,"Prometedora","Débil / validar en B2")))</x:f>
      </x:c>
      <x:c r="AR193" s="69" t="str">
        <x:f>IF(A193="","",IF(O193="","unknown",IF(O193&gt;=2,"Prometedora","Débil / validar en B3-B4")))</x:f>
      </x:c>
      <x:c r="AS193" s="69" t="str">
        <x:f>IF(A193="","",IF(P193="","unknown",IF(P193&gt;=2,"Prometedora","Débil / validar en B2-B4")))</x:f>
      </x:c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 t="str">
        <x:f>IF(A194="","",COUNTBLANK(M194:P194))</x:f>
      </x:c>
      <x:c r="Z194" s="69" t="str">
        <x:f>IF(A194="","",IF(OR(E194="",G194="No",H194="No",I194="Responsabilidad genérica",I194="Demasiado amplia",I194="Microtarea",J194="Duplicado evidente"),"BLOQUEADA",IF(OR(I194="Ambigua",L194&lt;1,K194&lt;1),"REVISIÓN","ELEGIBLE")))</x:f>
      </x:c>
      <x:c r="AA194" s="69" t="str">
        <x:f>IF(A194="","",IF(Z194="BLOQUEADA",0,ROUND(100*(IF(M194="",1.5,M194)+IF(N194="",1.5,N194)+IF(O194="",1.5,O194)+IF(P194="",1.5,P194))/12,1)))</x:f>
      </x:c>
      <x:c r="AB194" s="69" t="str">
        <x:f>IF(A194="","",IF(Z194="BLOQUEADA",0,ROUND(100*IF(Q194="",1.5,Q194)/3,1)))</x:f>
      </x:c>
      <x:c r="AC194" s="69" t="str">
        <x:f>IF(A194="","",IF(Z194="BLOQUEADA",0,ROUND(100*IF(R194="",1.5,R194)/3,1)))</x:f>
      </x:c>
      <x:c r="AD194" s="69" t="str">
        <x:f>IF(A194="","",IF(Z194="BLOQUEADA",0,ROUND(100*IF(S194="",1.5,S194)/3,1)))</x:f>
      </x:c>
      <x:c r="AE194" s="69" t="str">
        <x:f>IF(A194="","",IF(Z194="BLOQUEADA",0,ROUND(100*IF(T194="",1.5,T194)/3,1)))</x:f>
      </x:c>
      <x:c r="AF194" s="69" t="str">
        <x:f>IF(A194="","",IF(Z194="BLOQUEADA",0,ROUND(100*IF(U194="",1.5,U194)/3,1)))</x:f>
      </x:c>
      <x:c r="AG194" s="69" t="str">
        <x:f>IF(A194="","",ROUND(IF(Z194="BLOQUEADA",100,(X194*10)+(V194*8)+(W194*8)),1))</x:f>
      </x:c>
      <x:c r="AH194" s="69" t="str">
        <x:f>IF(A194="","",IF(Z194="BLOQUEADA",0,MAX(0,ROUND(0.30*AA194+0.20*AB194+0.15*AC194+0.15*AD194+0.10*AE194+0.10*AF194-AG194,1))))</x:f>
      </x:c>
      <x:c r="AI194" s="69" t="str">
        <x:f>IF(A194="","",IF(Z194="ELEGIBLE",RANK.EQ(AH194,$AH$2:$AH$201,0),""))</x:f>
      </x:c>
      <x:c r="AJ194" s="69" t="str">
        <x:f>IF(A194="","",IF(Z194="BLOQUEADA","No aplica",IF(Z194="REVISIÓN","Slot 8 posible: exploratorio",IF(AI194&lt;=5,"Slot 1-5: alto potencial",IF(R194&gt;=2.5,"Slot 6: handoff/dependencia",IF(S194&gt;=2.5,"Slot 7: transformación/objeto",IF(AND(K194&gt;=1,U194&gt;=2),"Slot 8 posible: exploratorio","Backlog/contexto")))))))</x:f>
      </x:c>
      <x:c r="AK194" s="69" t="str">
        <x:f>IF(A194="","",IF(Z194="BLOQUEADA","No seleccionable",IF(Z194="REVISIÓN","Revisión para slot exploratorio",IF(AI194&lt;=8,"Primaria propuesta","Contexto no primario"))))</x:f>
      </x:c>
      <x:c r="AL194" s="69" t="str">
        <x:f>IF(A194="","",IF(OR(Z194="REVISIÓN",Y194&gt;=3,V194&gt;=2),"Sí","No"))</x:f>
      </x:c>
      <x:c r="AM194" s="69" t="str">
        <x:f>IF(A194="","",IF(AK194="Primaria propuesta","Primaria propuesta",IF(AK194="Revisión para slot exploratorio","Revisión / posible primaria exploratoria",IF(AK194="No seleccionable","No seleccionable","Contexto no primario"))))</x:f>
      </x:c>
      <x:c r="AN194" s="69" t="str">
        <x:f>IF(A194="","",IF(AM194="Primaria propuesta",IF(AH194&gt;=75,"40+20 probable",IF(AH194&gt;=55,"40 base + causales selectivas","40 base + probes mínimos")),IF(AM194="Revisión / posible primaria exploratoria","B0/B0.5 reconstrucción antes de Runtime","No abre Runtime profundo")))</x:f>
      </x:c>
      <x:c r="AO194" s="69" t="str">
        <x:f>IF(A194="","",IF(Z194="BLOQUEADA","No probe",IF(AH194&gt;=75,"Alta",IF(AH194&gt;=55,"Media",IF(Z194="REVISIÓN","Exploratoria","Baja")))))</x:f>
      </x:c>
      <x:c r="AP194" s="69" t="str">
        <x:f>IF(A194="","",IF(M194="","unknown",IF(M194&gt;=2,"Prometedora","Débil / validar en B0.5-B1")))</x:f>
      </x:c>
      <x:c r="AQ194" s="69" t="str">
        <x:f>IF(A194="","",IF(N194="","unknown",IF(N194&gt;=2,"Prometedora","Débil / validar en B2")))</x:f>
      </x:c>
      <x:c r="AR194" s="69" t="str">
        <x:f>IF(A194="","",IF(O194="","unknown",IF(O194&gt;=2,"Prometedora","Débil / validar en B3-B4")))</x:f>
      </x:c>
      <x:c r="AS194" s="69" t="str">
        <x:f>IF(A194="","",IF(P194="","unknown",IF(P194&gt;=2,"Prometedora","Débil / validar en B2-B4")))</x:f>
      </x:c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 t="str">
        <x:f>IF(A195="","",COUNTBLANK(M195:P195))</x:f>
      </x:c>
      <x:c r="Z195" s="69" t="str">
        <x:f>IF(A195="","",IF(OR(E195="",G195="No",H195="No",I195="Responsabilidad genérica",I195="Demasiado amplia",I195="Microtarea",J195="Duplicado evidente"),"BLOQUEADA",IF(OR(I195="Ambigua",L195&lt;1,K195&lt;1),"REVISIÓN","ELEGIBLE")))</x:f>
      </x:c>
      <x:c r="AA195" s="69" t="str">
        <x:f>IF(A195="","",IF(Z195="BLOQUEADA",0,ROUND(100*(IF(M195="",1.5,M195)+IF(N195="",1.5,N195)+IF(O195="",1.5,O195)+IF(P195="",1.5,P195))/12,1)))</x:f>
      </x:c>
      <x:c r="AB195" s="69" t="str">
        <x:f>IF(A195="","",IF(Z195="BLOQUEADA",0,ROUND(100*IF(Q195="",1.5,Q195)/3,1)))</x:f>
      </x:c>
      <x:c r="AC195" s="69" t="str">
        <x:f>IF(A195="","",IF(Z195="BLOQUEADA",0,ROUND(100*IF(R195="",1.5,R195)/3,1)))</x:f>
      </x:c>
      <x:c r="AD195" s="69" t="str">
        <x:f>IF(A195="","",IF(Z195="BLOQUEADA",0,ROUND(100*IF(S195="",1.5,S195)/3,1)))</x:f>
      </x:c>
      <x:c r="AE195" s="69" t="str">
        <x:f>IF(A195="","",IF(Z195="BLOQUEADA",0,ROUND(100*IF(T195="",1.5,T195)/3,1)))</x:f>
      </x:c>
      <x:c r="AF195" s="69" t="str">
        <x:f>IF(A195="","",IF(Z195="BLOQUEADA",0,ROUND(100*IF(U195="",1.5,U195)/3,1)))</x:f>
      </x:c>
      <x:c r="AG195" s="69" t="str">
        <x:f>IF(A195="","",ROUND(IF(Z195="BLOQUEADA",100,(X195*10)+(V195*8)+(W195*8)),1))</x:f>
      </x:c>
      <x:c r="AH195" s="69" t="str">
        <x:f>IF(A195="","",IF(Z195="BLOQUEADA",0,MAX(0,ROUND(0.30*AA195+0.20*AB195+0.15*AC195+0.15*AD195+0.10*AE195+0.10*AF195-AG195,1))))</x:f>
      </x:c>
      <x:c r="AI195" s="69" t="str">
        <x:f>IF(A195="","",IF(Z195="ELEGIBLE",RANK.EQ(AH195,$AH$2:$AH$201,0),""))</x:f>
      </x:c>
      <x:c r="AJ195" s="69" t="str">
        <x:f>IF(A195="","",IF(Z195="BLOQUEADA","No aplica",IF(Z195="REVISIÓN","Slot 8 posible: exploratorio",IF(AI195&lt;=5,"Slot 1-5: alto potencial",IF(R195&gt;=2.5,"Slot 6: handoff/dependencia",IF(S195&gt;=2.5,"Slot 7: transformación/objeto",IF(AND(K195&gt;=1,U195&gt;=2),"Slot 8 posible: exploratorio","Backlog/contexto")))))))</x:f>
      </x:c>
      <x:c r="AK195" s="69" t="str">
        <x:f>IF(A195="","",IF(Z195="BLOQUEADA","No seleccionable",IF(Z195="REVISIÓN","Revisión para slot exploratorio",IF(AI195&lt;=8,"Primaria propuesta","Contexto no primario"))))</x:f>
      </x:c>
      <x:c r="AL195" s="69" t="str">
        <x:f>IF(A195="","",IF(OR(Z195="REVISIÓN",Y195&gt;=3,V195&gt;=2),"Sí","No"))</x:f>
      </x:c>
      <x:c r="AM195" s="69" t="str">
        <x:f>IF(A195="","",IF(AK195="Primaria propuesta","Primaria propuesta",IF(AK195="Revisión para slot exploratorio","Revisión / posible primaria exploratoria",IF(AK195="No seleccionable","No seleccionable","Contexto no primario"))))</x:f>
      </x:c>
      <x:c r="AN195" s="69" t="str">
        <x:f>IF(A195="","",IF(AM195="Primaria propuesta",IF(AH195&gt;=75,"40+20 probable",IF(AH195&gt;=55,"40 base + causales selectivas","40 base + probes mínimos")),IF(AM195="Revisión / posible primaria exploratoria","B0/B0.5 reconstrucción antes de Runtime","No abre Runtime profundo")))</x:f>
      </x:c>
      <x:c r="AO195" s="69" t="str">
        <x:f>IF(A195="","",IF(Z195="BLOQUEADA","No probe",IF(AH195&gt;=75,"Alta",IF(AH195&gt;=55,"Media",IF(Z195="REVISIÓN","Exploratoria","Baja")))))</x:f>
      </x:c>
      <x:c r="AP195" s="69" t="str">
        <x:f>IF(A195="","",IF(M195="","unknown",IF(M195&gt;=2,"Prometedora","Débil / validar en B0.5-B1")))</x:f>
      </x:c>
      <x:c r="AQ195" s="69" t="str">
        <x:f>IF(A195="","",IF(N195="","unknown",IF(N195&gt;=2,"Prometedora","Débil / validar en B2")))</x:f>
      </x:c>
      <x:c r="AR195" s="69" t="str">
        <x:f>IF(A195="","",IF(O195="","unknown",IF(O195&gt;=2,"Prometedora","Débil / validar en B3-B4")))</x:f>
      </x:c>
      <x:c r="AS195" s="69" t="str">
        <x:f>IF(A195="","",IF(P195="","unknown",IF(P195&gt;=2,"Prometedora","Débil / validar en B2-B4")))</x:f>
      </x:c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 t="str">
        <x:f>IF(A196="","",COUNTBLANK(M196:P196))</x:f>
      </x:c>
      <x:c r="Z196" s="69" t="str">
        <x:f>IF(A196="","",IF(OR(E196="",G196="No",H196="No",I196="Responsabilidad genérica",I196="Demasiado amplia",I196="Microtarea",J196="Duplicado evidente"),"BLOQUEADA",IF(OR(I196="Ambigua",L196&lt;1,K196&lt;1),"REVISIÓN","ELEGIBLE")))</x:f>
      </x:c>
      <x:c r="AA196" s="69" t="str">
        <x:f>IF(A196="","",IF(Z196="BLOQUEADA",0,ROUND(100*(IF(M196="",1.5,M196)+IF(N196="",1.5,N196)+IF(O196="",1.5,O196)+IF(P196="",1.5,P196))/12,1)))</x:f>
      </x:c>
      <x:c r="AB196" s="69" t="str">
        <x:f>IF(A196="","",IF(Z196="BLOQUEADA",0,ROUND(100*IF(Q196="",1.5,Q196)/3,1)))</x:f>
      </x:c>
      <x:c r="AC196" s="69" t="str">
        <x:f>IF(A196="","",IF(Z196="BLOQUEADA",0,ROUND(100*IF(R196="",1.5,R196)/3,1)))</x:f>
      </x:c>
      <x:c r="AD196" s="69" t="str">
        <x:f>IF(A196="","",IF(Z196="BLOQUEADA",0,ROUND(100*IF(S196="",1.5,S196)/3,1)))</x:f>
      </x:c>
      <x:c r="AE196" s="69" t="str">
        <x:f>IF(A196="","",IF(Z196="BLOQUEADA",0,ROUND(100*IF(T196="",1.5,T196)/3,1)))</x:f>
      </x:c>
      <x:c r="AF196" s="69" t="str">
        <x:f>IF(A196="","",IF(Z196="BLOQUEADA",0,ROUND(100*IF(U196="",1.5,U196)/3,1)))</x:f>
      </x:c>
      <x:c r="AG196" s="69" t="str">
        <x:f>IF(A196="","",ROUND(IF(Z196="BLOQUEADA",100,(X196*10)+(V196*8)+(W196*8)),1))</x:f>
      </x:c>
      <x:c r="AH196" s="69" t="str">
        <x:f>IF(A196="","",IF(Z196="BLOQUEADA",0,MAX(0,ROUND(0.30*AA196+0.20*AB196+0.15*AC196+0.15*AD196+0.10*AE196+0.10*AF196-AG196,1))))</x:f>
      </x:c>
      <x:c r="AI196" s="69" t="str">
        <x:f>IF(A196="","",IF(Z196="ELEGIBLE",RANK.EQ(AH196,$AH$2:$AH$201,0),""))</x:f>
      </x:c>
      <x:c r="AJ196" s="69" t="str">
        <x:f>IF(A196="","",IF(Z196="BLOQUEADA","No aplica",IF(Z196="REVISIÓN","Slot 8 posible: exploratorio",IF(AI196&lt;=5,"Slot 1-5: alto potencial",IF(R196&gt;=2.5,"Slot 6: handoff/dependencia",IF(S196&gt;=2.5,"Slot 7: transformación/objeto",IF(AND(K196&gt;=1,U196&gt;=2),"Slot 8 posible: exploratorio","Backlog/contexto")))))))</x:f>
      </x:c>
      <x:c r="AK196" s="69" t="str">
        <x:f>IF(A196="","",IF(Z196="BLOQUEADA","No seleccionable",IF(Z196="REVISIÓN","Revisión para slot exploratorio",IF(AI196&lt;=8,"Primaria propuesta","Contexto no primario"))))</x:f>
      </x:c>
      <x:c r="AL196" s="69" t="str">
        <x:f>IF(A196="","",IF(OR(Z196="REVISIÓN",Y196&gt;=3,V196&gt;=2),"Sí","No"))</x:f>
      </x:c>
      <x:c r="AM196" s="69" t="str">
        <x:f>IF(A196="","",IF(AK196="Primaria propuesta","Primaria propuesta",IF(AK196="Revisión para slot exploratorio","Revisión / posible primaria exploratoria",IF(AK196="No seleccionable","No seleccionable","Contexto no primario"))))</x:f>
      </x:c>
      <x:c r="AN196" s="69" t="str">
        <x:f>IF(A196="","",IF(AM196="Primaria propuesta",IF(AH196&gt;=75,"40+20 probable",IF(AH196&gt;=55,"40 base + causales selectivas","40 base + probes mínimos")),IF(AM196="Revisión / posible primaria exploratoria","B0/B0.5 reconstrucción antes de Runtime","No abre Runtime profundo")))</x:f>
      </x:c>
      <x:c r="AO196" s="69" t="str">
        <x:f>IF(A196="","",IF(Z196="BLOQUEADA","No probe",IF(AH196&gt;=75,"Alta",IF(AH196&gt;=55,"Media",IF(Z196="REVISIÓN","Exploratoria","Baja")))))</x:f>
      </x:c>
      <x:c r="AP196" s="69" t="str">
        <x:f>IF(A196="","",IF(M196="","unknown",IF(M196&gt;=2,"Prometedora","Débil / validar en B0.5-B1")))</x:f>
      </x:c>
      <x:c r="AQ196" s="69" t="str">
        <x:f>IF(A196="","",IF(N196="","unknown",IF(N196&gt;=2,"Prometedora","Débil / validar en B2")))</x:f>
      </x:c>
      <x:c r="AR196" s="69" t="str">
        <x:f>IF(A196="","",IF(O196="","unknown",IF(O196&gt;=2,"Prometedora","Débil / validar en B3-B4")))</x:f>
      </x:c>
      <x:c r="AS196" s="69" t="str">
        <x:f>IF(A196="","",IF(P196="","unknown",IF(P196&gt;=2,"Prometedora","Débil / validar en B2-B4")))</x:f>
      </x:c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 t="str">
        <x:f>IF(A197="","",COUNTBLANK(M197:P197))</x:f>
      </x:c>
      <x:c r="Z197" s="69" t="str">
        <x:f>IF(A197="","",IF(OR(E197="",G197="No",H197="No",I197="Responsabilidad genérica",I197="Demasiado amplia",I197="Microtarea",J197="Duplicado evidente"),"BLOQUEADA",IF(OR(I197="Ambigua",L197&lt;1,K197&lt;1),"REVISIÓN","ELEGIBLE")))</x:f>
      </x:c>
      <x:c r="AA197" s="69" t="str">
        <x:f>IF(A197="","",IF(Z197="BLOQUEADA",0,ROUND(100*(IF(M197="",1.5,M197)+IF(N197="",1.5,N197)+IF(O197="",1.5,O197)+IF(P197="",1.5,P197))/12,1)))</x:f>
      </x:c>
      <x:c r="AB197" s="69" t="str">
        <x:f>IF(A197="","",IF(Z197="BLOQUEADA",0,ROUND(100*IF(Q197="",1.5,Q197)/3,1)))</x:f>
      </x:c>
      <x:c r="AC197" s="69" t="str">
        <x:f>IF(A197="","",IF(Z197="BLOQUEADA",0,ROUND(100*IF(R197="",1.5,R197)/3,1)))</x:f>
      </x:c>
      <x:c r="AD197" s="69" t="str">
        <x:f>IF(A197="","",IF(Z197="BLOQUEADA",0,ROUND(100*IF(S197="",1.5,S197)/3,1)))</x:f>
      </x:c>
      <x:c r="AE197" s="69" t="str">
        <x:f>IF(A197="","",IF(Z197="BLOQUEADA",0,ROUND(100*IF(T197="",1.5,T197)/3,1)))</x:f>
      </x:c>
      <x:c r="AF197" s="69" t="str">
        <x:f>IF(A197="","",IF(Z197="BLOQUEADA",0,ROUND(100*IF(U197="",1.5,U197)/3,1)))</x:f>
      </x:c>
      <x:c r="AG197" s="69" t="str">
        <x:f>IF(A197="","",ROUND(IF(Z197="BLOQUEADA",100,(X197*10)+(V197*8)+(W197*8)),1))</x:f>
      </x:c>
      <x:c r="AH197" s="69" t="str">
        <x:f>IF(A197="","",IF(Z197="BLOQUEADA",0,MAX(0,ROUND(0.30*AA197+0.20*AB197+0.15*AC197+0.15*AD197+0.10*AE197+0.10*AF197-AG197,1))))</x:f>
      </x:c>
      <x:c r="AI197" s="69" t="str">
        <x:f>IF(A197="","",IF(Z197="ELEGIBLE",RANK.EQ(AH197,$AH$2:$AH$201,0),""))</x:f>
      </x:c>
      <x:c r="AJ197" s="69" t="str">
        <x:f>IF(A197="","",IF(Z197="BLOQUEADA","No aplica",IF(Z197="REVISIÓN","Slot 8 posible: exploratorio",IF(AI197&lt;=5,"Slot 1-5: alto potencial",IF(R197&gt;=2.5,"Slot 6: handoff/dependencia",IF(S197&gt;=2.5,"Slot 7: transformación/objeto",IF(AND(K197&gt;=1,U197&gt;=2),"Slot 8 posible: exploratorio","Backlog/contexto")))))))</x:f>
      </x:c>
      <x:c r="AK197" s="69" t="str">
        <x:f>IF(A197="","",IF(Z197="BLOQUEADA","No seleccionable",IF(Z197="REVISIÓN","Revisión para slot exploratorio",IF(AI197&lt;=8,"Primaria propuesta","Contexto no primario"))))</x:f>
      </x:c>
      <x:c r="AL197" s="69" t="str">
        <x:f>IF(A197="","",IF(OR(Z197="REVISIÓN",Y197&gt;=3,V197&gt;=2),"Sí","No"))</x:f>
      </x:c>
      <x:c r="AM197" s="69" t="str">
        <x:f>IF(A197="","",IF(AK197="Primaria propuesta","Primaria propuesta",IF(AK197="Revisión para slot exploratorio","Revisión / posible primaria exploratoria",IF(AK197="No seleccionable","No seleccionable","Contexto no primario"))))</x:f>
      </x:c>
      <x:c r="AN197" s="69" t="str">
        <x:f>IF(A197="","",IF(AM197="Primaria propuesta",IF(AH197&gt;=75,"40+20 probable",IF(AH197&gt;=55,"40 base + causales selectivas","40 base + probes mínimos")),IF(AM197="Revisión / posible primaria exploratoria","B0/B0.5 reconstrucción antes de Runtime","No abre Runtime profundo")))</x:f>
      </x:c>
      <x:c r="AO197" s="69" t="str">
        <x:f>IF(A197="","",IF(Z197="BLOQUEADA","No probe",IF(AH197&gt;=75,"Alta",IF(AH197&gt;=55,"Media",IF(Z197="REVISIÓN","Exploratoria","Baja")))))</x:f>
      </x:c>
      <x:c r="AP197" s="69" t="str">
        <x:f>IF(A197="","",IF(M197="","unknown",IF(M197&gt;=2,"Prometedora","Débil / validar en B0.5-B1")))</x:f>
      </x:c>
      <x:c r="AQ197" s="69" t="str">
        <x:f>IF(A197="","",IF(N197="","unknown",IF(N197&gt;=2,"Prometedora","Débil / validar en B2")))</x:f>
      </x:c>
      <x:c r="AR197" s="69" t="str">
        <x:f>IF(A197="","",IF(O197="","unknown",IF(O197&gt;=2,"Prometedora","Débil / validar en B3-B4")))</x:f>
      </x:c>
      <x:c r="AS197" s="69" t="str">
        <x:f>IF(A197="","",IF(P197="","unknown",IF(P197&gt;=2,"Prometedora","Débil / validar en B2-B4")))</x:f>
      </x:c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 t="str">
        <x:f>IF(A198="","",COUNTBLANK(M198:P198))</x:f>
      </x:c>
      <x:c r="Z198" s="69" t="str">
        <x:f>IF(A198="","",IF(OR(E198="",G198="No",H198="No",I198="Responsabilidad genérica",I198="Demasiado amplia",I198="Microtarea",J198="Duplicado evidente"),"BLOQUEADA",IF(OR(I198="Ambigua",L198&lt;1,K198&lt;1),"REVISIÓN","ELEGIBLE")))</x:f>
      </x:c>
      <x:c r="AA198" s="69" t="str">
        <x:f>IF(A198="","",IF(Z198="BLOQUEADA",0,ROUND(100*(IF(M198="",1.5,M198)+IF(N198="",1.5,N198)+IF(O198="",1.5,O198)+IF(P198="",1.5,P198))/12,1)))</x:f>
      </x:c>
      <x:c r="AB198" s="69" t="str">
        <x:f>IF(A198="","",IF(Z198="BLOQUEADA",0,ROUND(100*IF(Q198="",1.5,Q198)/3,1)))</x:f>
      </x:c>
      <x:c r="AC198" s="69" t="str">
        <x:f>IF(A198="","",IF(Z198="BLOQUEADA",0,ROUND(100*IF(R198="",1.5,R198)/3,1)))</x:f>
      </x:c>
      <x:c r="AD198" s="69" t="str">
        <x:f>IF(A198="","",IF(Z198="BLOQUEADA",0,ROUND(100*IF(S198="",1.5,S198)/3,1)))</x:f>
      </x:c>
      <x:c r="AE198" s="69" t="str">
        <x:f>IF(A198="","",IF(Z198="BLOQUEADA",0,ROUND(100*IF(T198="",1.5,T198)/3,1)))</x:f>
      </x:c>
      <x:c r="AF198" s="69" t="str">
        <x:f>IF(A198="","",IF(Z198="BLOQUEADA",0,ROUND(100*IF(U198="",1.5,U198)/3,1)))</x:f>
      </x:c>
      <x:c r="AG198" s="69" t="str">
        <x:f>IF(A198="","",ROUND(IF(Z198="BLOQUEADA",100,(X198*10)+(V198*8)+(W198*8)),1))</x:f>
      </x:c>
      <x:c r="AH198" s="69" t="str">
        <x:f>IF(A198="","",IF(Z198="BLOQUEADA",0,MAX(0,ROUND(0.30*AA198+0.20*AB198+0.15*AC198+0.15*AD198+0.10*AE198+0.10*AF198-AG198,1))))</x:f>
      </x:c>
      <x:c r="AI198" s="69" t="str">
        <x:f>IF(A198="","",IF(Z198="ELEGIBLE",RANK.EQ(AH198,$AH$2:$AH$201,0),""))</x:f>
      </x:c>
      <x:c r="AJ198" s="69" t="str">
        <x:f>IF(A198="","",IF(Z198="BLOQUEADA","No aplica",IF(Z198="REVISIÓN","Slot 8 posible: exploratorio",IF(AI198&lt;=5,"Slot 1-5: alto potencial",IF(R198&gt;=2.5,"Slot 6: handoff/dependencia",IF(S198&gt;=2.5,"Slot 7: transformación/objeto",IF(AND(K198&gt;=1,U198&gt;=2),"Slot 8 posible: exploratorio","Backlog/contexto")))))))</x:f>
      </x:c>
      <x:c r="AK198" s="69" t="str">
        <x:f>IF(A198="","",IF(Z198="BLOQUEADA","No seleccionable",IF(Z198="REVISIÓN","Revisión para slot exploratorio",IF(AI198&lt;=8,"Primaria propuesta","Contexto no primario"))))</x:f>
      </x:c>
      <x:c r="AL198" s="69" t="str">
        <x:f>IF(A198="","",IF(OR(Z198="REVISIÓN",Y198&gt;=3,V198&gt;=2),"Sí","No"))</x:f>
      </x:c>
      <x:c r="AM198" s="69" t="str">
        <x:f>IF(A198="","",IF(AK198="Primaria propuesta","Primaria propuesta",IF(AK198="Revisión para slot exploratorio","Revisión / posible primaria exploratoria",IF(AK198="No seleccionable","No seleccionable","Contexto no primario"))))</x:f>
      </x:c>
      <x:c r="AN198" s="69" t="str">
        <x:f>IF(A198="","",IF(AM198="Primaria propuesta",IF(AH198&gt;=75,"40+20 probable",IF(AH198&gt;=55,"40 base + causales selectivas","40 base + probes mínimos")),IF(AM198="Revisión / posible primaria exploratoria","B0/B0.5 reconstrucción antes de Runtime","No abre Runtime profundo")))</x:f>
      </x:c>
      <x:c r="AO198" s="69" t="str">
        <x:f>IF(A198="","",IF(Z198="BLOQUEADA","No probe",IF(AH198&gt;=75,"Alta",IF(AH198&gt;=55,"Media",IF(Z198="REVISIÓN","Exploratoria","Baja")))))</x:f>
      </x:c>
      <x:c r="AP198" s="69" t="str">
        <x:f>IF(A198="","",IF(M198="","unknown",IF(M198&gt;=2,"Prometedora","Débil / validar en B0.5-B1")))</x:f>
      </x:c>
      <x:c r="AQ198" s="69" t="str">
        <x:f>IF(A198="","",IF(N198="","unknown",IF(N198&gt;=2,"Prometedora","Débil / validar en B2")))</x:f>
      </x:c>
      <x:c r="AR198" s="69" t="str">
        <x:f>IF(A198="","",IF(O198="","unknown",IF(O198&gt;=2,"Prometedora","Débil / validar en B3-B4")))</x:f>
      </x:c>
      <x:c r="AS198" s="69" t="str">
        <x:f>IF(A198="","",IF(P198="","unknown",IF(P198&gt;=2,"Prometedora","Débil / validar en B2-B4")))</x:f>
      </x:c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 t="str">
        <x:f>IF(A199="","",COUNTBLANK(M199:P199))</x:f>
      </x:c>
      <x:c r="Z199" s="69" t="str">
        <x:f>IF(A199="","",IF(OR(E199="",G199="No",H199="No",I199="Responsabilidad genérica",I199="Demasiado amplia",I199="Microtarea",J199="Duplicado evidente"),"BLOQUEADA",IF(OR(I199="Ambigua",L199&lt;1,K199&lt;1),"REVISIÓN","ELEGIBLE")))</x:f>
      </x:c>
      <x:c r="AA199" s="69" t="str">
        <x:f>IF(A199="","",IF(Z199="BLOQUEADA",0,ROUND(100*(IF(M199="",1.5,M199)+IF(N199="",1.5,N199)+IF(O199="",1.5,O199)+IF(P199="",1.5,P199))/12,1)))</x:f>
      </x:c>
      <x:c r="AB199" s="69" t="str">
        <x:f>IF(A199="","",IF(Z199="BLOQUEADA",0,ROUND(100*IF(Q199="",1.5,Q199)/3,1)))</x:f>
      </x:c>
      <x:c r="AC199" s="69" t="str">
        <x:f>IF(A199="","",IF(Z199="BLOQUEADA",0,ROUND(100*IF(R199="",1.5,R199)/3,1)))</x:f>
      </x:c>
      <x:c r="AD199" s="69" t="str">
        <x:f>IF(A199="","",IF(Z199="BLOQUEADA",0,ROUND(100*IF(S199="",1.5,S199)/3,1)))</x:f>
      </x:c>
      <x:c r="AE199" s="69" t="str">
        <x:f>IF(A199="","",IF(Z199="BLOQUEADA",0,ROUND(100*IF(T199="",1.5,T199)/3,1)))</x:f>
      </x:c>
      <x:c r="AF199" s="69" t="str">
        <x:f>IF(A199="","",IF(Z199="BLOQUEADA",0,ROUND(100*IF(U199="",1.5,U199)/3,1)))</x:f>
      </x:c>
      <x:c r="AG199" s="69" t="str">
        <x:f>IF(A199="","",ROUND(IF(Z199="BLOQUEADA",100,(X199*10)+(V199*8)+(W199*8)),1))</x:f>
      </x:c>
      <x:c r="AH199" s="69" t="str">
        <x:f>IF(A199="","",IF(Z199="BLOQUEADA",0,MAX(0,ROUND(0.30*AA199+0.20*AB199+0.15*AC199+0.15*AD199+0.10*AE199+0.10*AF199-AG199,1))))</x:f>
      </x:c>
      <x:c r="AI199" s="69" t="str">
        <x:f>IF(A199="","",IF(Z199="ELEGIBLE",RANK.EQ(AH199,$AH$2:$AH$201,0),""))</x:f>
      </x:c>
      <x:c r="AJ199" s="69" t="str">
        <x:f>IF(A199="","",IF(Z199="BLOQUEADA","No aplica",IF(Z199="REVISIÓN","Slot 8 posible: exploratorio",IF(AI199&lt;=5,"Slot 1-5: alto potencial",IF(R199&gt;=2.5,"Slot 6: handoff/dependencia",IF(S199&gt;=2.5,"Slot 7: transformación/objeto",IF(AND(K199&gt;=1,U199&gt;=2),"Slot 8 posible: exploratorio","Backlog/contexto")))))))</x:f>
      </x:c>
      <x:c r="AK199" s="69" t="str">
        <x:f>IF(A199="","",IF(Z199="BLOQUEADA","No seleccionable",IF(Z199="REVISIÓN","Revisión para slot exploratorio",IF(AI199&lt;=8,"Primaria propuesta","Contexto no primario"))))</x:f>
      </x:c>
      <x:c r="AL199" s="69" t="str">
        <x:f>IF(A199="","",IF(OR(Z199="REVISIÓN",Y199&gt;=3,V199&gt;=2),"Sí","No"))</x:f>
      </x:c>
      <x:c r="AM199" s="69" t="str">
        <x:f>IF(A199="","",IF(AK199="Primaria propuesta","Primaria propuesta",IF(AK199="Revisión para slot exploratorio","Revisión / posible primaria exploratoria",IF(AK199="No seleccionable","No seleccionable","Contexto no primario"))))</x:f>
      </x:c>
      <x:c r="AN199" s="69" t="str">
        <x:f>IF(A199="","",IF(AM199="Primaria propuesta",IF(AH199&gt;=75,"40+20 probable",IF(AH199&gt;=55,"40 base + causales selectivas","40 base + probes mínimos")),IF(AM199="Revisión / posible primaria exploratoria","B0/B0.5 reconstrucción antes de Runtime","No abre Runtime profundo")))</x:f>
      </x:c>
      <x:c r="AO199" s="69" t="str">
        <x:f>IF(A199="","",IF(Z199="BLOQUEADA","No probe",IF(AH199&gt;=75,"Alta",IF(AH199&gt;=55,"Media",IF(Z199="REVISIÓN","Exploratoria","Baja")))))</x:f>
      </x:c>
      <x:c r="AP199" s="69" t="str">
        <x:f>IF(A199="","",IF(M199="","unknown",IF(M199&gt;=2,"Prometedora","Débil / validar en B0.5-B1")))</x:f>
      </x:c>
      <x:c r="AQ199" s="69" t="str">
        <x:f>IF(A199="","",IF(N199="","unknown",IF(N199&gt;=2,"Prometedora","Débil / validar en B2")))</x:f>
      </x:c>
      <x:c r="AR199" s="69" t="str">
        <x:f>IF(A199="","",IF(O199="","unknown",IF(O199&gt;=2,"Prometedora","Débil / validar en B3-B4")))</x:f>
      </x:c>
      <x:c r="AS199" s="69" t="str">
        <x:f>IF(A199="","",IF(P199="","unknown",IF(P199&gt;=2,"Prometedora","Débil / validar en B2-B4")))</x:f>
      </x:c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 t="str">
        <x:f>IF(A200="","",COUNTBLANK(M200:P200))</x:f>
      </x:c>
      <x:c r="Z200" s="69" t="str">
        <x:f>IF(A200="","",IF(OR(E200="",G200="No",H200="No",I200="Responsabilidad genérica",I200="Demasiado amplia",I200="Microtarea",J200="Duplicado evidente"),"BLOQUEADA",IF(OR(I200="Ambigua",L200&lt;1,K200&lt;1),"REVISIÓN","ELEGIBLE")))</x:f>
      </x:c>
      <x:c r="AA200" s="69" t="str">
        <x:f>IF(A200="","",IF(Z200="BLOQUEADA",0,ROUND(100*(IF(M200="",1.5,M200)+IF(N200="",1.5,N200)+IF(O200="",1.5,O200)+IF(P200="",1.5,P200))/12,1)))</x:f>
      </x:c>
      <x:c r="AB200" s="69" t="str">
        <x:f>IF(A200="","",IF(Z200="BLOQUEADA",0,ROUND(100*IF(Q200="",1.5,Q200)/3,1)))</x:f>
      </x:c>
      <x:c r="AC200" s="69" t="str">
        <x:f>IF(A200="","",IF(Z200="BLOQUEADA",0,ROUND(100*IF(R200="",1.5,R200)/3,1)))</x:f>
      </x:c>
      <x:c r="AD200" s="69" t="str">
        <x:f>IF(A200="","",IF(Z200="BLOQUEADA",0,ROUND(100*IF(S200="",1.5,S200)/3,1)))</x:f>
      </x:c>
      <x:c r="AE200" s="69" t="str">
        <x:f>IF(A200="","",IF(Z200="BLOQUEADA",0,ROUND(100*IF(T200="",1.5,T200)/3,1)))</x:f>
      </x:c>
      <x:c r="AF200" s="69" t="str">
        <x:f>IF(A200="","",IF(Z200="BLOQUEADA",0,ROUND(100*IF(U200="",1.5,U200)/3,1)))</x:f>
      </x:c>
      <x:c r="AG200" s="69" t="str">
        <x:f>IF(A200="","",ROUND(IF(Z200="BLOQUEADA",100,(X200*10)+(V200*8)+(W200*8)),1))</x:f>
      </x:c>
      <x:c r="AH200" s="69" t="str">
        <x:f>IF(A200="","",IF(Z200="BLOQUEADA",0,MAX(0,ROUND(0.30*AA200+0.20*AB200+0.15*AC200+0.15*AD200+0.10*AE200+0.10*AF200-AG200,1))))</x:f>
      </x:c>
      <x:c r="AI200" s="69" t="str">
        <x:f>IF(A200="","",IF(Z200="ELEGIBLE",RANK.EQ(AH200,$AH$2:$AH$201,0),""))</x:f>
      </x:c>
      <x:c r="AJ200" s="69" t="str">
        <x:f>IF(A200="","",IF(Z200="BLOQUEADA","No aplica",IF(Z200="REVISIÓN","Slot 8 posible: exploratorio",IF(AI200&lt;=5,"Slot 1-5: alto potencial",IF(R200&gt;=2.5,"Slot 6: handoff/dependencia",IF(S200&gt;=2.5,"Slot 7: transformación/objeto",IF(AND(K200&gt;=1,U200&gt;=2),"Slot 8 posible: exploratorio","Backlog/contexto")))))))</x:f>
      </x:c>
      <x:c r="AK200" s="69" t="str">
        <x:f>IF(A200="","",IF(Z200="BLOQUEADA","No seleccionable",IF(Z200="REVISIÓN","Revisión para slot exploratorio",IF(AI200&lt;=8,"Primaria propuesta","Contexto no primario"))))</x:f>
      </x:c>
      <x:c r="AL200" s="69" t="str">
        <x:f>IF(A200="","",IF(OR(Z200="REVISIÓN",Y200&gt;=3,V200&gt;=2),"Sí","No"))</x:f>
      </x:c>
      <x:c r="AM200" s="69" t="str">
        <x:f>IF(A200="","",IF(AK200="Primaria propuesta","Primaria propuesta",IF(AK200="Revisión para slot exploratorio","Revisión / posible primaria exploratoria",IF(AK200="No seleccionable","No seleccionable","Contexto no primario"))))</x:f>
      </x:c>
      <x:c r="AN200" s="69" t="str">
        <x:f>IF(A200="","",IF(AM200="Primaria propuesta",IF(AH200&gt;=75,"40+20 probable",IF(AH200&gt;=55,"40 base + causales selectivas","40 base + probes mínimos")),IF(AM200="Revisión / posible primaria exploratoria","B0/B0.5 reconstrucción antes de Runtime","No abre Runtime profundo")))</x:f>
      </x:c>
      <x:c r="AO200" s="69" t="str">
        <x:f>IF(A200="","",IF(Z200="BLOQUEADA","No probe",IF(AH200&gt;=75,"Alta",IF(AH200&gt;=55,"Media",IF(Z200="REVISIÓN","Exploratoria","Baja")))))</x:f>
      </x:c>
      <x:c r="AP200" s="69" t="str">
        <x:f>IF(A200="","",IF(M200="","unknown",IF(M200&gt;=2,"Prometedora","Débil / validar en B0.5-B1")))</x:f>
      </x:c>
      <x:c r="AQ200" s="69" t="str">
        <x:f>IF(A200="","",IF(N200="","unknown",IF(N200&gt;=2,"Prometedora","Débil / validar en B2")))</x:f>
      </x:c>
      <x:c r="AR200" s="69" t="str">
        <x:f>IF(A200="","",IF(O200="","unknown",IF(O200&gt;=2,"Prometedora","Débil / validar en B3-B4")))</x:f>
      </x:c>
      <x:c r="AS200" s="69" t="str">
        <x:f>IF(A200="","",IF(P200="","unknown",IF(P200&gt;=2,"Prometedora","Débil / validar en B2-B4")))</x:f>
      </x:c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 t="str">
        <x:f>IF(A201="","",COUNTBLANK(M201:P201))</x:f>
      </x:c>
      <x:c r="Z201" s="69" t="str">
        <x:f>IF(A201="","",IF(OR(E201="",G201="No",H201="No",I201="Responsabilidad genérica",I201="Demasiado amplia",I201="Microtarea",J201="Duplicado evidente"),"BLOQUEADA",IF(OR(I201="Ambigua",L201&lt;1,K201&lt;1),"REVISIÓN","ELEGIBLE")))</x:f>
      </x:c>
      <x:c r="AA201" s="69" t="str">
        <x:f>IF(A201="","",IF(Z201="BLOQUEADA",0,ROUND(100*(IF(M201="",1.5,M201)+IF(N201="",1.5,N201)+IF(O201="",1.5,O201)+IF(P201="",1.5,P201))/12,1)))</x:f>
      </x:c>
      <x:c r="AB201" s="69" t="str">
        <x:f>IF(A201="","",IF(Z201="BLOQUEADA",0,ROUND(100*IF(Q201="",1.5,Q201)/3,1)))</x:f>
      </x:c>
      <x:c r="AC201" s="69" t="str">
        <x:f>IF(A201="","",IF(Z201="BLOQUEADA",0,ROUND(100*IF(R201="",1.5,R201)/3,1)))</x:f>
      </x:c>
      <x:c r="AD201" s="69" t="str">
        <x:f>IF(A201="","",IF(Z201="BLOQUEADA",0,ROUND(100*IF(S201="",1.5,S201)/3,1)))</x:f>
      </x:c>
      <x:c r="AE201" s="69" t="str">
        <x:f>IF(A201="","",IF(Z201="BLOQUEADA",0,ROUND(100*IF(T201="",1.5,T201)/3,1)))</x:f>
      </x:c>
      <x:c r="AF201" s="69" t="str">
        <x:f>IF(A201="","",IF(Z201="BLOQUEADA",0,ROUND(100*IF(U201="",1.5,U201)/3,1)))</x:f>
      </x:c>
      <x:c r="AG201" s="69" t="str">
        <x:f>IF(A201="","",ROUND(IF(Z201="BLOQUEADA",100,(X201*10)+(V201*8)+(W201*8)),1))</x:f>
      </x:c>
      <x:c r="AH201" s="69" t="str">
        <x:f>IF(A201="","",IF(Z201="BLOQUEADA",0,MAX(0,ROUND(0.30*AA201+0.20*AB201+0.15*AC201+0.15*AD201+0.10*AE201+0.10*AF201-AG201,1))))</x:f>
      </x:c>
      <x:c r="AI201" s="69" t="str">
        <x:f>IF(A201="","",IF(Z201="ELEGIBLE",RANK.EQ(AH201,$AH$2:$AH$201,0),""))</x:f>
      </x:c>
      <x:c r="AJ201" s="69" t="str">
        <x:f>IF(A201="","",IF(Z201="BLOQUEADA","No aplica",IF(Z201="REVISIÓN","Slot 8 posible: exploratorio",IF(AI201&lt;=5,"Slot 1-5: alto potencial",IF(R201&gt;=2.5,"Slot 6: handoff/dependencia",IF(S201&gt;=2.5,"Slot 7: transformación/objeto",IF(AND(K201&gt;=1,U201&gt;=2),"Slot 8 posible: exploratorio","Backlog/contexto")))))))</x:f>
      </x:c>
      <x:c r="AK201" s="69" t="str">
        <x:f>IF(A201="","",IF(Z201="BLOQUEADA","No seleccionable",IF(Z201="REVISIÓN","Revisión para slot exploratorio",IF(AI201&lt;=8,"Primaria propuesta","Contexto no primario"))))</x:f>
      </x:c>
      <x:c r="AL201" s="69" t="str">
        <x:f>IF(A201="","",IF(OR(Z201="REVISIÓN",Y201&gt;=3,V201&gt;=2),"Sí","No"))</x:f>
      </x:c>
      <x:c r="AM201" s="69" t="str">
        <x:f>IF(A201="","",IF(AK201="Primaria propuesta","Primaria propuesta",IF(AK201="Revisión para slot exploratorio","Revisión / posible primaria exploratoria",IF(AK201="No seleccionable","No seleccionable","Contexto no primario"))))</x:f>
      </x:c>
      <x:c r="AN201" s="69" t="str">
        <x:f>IF(A201="","",IF(AM201="Primaria propuesta",IF(AH201&gt;=75,"40+20 probable",IF(AH201&gt;=55,"40 base + causales selectivas","40 base + probes mínimos")),IF(AM201="Revisión / posible primaria exploratoria","B0/B0.5 reconstrucción antes de Runtime","No abre Runtime profundo")))</x:f>
      </x:c>
      <x:c r="AO201" s="69" t="str">
        <x:f>IF(A201="","",IF(Z201="BLOQUEADA","No probe",IF(AH201&gt;=75,"Alta",IF(AH201&gt;=55,"Media",IF(Z201="REVISIÓN","Exploratoria","Baja")))))</x:f>
      </x:c>
      <x:c r="AP201" s="69" t="str">
        <x:f>IF(A201="","",IF(M201="","unknown",IF(M201&gt;=2,"Prometedora","Débil / validar en B0.5-B1")))</x:f>
      </x:c>
      <x:c r="AQ201" s="69" t="str">
        <x:f>IF(A201="","",IF(N201="","unknown",IF(N201&gt;=2,"Prometedora","Débil / validar en B2")))</x:f>
      </x:c>
      <x:c r="AR201" s="69" t="str">
        <x:f>IF(A201="","",IF(O201="","unknown",IF(O201&gt;=2,"Prometedora","Débil / validar en B3-B4")))</x:f>
      </x:c>
      <x:c r="AS201" s="69" t="str">
        <x:f>IF(A201="","",IF(P201="","unknown",IF(P201&gt;=2,"Prometedora","Débil / validar en B2-B4")))</x:f>
      </x:c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conditionalFormatting sqref="AH2:AH20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Z2:Z201">
    <x:cfRule type="expression" dxfId="4" priority="2">
      <x:formula>Z2="BLOQUEADA"</x:formula>
    </x:cfRule>
    <x:cfRule type="expression" dxfId="5" priority="3">
      <x:formula>Z2="REVISIÓN"</x:formula>
    </x:cfRule>
    <x:cfRule type="expression" dxfId="6" priority="4">
      <x:formula>Z2="ELEGIBLE"</x:formula>
    </x:cfRule>
  </x:conditionalFormatting>
  <x:dataValidations count="5">
    <x:dataValidation type="list" sqref="G2:G201">
      <x:formula1>"Sí,No"</x:formula1>
    </x:dataValidation>
    <x:dataValidation type="list" sqref="H2:H201">
      <x:formula1>"Sí,No"</x:formula1>
    </x:dataValidation>
    <x:dataValidation type="list" sqref="I2:I201">
      <x:formula1>"Correcta,Ambigua,Microtarea,Demasiado amplia,Responsabilidad genérica"</x:formula1>
    </x:dataValidation>
    <x:dataValidation type="list" sqref="J2:J201">
      <x:formula1>"No,Posible,Duplicado evidente"</x:formula1>
    </x:dataValidation>
    <x:dataValidation type="list" sqref="K2:X201">
      <x:formula1>"0,1,2,3"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Slot</x:v>
      </x:c>
      <x:c r="B1" s="68" t="str">
        <x:v>Criterio</x:v>
      </x:c>
      <x:c r="C1" s="68" t="str">
        <x:v>Cómo se asigna</x:v>
      </x:c>
      <x:c r="D1" s="68" t="str">
        <x:v>Regla de prudencia</x:v>
      </x:c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1</x:v>
      </x:c>
      <x:c r="B2" s="69" t="str">
        <x:v>Mayor score total elegible</x:v>
      </x:c>
      <x:c r="C2" s="69" t="str">
        <x:v>Actividad elegible con mayor PrimaryActivitySelectionScore.</x:v>
      </x:c>
      <x:c r="D2" s="69" t="str">
        <x:v>No diagnostica; solo prioriza Runtime.</x:v>
      </x:c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2</x:v>
      </x:c>
      <x:c r="B3" s="69" t="str">
        <x:v>Mayor score total elegible</x:v>
      </x:c>
      <x:c r="C3" s="69" t="str">
        <x:v>Siguiente actividad elegible no duplicada.</x:v>
      </x:c>
      <x:c r="D3" s="69" t="str">
        <x:v>Mantener diversidad de responsabilidad/área si hay empate.</x:v>
      </x:c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3</x:v>
      </x:c>
      <x:c r="B4" s="69" t="str">
        <x:v>Mayor score total elegible</x:v>
      </x:c>
      <x:c r="C4" s="69" t="str">
        <x:v>Siguiente actividad elegible no duplicada.</x:v>
      </x:c>
      <x:c r="D4" s="69" t="str">
        <x:v>Evitar ocho actividades del mismo microflujo.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4</x:v>
      </x:c>
      <x:c r="B5" s="69" t="str">
        <x:v>Mayor score total elegible</x:v>
      </x:c>
      <x:c r="C5" s="69" t="str">
        <x:v>Siguiente actividad elegible no duplicada.</x:v>
      </x:c>
      <x:c r="D5" s="69" t="str">
        <x:v>Preferir diversidad de objeto/entrega.</x:v>
      </x:c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5</x:v>
      </x:c>
      <x:c r="B6" s="69" t="str">
        <x:v>Mayor score total elegible</x:v>
      </x:c>
      <x:c r="C6" s="69" t="str">
        <x:v>Siguiente actividad elegible no duplicada.</x:v>
      </x:c>
      <x:c r="D6" s="69" t="str">
        <x:v>Cerrar núcleo de alto potencial.</x:v>
      </x:c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6</x:v>
      </x:c>
      <x:c r="B7" s="69" t="str">
        <x:v>Handoff/dependencia</x:v>
      </x:c>
      <x:c r="C7" s="69" t="str">
        <x:v>Actividad con mayor Handoff_Dependency_Score que no esté ya elegida.</x:v>
      </x:c>
      <x:c r="D7" s="69" t="str">
        <x:v>Protege PF/PM: entregas, esperas, sincronizaciones.</x:v>
      </x:c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7</x:v>
      </x:c>
      <x:c r="B8" s="69" t="str">
        <x:v>Transformación/objeto</x:v>
      </x:c>
      <x:c r="C8" s="69" t="str">
        <x:v>Actividad con mayor Transformation_Object_Score que no esté ya elegida.</x:v>
      </x:c>
      <x:c r="D8" s="69" t="str">
        <x:v>Protege MoC/OLC: objeto, estado, transición.</x:v>
      </x:c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8</x:v>
      </x:c>
      <x:c r="B9" s="69" t="str">
        <x:v>Exploratoria</x:v>
      </x:c>
      <x:c r="C9" s="69" t="str">
        <x:v>Actividad en REVISIÓN o ambigua con señales de soporte oculto, workaround, borde sistémico o alta cobertura.</x:v>
      </x:c>
      <x:c r="D9" s="69" t="str">
        <x:v>No abrir si compromete trazabilidad; puede quedar como reentry B0/B0.5.</x:v>
      </x:c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Regla de reemplazo</x:v>
      </x:c>
      <x:c r="B10" s="69" t="str">
        <x:v>Si un slot especializado ya está cubierto por top 1-5, puede usarse para cobertura diversa.</x:v>
      </x:c>
      <x:c r="C10" s="69" t="str">
        <x:v>La selección final no debe exceder 8.</x:v>
      </x:c>
      <x:c r="D10" s="69" t="str">
        <x:v>No forzar slot si no hay actividad elegible.</x:v>
      </x:c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Regla de empate</x:v>
      </x:c>
      <x:c r="B11" s="69" t="str">
        <x:v>Priorizar coverage_diversity, menor burden/penalty, mejor trazabilidad WorkMap.</x:v>
      </x:c>
      <x:c r="C11" s="69" t="str">
        <x:v>El usuario solo corrige hechos.</x:v>
      </x:c>
      <x:c r="D11" s="69" t="str">
        <x:v>Evita selección por preferencia.</x:v>
      </x:c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Campo payload</x:v>
      </x:c>
      <x:c r="B1" s="68" t="str">
        <x:v>Obligatorio</x:v>
      </x:c>
      <x:c r="C1" s="68" t="str">
        <x:v>Descripción</x:v>
      </x:c>
      <x:c r="D1" s="68" t="str">
        <x:v>Fuente en selector</x:v>
      </x:c>
      <x:c r="E1" s="68" t="str">
        <x:v>Nota</x:v>
      </x:c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activity_id</x:v>
      </x:c>
      <x:c r="B2" s="69" t="str">
        <x:v>Sí</x:v>
      </x:c>
      <x:c r="C2" s="69" t="str">
        <x:v>ID de actividad WorkMap seleccionada.</x:v>
      </x:c>
      <x:c r="D2" s="69" t="str">
        <x:v>Selector_Template_v1_1</x:v>
      </x:c>
      <x:c r="E2" s="69" t="str">
        <x:v>Trazabilidad.</x:v>
      </x:c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responsibility_id</x:v>
      </x:c>
      <x:c r="B3" s="69" t="str">
        <x:v>Sí</x:v>
      </x:c>
      <x:c r="C3" s="69" t="str">
        <x:v>Responsabilidad asociada.</x:v>
      </x:c>
      <x:c r="D3" s="69" t="str">
        <x:v>Selector_Template_v1_1</x:v>
      </x:c>
      <x:c r="E3" s="69" t="str">
        <x:v>Trazabilidad.</x:v>
      </x:c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area</x:v>
      </x:c>
      <x:c r="B4" s="69" t="str">
        <x:v>Sí</x:v>
      </x:c>
      <x:c r="C4" s="69" t="str">
        <x:v>Área declarada.</x:v>
      </x:c>
      <x:c r="D4" s="69" t="str">
        <x:v>Selector_Template_v1_1</x:v>
      </x:c>
      <x:c r="E4" s="69" t="str">
        <x:v>Contexto.</x:v>
      </x:c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functional_role</x:v>
      </x:c>
      <x:c r="B5" s="69" t="str">
        <x:v>Sí</x:v>
      </x:c>
      <x:c r="C5" s="69" t="str">
        <x:v>Rol funcional evaluado.</x:v>
      </x:c>
      <x:c r="D5" s="69" t="str">
        <x:v>Selector_Template_v1_1</x:v>
      </x:c>
      <x:c r="E5" s="69" t="str">
        <x:v>Unidad por rol.</x:v>
      </x:c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activity_label</x:v>
      </x:c>
      <x:c r="B6" s="69" t="str">
        <x:v>Sí</x:v>
      </x:c>
      <x:c r="C6" s="69" t="str">
        <x:v>Nombre visible de actividad.</x:v>
      </x:c>
      <x:c r="D6" s="69" t="str">
        <x:v>Selector_Template_v1_1</x:v>
      </x:c>
      <x:c r="E6" s="69" t="str">
        <x:v>Se puede prellenar B0.</x:v>
      </x:c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activity_description</x:v>
      </x:c>
      <x:c r="B7" s="69" t="str">
        <x:v>Recomendado</x:v>
      </x:c>
      <x:c r="C7" s="69" t="str">
        <x:v>Texto literal del usuario.</x:v>
      </x:c>
      <x:c r="D7" s="69" t="str">
        <x:v>Selector_Template_v1_1</x:v>
      </x:c>
      <x:c r="E7" s="69" t="str">
        <x:v>No convertir en hecho sin confirmación.</x:v>
      </x:c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runtime_probe_priority</x:v>
      </x:c>
      <x:c r="B8" s="69" t="str">
        <x:v>Sí</x:v>
      </x:c>
      <x:c r="C8" s="69" t="str">
        <x:v>Alta, media, baja, exploratoria o no probe.</x:v>
      </x:c>
      <x:c r="D8" s="69" t="str">
        <x:v>Selector_Template_v1_1</x:v>
      </x:c>
      <x:c r="E8" s="69" t="str">
        <x:v>Prioridad de ejecución.</x:v>
      </x:c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pm_probe_hypothesis</x:v>
      </x:c>
      <x:c r="B9" s="69" t="str">
        <x:v>Sí</x:v>
      </x:c>
      <x:c r="C9" s="69" t="str">
        <x:v>Señal PM esperada.</x:v>
      </x:c>
      <x:c r="D9" s="69" t="str">
        <x:v>Selector_Template_v1_1</x:v>
      </x:c>
      <x:c r="E9" s="69" t="str">
        <x:v>Hipótesis, no evidencia.</x:v>
      </x:c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moc_probe_hypothesis</x:v>
      </x:c>
      <x:c r="B10" s="69" t="str">
        <x:v>Sí</x:v>
      </x:c>
      <x:c r="C10" s="69" t="str">
        <x:v>Señal MoC esperada.</x:v>
      </x:c>
      <x:c r="D10" s="69" t="str">
        <x:v>Selector_Template_v1_1</x:v>
      </x:c>
      <x:c r="E10" s="69" t="str">
        <x:v>Hipótesis, no clase confirmada.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pf_probe_hypothesis</x:v>
      </x:c>
      <x:c r="B11" s="69" t="str">
        <x:v>Sí</x:v>
      </x:c>
      <x:c r="C11" s="69" t="str">
        <x:v>Señal PF esperada.</x:v>
      </x:c>
      <x:c r="D11" s="69" t="str">
        <x:v>Selector_Template_v1_1</x:v>
      </x:c>
      <x:c r="E11" s="69" t="str">
        <x:v>Hipótesis, no flujo confirmado.</x:v>
      </x:c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olc_probe_hypothesis</x:v>
      </x:c>
      <x:c r="B12" s="69" t="str">
        <x:v>Sí</x:v>
      </x:c>
      <x:c r="C12" s="69" t="str">
        <x:v>Señal OLC esperada.</x:v>
      </x:c>
      <x:c r="D12" s="69" t="str">
        <x:v>Selector_Template_v1_1</x:v>
      </x:c>
      <x:c r="E12" s="69" t="str">
        <x:v>Hipótesis, no estado confirmado.</x:v>
      </x:c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 t="str">
        <x:v>selection_score</x:v>
      </x:c>
      <x:c r="B13" s="69" t="str">
        <x:v>Sí</x:v>
      </x:c>
      <x:c r="C13" s="69" t="str">
        <x:v>PrimaryActivitySelectionScore.</x:v>
      </x:c>
      <x:c r="D13" s="69" t="str">
        <x:v>Selector_Template_v1_1</x:v>
      </x:c>
      <x:c r="E13" s="69" t="str">
        <x:v>Auditable.</x:v>
      </x:c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 t="str">
        <x:v>selection_reason</x:v>
      </x:c>
      <x:c r="B14" s="69" t="str">
        <x:v>Sí</x:v>
      </x:c>
      <x:c r="C14" s="69" t="str">
        <x:v>Dominant reason / notes.</x:v>
      </x:c>
      <x:c r="D14" s="69" t="str">
        <x:v>Selector_Template_v1_1</x:v>
      </x:c>
      <x:c r="E14" s="69" t="str">
        <x:v>No diagnóstico.</x:v>
      </x:c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 t="str">
        <x:v>non_primary_context</x:v>
      </x:c>
      <x:c r="B15" s="69" t="str">
        <x:v>Sí para no seleccionadas</x:v>
      </x:c>
      <x:c r="C15" s="69" t="str">
        <x:v>Estado y razón de no selección.</x:v>
      </x:c>
      <x:c r="D15" s="69" t="str">
        <x:v>NonPrimary_Context + selector</x:v>
      </x:c>
      <x:c r="E15" s="69" t="str">
        <x:v>No borrar WorkMap.</x:v>
      </x:c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 t="str">
        <x:v>epistemic_boundary</x:v>
      </x:c>
      <x:c r="B16" s="69" t="str">
        <x:v>Sí</x:v>
      </x:c>
      <x:c r="C16" s="69" t="str">
        <x:v>Todo lo enviado es señal pre-Runtime hasta confirmación por Runtime.</x:v>
      </x:c>
      <x:c r="D16" s="69" t="str">
        <x:v>Regla fija v1.1</x:v>
      </x:c>
      <x:c r="E16" s="69" t="str">
        <x:v>Frontera epistemológica.</x:v>
      </x:c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8" t="str">
        <x:v>QA_ID</x:v>
      </x:c>
      <x:c r="B1" s="68" t="str">
        <x:v>Prueba</x:v>
      </x:c>
      <x:c r="C1" s="68" t="str">
        <x:v>Criterio de aprobación</x:v>
      </x:c>
      <x:c r="D1" s="68" t="str">
        <x:v>Riesgo controlado</x:v>
      </x:c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QA-v1.1-01</x:v>
      </x:c>
      <x:c r="B2" s="69" t="str">
        <x:v>Máximo 8 primarias</x:v>
      </x:c>
      <x:c r="C2" s="69" t="str">
        <x:v>Final_Selection_Status primaria &lt;= 8.</x:v>
      </x:c>
      <x:c r="D2" s="69" t="str">
        <x:v>Sobrecarga UX.</x:v>
      </x:c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QA-v1.1-02</x:v>
      </x:c>
      <x:c r="B3" s="69" t="str">
        <x:v>No gates MMABP duros prematuros</x:v>
      </x:c>
      <x:c r="C3" s="69" t="str">
        <x:v>No bloquear por falta explícita de cliente, objeto, estado, receptor, timer o transición en WorkMap.</x:v>
      </x:c>
      <x:c r="D3" s="69" t="str">
        <x:v>Rigidez prematura.</x:v>
      </x:c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QA-v1.1-03</x:v>
      </x:c>
      <x:c r="B4" s="69" t="str">
        <x:v>Unknown no equivale a cero</x:v>
      </x:c>
      <x:c r="C4" s="69" t="str">
        <x:v>Las señales en blanco se tratan neutral o revisión, no como 0 automático.</x:v>
      </x:c>
      <x:c r="D4" s="69" t="str">
        <x:v>Falsos negativos.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QA-v1.1-04</x:v>
      </x:c>
      <x:c r="B5" s="69" t="str">
        <x:v>Gates duros mínimos</x:v>
      </x:c>
      <x:c r="C5" s="69" t="str">
        <x:v>Bloquear solo vacío/no actividad/duplicado evidente/microtarea/demasiado amplia/responsabilidad genérica.</x:v>
      </x:c>
      <x:c r="D5" s="69" t="str">
        <x:v>Selección punitiva.</x:v>
      </x:c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QA-v1.1-05</x:v>
      </x:c>
      <x:c r="B6" s="69" t="str">
        <x:v>Slot exploratorio gobernado</x:v>
      </x:c>
      <x:c r="C6" s="69" t="str">
        <x:v>Slot 8 tiene razón auditable y no supera máximo 8.</x:v>
      </x:c>
      <x:c r="D6" s="69" t="str">
        <x:v>Curiosidad sin gobierno.</x:v>
      </x:c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QA-v1.1-06</x:v>
      </x:c>
      <x:c r="B7" s="69" t="str">
        <x:v>Balance PM/MoC/PF/OLC como señales</x:v>
      </x:c>
      <x:c r="C7" s="69" t="str">
        <x:v>El selector registra hipótesis PM/MoC/PF/OLC, no hechos estructurales.</x:v>
      </x:c>
      <x:c r="D7" s="69" t="str">
        <x:v>Falsa diagramación.</x:v>
      </x:c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QA-v1.1-07</x:v>
      </x:c>
      <x:c r="B8" s="69" t="str">
        <x:v>No diagnóstico temprano</x:v>
      </x:c>
      <x:c r="C8" s="69" t="str">
        <x:v>No usa VSM/AHE ni patologías como criterio final de selección.</x:v>
      </x:c>
      <x:c r="D8" s="69" t="str">
        <x:v>Contaminación diagnóstica.</x:v>
      </x:c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QA-v1.1-08</x:v>
      </x:c>
      <x:c r="B9" s="69" t="str">
        <x:v>No delegar selección al usuario</x:v>
      </x:c>
      <x:c r="C9" s="69" t="str">
        <x:v>UI permite corregir facts, no elegir 8 favoritas.</x:v>
      </x:c>
      <x:c r="D9" s="69" t="str">
        <x:v>Pérdida metodológica.</x:v>
      </x:c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QA-v1.1-09</x:v>
      </x:c>
      <x:c r="B10" s="69" t="str">
        <x:v>No primarias preservadas</x:v>
      </x:c>
      <x:c r="C10" s="69" t="str">
        <x:v>Todas las actividades no primarias quedan como contexto o backlog.</x:v>
      </x:c>
      <x:c r="D10" s="69" t="str">
        <x:v>Pérdida de WorkMap.</x:v>
      </x:c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QA-v1.1-10</x:v>
      </x:c>
      <x:c r="B11" s="69" t="str">
        <x:v>Payload a Runtime completo</x:v>
      </x:c>
      <x:c r="C11" s="69" t="str">
        <x:v>Cada primaria tiene ID, rol, texto, prioridad, hipótesis PM/MoC/PF/OLC y score.</x:v>
      </x:c>
      <x:c r="D11" s="69" t="str">
        <x:v>Handoff incompleto.</x:v>
      </x:c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QA-v1.1-11</x:v>
      </x:c>
      <x:c r="B12" s="69" t="str">
        <x:v>Reentry B0/B0.5</x:v>
      </x:c>
      <x:c r="C12" s="69" t="str">
        <x:v>Actividad ambigua pero valiosa no se descarta automáticamente; puede ir a reconstrucción.</x:v>
      </x:c>
      <x:c r="D12" s="69" t="str">
        <x:v>Falso descarte.</x:v>
      </x:c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 t="str">
        <x:v>QA-v1.1-12</x:v>
      </x:c>
      <x:c r="B13" s="69" t="str">
        <x:v>Fórmulas sin errores</x:v>
      </x:c>
      <x:c r="C13" s="69" t="str">
        <x:v>No hay #REF!, #VALUE!, #DIV/0!, #NAME? en hojas v1.1.</x:v>
      </x:c>
      <x:c r="D13" s="69" t="str">
        <x:v>Falla implementable.</x:v>
      </x:c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2" hidden="0" customWidth="1"/>
    <x:col min="4" max="4" width="34" hidden="0" customWidth="1"/>
    <x:col min="5" max="5" width="32" hidden="0" customWidth="1"/>
    <x:col min="6" max="6" width="38" hidden="0" customWidth="1"/>
  </x:cols>
  <x:sheetData>
    <x:row r="1" ht="15" hidden="0" customHeight="1">
      <x:c r="A1" s="67" t="str">
        <x:v>Métrica</x:v>
      </x:c>
      <x:c r="B1" s="67" t="str">
        <x:v>Valor</x:v>
      </x:c>
      <x:c r="C1" s="67" t="str">
        <x:v>Regla / alerta</x:v>
      </x:c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68"/>
      <x:c r="AP1" s="68"/>
      <x:c r="AQ1" s="68"/>
      <x:c r="AR1" s="68"/>
      <x:c r="AS1" s="68"/>
      <x:c r="AT1" s="68"/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Actividades cargadas</x:v>
      </x:c>
      <x:c r="B2" s="72" t="n">
        <x:f>COUNTA(Selector_Template_v1_1!A2:A201)</x:f>
        <x:v>0</x:v>
      </x:c>
      <x:c r="C2" s="69" t="str">
        <x:v>Informativo</x:v>
      </x:c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  <x:c r="AG2" s="69"/>
      <x:c r="AH2" s="69"/>
      <x:c r="AI2" s="69"/>
      <x:c r="AJ2" s="69"/>
      <x:c r="AK2" s="69"/>
      <x:c r="AL2" s="69"/>
      <x:c r="AM2" s="69"/>
      <x:c r="AN2" s="69"/>
      <x:c r="AO2" s="69"/>
      <x:c r="AP2" s="69"/>
      <x:c r="AQ2" s="69"/>
      <x:c r="AR2" s="69"/>
      <x:c r="AS2" s="69"/>
      <x:c r="AT2" s="69"/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Elegibles</x:v>
      </x:c>
      <x:c r="B3" s="72" t="n">
        <x:f>COUNTIF(Selector_Template_v1_1!Z2:Z201,"ELEGIBLE")</x:f>
        <x:v>0</x:v>
      </x:c>
      <x:c r="C3" s="69" t="str">
        <x:v>Informativo</x:v>
      </x:c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  <x:c r="AA3" s="69"/>
      <x:c r="AB3" s="69"/>
      <x:c r="AC3" s="69"/>
      <x:c r="AD3" s="69"/>
      <x:c r="AE3" s="69"/>
      <x:c r="AF3" s="69"/>
      <x:c r="AG3" s="69"/>
      <x:c r="AH3" s="69"/>
      <x:c r="AI3" s="69"/>
      <x:c r="AJ3" s="69"/>
      <x:c r="AK3" s="69"/>
      <x:c r="AL3" s="69"/>
      <x:c r="AM3" s="69"/>
      <x:c r="AN3" s="69"/>
      <x:c r="AO3" s="69"/>
      <x:c r="AP3" s="69"/>
      <x:c r="AQ3" s="69"/>
      <x:c r="AR3" s="69"/>
      <x:c r="AS3" s="69"/>
      <x:c r="AT3" s="69"/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En revisión</x:v>
      </x:c>
      <x:c r="B4" s="72" t="n">
        <x:f>COUNTIF(Selector_Template_v1_1!Z2:Z201,"REVISIÓN")</x:f>
        <x:v>0</x:v>
      </x:c>
      <x:c r="C4" s="69" t="str">
        <x:v>Puede alimentar slot exploratorio o reentry</x:v>
      </x:c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  <x:c r="AA4" s="69"/>
      <x:c r="AB4" s="69"/>
      <x:c r="AC4" s="69"/>
      <x:c r="AD4" s="69"/>
      <x:c r="AE4" s="69"/>
      <x:c r="AF4" s="69"/>
      <x:c r="AG4" s="69"/>
      <x:c r="AH4" s="69"/>
      <x:c r="AI4" s="69"/>
      <x:c r="AJ4" s="69"/>
      <x:c r="AK4" s="69"/>
      <x:c r="AL4" s="69"/>
      <x:c r="AM4" s="69"/>
      <x:c r="AN4" s="69"/>
      <x:c r="AO4" s="69"/>
      <x:c r="AP4" s="69"/>
      <x:c r="AQ4" s="69"/>
      <x:c r="AR4" s="69"/>
      <x:c r="AS4" s="69"/>
      <x:c r="AT4" s="69"/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Bloqueadas</x:v>
      </x:c>
      <x:c r="B5" s="72" t="n">
        <x:f>COUNTIF(Selector_Template_v1_1!Z2:Z201,"BLOQUEADA")</x:f>
        <x:v>0</x:v>
      </x:c>
      <x:c r="C5" s="69" t="str">
        <x:v>Corregir WorkMap/B0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  <x:c r="AA5" s="69"/>
      <x:c r="AB5" s="69"/>
      <x:c r="AC5" s="69"/>
      <x:c r="AD5" s="69"/>
      <x:c r="AE5" s="69"/>
      <x:c r="AF5" s="69"/>
      <x:c r="AG5" s="69"/>
      <x:c r="AH5" s="69"/>
      <x:c r="AI5" s="69"/>
      <x:c r="AJ5" s="69"/>
      <x:c r="AK5" s="69"/>
      <x:c r="AL5" s="69"/>
      <x:c r="AM5" s="69"/>
      <x:c r="AN5" s="69"/>
      <x:c r="AO5" s="69"/>
      <x:c r="AP5" s="69"/>
      <x:c r="AQ5" s="69"/>
      <x:c r="AR5" s="69"/>
      <x:c r="AS5" s="69"/>
      <x:c r="AT5" s="69"/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Primarias propuestas</x:v>
      </x:c>
      <x:c r="B6" s="72" t="n">
        <x:f>COUNTIF(Selector_Template_v1_1!AM2:AM201,"Primaria propuesta")</x:f>
        <x:v>0</x:v>
      </x:c>
      <x:c r="C6" s="69" t="str">
        <x:f>IF(B6&lt;=8,"OK","ALERTA: supera 8")</x:f>
        <x:v>OK</x:v>
      </x:c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  <x:c r="AA6" s="69"/>
      <x:c r="AB6" s="69"/>
      <x:c r="AC6" s="69"/>
      <x:c r="AD6" s="69"/>
      <x:c r="AE6" s="69"/>
      <x:c r="AF6" s="69"/>
      <x:c r="AG6" s="69"/>
      <x:c r="AH6" s="69"/>
      <x:c r="AI6" s="69"/>
      <x:c r="AJ6" s="69"/>
      <x:c r="AK6" s="69"/>
      <x:c r="AL6" s="69"/>
      <x:c r="AM6" s="69"/>
      <x:c r="AN6" s="69"/>
      <x:c r="AO6" s="69"/>
      <x:c r="AP6" s="69"/>
      <x:c r="AQ6" s="69"/>
      <x:c r="AR6" s="69"/>
      <x:c r="AS6" s="69"/>
      <x:c r="AT6" s="69"/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Promedio selector score</x:v>
      </x:c>
      <x:c r="B7" s="72" t="str">
        <x:f>IFERROR(AVERAGEIF(Selector_Template_v1_1!Z2:Z201,"ELEGIBLE",Selector_Template_v1_1!AH2:AH201),"")</x:f>
      </x:c>
      <x:c r="C7" s="69" t="str">
        <x:v>Solo elegibles</x:v>
      </x:c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  <x:c r="AA7" s="69"/>
      <x:c r="AB7" s="69"/>
      <x:c r="AC7" s="69"/>
      <x:c r="AD7" s="69"/>
      <x:c r="AE7" s="69"/>
      <x:c r="AF7" s="69"/>
      <x:c r="AG7" s="69"/>
      <x:c r="AH7" s="69"/>
      <x:c r="AI7" s="69"/>
      <x:c r="AJ7" s="69"/>
      <x:c r="AK7" s="69"/>
      <x:c r="AL7" s="69"/>
      <x:c r="AM7" s="69"/>
      <x:c r="AN7" s="69"/>
      <x:c r="AO7" s="69"/>
      <x:c r="AP7" s="69"/>
      <x:c r="AQ7" s="69"/>
      <x:c r="AR7" s="69"/>
      <x:c r="AS7" s="69"/>
      <x:c r="AT7" s="69"/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Promedio señal arquitectónica</x:v>
      </x:c>
      <x:c r="B8" s="72" t="str">
        <x:f>IFERROR(AVERAGEIF(Selector_Template_v1_1!Z2:Z201,"ELEGIBLE",Selector_Template_v1_1!AA2:AA201),"")</x:f>
      </x:c>
      <x:c r="C8" s="69" t="str">
        <x:v>No es evidencia confirmada</x:v>
      </x:c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  <x:c r="AA8" s="69"/>
      <x:c r="AB8" s="69"/>
      <x:c r="AC8" s="69"/>
      <x:c r="AD8" s="69"/>
      <x:c r="AE8" s="69"/>
      <x:c r="AF8" s="69"/>
      <x:c r="AG8" s="69"/>
      <x:c r="AH8" s="69"/>
      <x:c r="AI8" s="69"/>
      <x:c r="AJ8" s="69"/>
      <x:c r="AK8" s="69"/>
      <x:c r="AL8" s="69"/>
      <x:c r="AM8" s="69"/>
      <x:c r="AN8" s="69"/>
      <x:c r="AO8" s="69"/>
      <x:c r="AP8" s="69"/>
      <x:c r="AQ8" s="69"/>
      <x:c r="AR8" s="69"/>
      <x:c r="AS8" s="69"/>
      <x:c r="AT8" s="69"/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Alto potencial PM</x:v>
      </x:c>
      <x:c r="B9" s="72" t="n">
        <x:f>COUNTIF(Selector_Template_v1_1!AP2:AP201,"Prometedora")</x:f>
        <x:v>0</x:v>
      </x:c>
      <x:c r="C9" s="69" t="str">
        <x:v>Hipótesis PM</x:v>
      </x:c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  <x:c r="AA9" s="69"/>
      <x:c r="AB9" s="69"/>
      <x:c r="AC9" s="69"/>
      <x:c r="AD9" s="69"/>
      <x:c r="AE9" s="69"/>
      <x:c r="AF9" s="69"/>
      <x:c r="AG9" s="69"/>
      <x:c r="AH9" s="69"/>
      <x:c r="AI9" s="69"/>
      <x:c r="AJ9" s="69"/>
      <x:c r="AK9" s="69"/>
      <x:c r="AL9" s="69"/>
      <x:c r="AM9" s="69"/>
      <x:c r="AN9" s="69"/>
      <x:c r="AO9" s="69"/>
      <x:c r="AP9" s="69"/>
      <x:c r="AQ9" s="69"/>
      <x:c r="AR9" s="69"/>
      <x:c r="AS9" s="69"/>
      <x:c r="AT9" s="69"/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Alto potencial MoC</x:v>
      </x:c>
      <x:c r="B10" s="72" t="n">
        <x:f>COUNTIF(Selector_Template_v1_1!AQ2:AQ201,"Prometedora")</x:f>
        <x:v>0</x:v>
      </x:c>
      <x:c r="C10" s="69" t="str">
        <x:v>Hipótesis MoC</x:v>
      </x:c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Alto potencial PF</x:v>
      </x:c>
      <x:c r="B11" s="72" t="n">
        <x:f>COUNTIF(Selector_Template_v1_1!AR2:AR201,"Prometedora")</x:f>
        <x:v>0</x:v>
      </x:c>
      <x:c r="C11" s="69" t="str">
        <x:v>Hipótesis PF</x:v>
      </x:c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  <x:c r="AA11" s="69"/>
      <x:c r="AB11" s="69"/>
      <x:c r="AC11" s="69"/>
      <x:c r="AD11" s="69"/>
      <x:c r="AE11" s="69"/>
      <x:c r="AF11" s="69"/>
      <x:c r="AG11" s="69"/>
      <x:c r="AH11" s="69"/>
      <x:c r="AI11" s="69"/>
      <x:c r="AJ11" s="69"/>
      <x:c r="AK11" s="69"/>
      <x:c r="AL11" s="69"/>
      <x:c r="AM11" s="69"/>
      <x:c r="AN11" s="69"/>
      <x:c r="AO11" s="69"/>
      <x:c r="AP11" s="69"/>
      <x:c r="AQ11" s="69"/>
      <x:c r="AR11" s="69"/>
      <x:c r="AS11" s="69"/>
      <x:c r="AT11" s="69"/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Alto potencial OLC</x:v>
      </x:c>
      <x:c r="B12" s="72" t="n">
        <x:f>COUNTIF(Selector_Template_v1_1!AS2:AS201,"Prometedora")</x:f>
        <x:v>0</x:v>
      </x:c>
      <x:c r="C12" s="69" t="str">
        <x:v>Hipótesis OLC</x:v>
      </x:c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  <x:c r="AA12" s="69"/>
      <x:c r="AB12" s="69"/>
      <x:c r="AC12" s="69"/>
      <x:c r="AD12" s="69"/>
      <x:c r="AE12" s="69"/>
      <x:c r="AF12" s="69"/>
      <x:c r="AG12" s="69"/>
      <x:c r="AH12" s="69"/>
      <x:c r="AI12" s="69"/>
      <x:c r="AJ12" s="69"/>
      <x:c r="AK12" s="69"/>
      <x:c r="AL12" s="69"/>
      <x:c r="AM12" s="69"/>
      <x:c r="AN12" s="69"/>
      <x:c r="AO12" s="69"/>
      <x:c r="AP12" s="69"/>
      <x:c r="AQ12" s="69"/>
      <x:c r="AR12" s="69"/>
      <x:c r="AS12" s="69"/>
      <x:c r="AT12" s="69"/>
      <x:c r="AU12" s="69"/>
      <x:c r="AV12" s="69"/>
      <x:c r="AW12" s="69"/>
      <x:c r="AX12" s="69"/>
      <x:c r="AY12" s="69"/>
      <x:c r="AZ12" s="69"/>
    </x:row>
    <x:row r="13" ht="15" hidden="0" customHeight="1">
      <x:c r="A13" s="69" t="str">
        <x:v>Slot exploratorio posible</x:v>
      </x:c>
      <x:c r="B13" s="72" t="n">
        <x:f>COUNTIF(Selector_Template_v1_1!AJ2:AJ201,"*exploratorio*")</x:f>
        <x:v>0</x:v>
      </x:c>
      <x:c r="C13" s="69" t="str">
        <x:v>Revisar manualmente</x:v>
      </x:c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 t="str">
        <x:v>QA mínimo</x:v>
      </x:c>
      <x:c r="B14" s="72" t="str">
        <x:f>IF(AND(B6&lt;=8,B1&gt;=0),"OK","REVISAR")</x:f>
        <x:v>OK</x:v>
      </x:c>
      <x:c r="C14" s="69" t="str">
        <x:v>Control básico</x:v>
      </x:c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conditionalFormatting sqref="B6:B6">
    <x:cfRule type="cellIs" dxfId="10" priority="1" operator="greaterThan">
      <x:formula>8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42" hidden="0" customWidth="1"/>
    <x:col min="7" max="7" width="13" hidden="0" customWidth="1"/>
    <x:col min="8" max="8" width="13" hidden="0" customWidth="1"/>
    <x:col min="9" max="9" width="22" hidden="0" customWidth="1"/>
    <x:col min="10" max="10" width="2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4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3" hidden="0" customWidth="1"/>
    <x:col min="34" max="34" width="17" hidden="0" customWidth="1"/>
    <x:col min="35" max="35" width="13" hidden="0" customWidth="1"/>
    <x:col min="36" max="36" width="24" hidden="0" customWidth="1"/>
    <x:col min="37" max="37" width="22" hidden="0" customWidth="1"/>
    <x:col min="38" max="38" width="16" hidden="0" customWidth="1"/>
    <x:col min="39" max="39" width="24" hidden="0" customWidth="1"/>
    <x:col min="40" max="40" width="24" hidden="0" customWidth="1"/>
    <x:col min="41" max="41" width="18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4" hidden="0" customWidth="1"/>
  </x:cols>
  <x:sheetData>
    <x:row r="1" ht="26.399999618530273" hidden="0" customHeight="1">
      <x:c r="A1" s="68" t="str">
        <x:v>activity_id</x:v>
      </x:c>
      <x:c r="B1" s="68" t="str">
        <x:v>responsibility_id</x:v>
      </x:c>
      <x:c r="C1" s="68" t="str">
        <x:v>area</x:v>
      </x:c>
      <x:c r="D1" s="68" t="str">
        <x:v>functional_role</x:v>
      </x:c>
      <x:c r="E1" s="68" t="str">
        <x:v>activity_label</x:v>
      </x:c>
      <x:c r="F1" s="68" t="str">
        <x:v>activity_description</x:v>
      </x:c>
      <x:c r="G1" s="68" t="str">
        <x:v>workmap_trace_ok</x:v>
      </x:c>
      <x:c r="H1" s="68" t="str">
        <x:v>is_work_activity</x:v>
      </x:c>
      <x:c r="I1" s="68" t="str">
        <x:v>granularity_status</x:v>
      </x:c>
      <x:c r="J1" s="68" t="str">
        <x:v>duplicate_or_alias_status</x:v>
      </x:c>
      <x:c r="K1" s="68" t="str">
        <x:v>user_text_density_0_3</x:v>
      </x:c>
      <x:c r="L1" s="68" t="str">
        <x:v>semantic_clarity_0_3</x:v>
      </x:c>
      <x:c r="M1" s="68" t="str">
        <x:v>pm_signal_0_3</x:v>
      </x:c>
      <x:c r="N1" s="68" t="str">
        <x:v>moc_signal_0_3</x:v>
      </x:c>
      <x:c r="O1" s="68" t="str">
        <x:v>pf_signal_0_3</x:v>
      </x:c>
      <x:c r="P1" s="68" t="str">
        <x:v>olc_signal_0_3</x:v>
      </x:c>
      <x:c r="Q1" s="68" t="str">
        <x:v>operational_centrality_0_3</x:v>
      </x:c>
      <x:c r="R1" s="68" t="str">
        <x:v>handoff_dependency_signal_0_3</x:v>
      </x:c>
      <x:c r="S1" s="68" t="str">
        <x:v>transformation_object_signal_0_3</x:v>
      </x:c>
      <x:c r="T1" s="68" t="str">
        <x:v>friction_exception_signal_0_3</x:v>
      </x:c>
      <x:c r="U1" s="68" t="str">
        <x:v>coverage_diversity_0_3</x:v>
      </x:c>
      <x:c r="V1" s="68" t="str">
        <x:v>vagueness_risk_0_3</x:v>
      </x:c>
      <x:c r="W1" s="68" t="str">
        <x:v>granularity_risk_0_3</x:v>
      </x:c>
      <x:c r="X1" s="68" t="str">
        <x:v>duplicate_alias_risk_0_3</x:v>
      </x:c>
      <x:c r="Y1" s="68" t="str">
        <x:v>unknown_signal_count</x:v>
      </x:c>
      <x:c r="Z1" s="68" t="str">
        <x:v>Hard_Gate</x:v>
      </x:c>
      <x:c r="AA1" s="70" t="str">
        <x:v>Architectural_Signal_Potential</x:v>
      </x:c>
      <x:c r="AB1" s="70" t="str">
        <x:v>Operational_Centrality_Score</x:v>
      </x:c>
      <x:c r="AC1" s="70" t="str">
        <x:v>Handoff_Dependency_Score</x:v>
      </x:c>
      <x:c r="AD1" s="70" t="str">
        <x:v>Transformation_Object_Score</x:v>
      </x:c>
      <x:c r="AE1" s="70" t="str">
        <x:v>Friction_Exception_Score</x:v>
      </x:c>
      <x:c r="AF1" s="70" t="str">
        <x:v>Coverage_Diversity_Score</x:v>
      </x:c>
      <x:c r="AG1" s="70" t="str">
        <x:v>Penalty_Total</x:v>
      </x:c>
      <x:c r="AH1" s="70" t="str">
        <x:v>PrimaryActivitySelectionScore</x:v>
      </x:c>
      <x:c r="AI1" s="68" t="str">
        <x:v>Selector_Rank</x:v>
      </x:c>
      <x:c r="AJ1" s="68" t="str">
        <x:v>Slot_Candidate</x:v>
      </x:c>
      <x:c r="AK1" s="68" t="str">
        <x:v>Initial_Selection_Status</x:v>
      </x:c>
      <x:c r="AL1" s="68" t="str">
        <x:v>Manual_Review_Need</x:v>
      </x:c>
      <x:c r="AM1" s="68" t="str">
        <x:v>Final_Selection_Status</x:v>
      </x:c>
      <x:c r="AN1" s="68" t="str">
        <x:v>Runtime_Opening_Profile</x:v>
      </x:c>
      <x:c r="AO1" s="68" t="str">
        <x:v>Runtime_Probe_Priority</x:v>
      </x:c>
      <x:c r="AP1" s="68" t="str">
        <x:v>PM_Probe_Hypothesis</x:v>
      </x:c>
      <x:c r="AQ1" s="68" t="str">
        <x:v>MoC_Probe_Hypothesis</x:v>
      </x:c>
      <x:c r="AR1" s="68" t="str">
        <x:v>PF_Probe_Hypothesis</x:v>
      </x:c>
      <x:c r="AS1" s="68" t="str">
        <x:v>OLC_Probe_Hypothesis</x:v>
      </x:c>
      <x:c r="AT1" s="68" t="str">
        <x:v>Notes</x:v>
      </x:c>
      <x:c r="AU1" s="68"/>
      <x:c r="AV1" s="68"/>
      <x:c r="AW1" s="68"/>
      <x:c r="AX1" s="68"/>
      <x:c r="AY1" s="68"/>
      <x:c r="AZ1" s="68"/>
    </x:row>
    <x:row r="2" ht="15" hidden="0" customHeight="1">
      <x:c r="A2" s="69" t="str">
        <x:v>A001</x:v>
      </x:c>
      <x:c r="B2" s="69" t="str">
        <x:v>R001</x:v>
      </x:c>
      <x:c r="C2" s="69" t="str">
        <x:v>Operaciones</x:v>
      </x:c>
      <x:c r="D2" s="69" t="str">
        <x:v>Rol A</x:v>
      </x:c>
      <x:c r="E2" s="69" t="str">
        <x:v>Revisar pedidos antes de enviarlos</x:v>
      </x:c>
      <x:c r="F2" s="69" t="str">
        <x:v>Revisar pedidos antes de enviarlos a cocina/reparto</x:v>
      </x:c>
      <x:c r="G2" s="69" t="str">
        <x:v>Sí</x:v>
      </x:c>
      <x:c r="H2" s="69" t="str">
        <x:v>Sí</x:v>
      </x:c>
      <x:c r="I2" s="69" t="str">
        <x:v>Correcta</x:v>
      </x:c>
      <x:c r="J2" s="69" t="str">
        <x:v>No</x:v>
      </x:c>
      <x:c r="K2" s="69" t="n">
        <x:v>3</x:v>
      </x:c>
      <x:c r="L2" s="69" t="n">
        <x:v>3</x:v>
      </x:c>
      <x:c r="M2" s="69" t="n">
        <x:v>2</x:v>
      </x:c>
      <x:c r="N2" s="69" t="n">
        <x:v>3</x:v>
      </x:c>
      <x:c r="O2" s="69" t="n">
        <x:v>3</x:v>
      </x:c>
      <x:c r="P2" s="69" t="n">
        <x:v>2</x:v>
      </x:c>
      <x:c r="Q2" s="69" t="n">
        <x:v>3</x:v>
      </x:c>
      <x:c r="R2" s="69" t="n">
        <x:v>2</x:v>
      </x:c>
      <x:c r="S2" s="69" t="n">
        <x:v>3</x:v>
      </x:c>
      <x:c r="T2" s="69" t="n">
        <x:v>2</x:v>
      </x:c>
      <x:c r="U2" s="69" t="n">
        <x:v>3</x:v>
      </x:c>
      <x:c r="V2" s="69" t="n">
        <x:v>1</x:v>
      </x:c>
      <x:c r="W2" s="69" t="n">
        <x:v>0</x:v>
      </x:c>
      <x:c r="X2" s="69" t="n">
        <x:v>0</x:v>
      </x:c>
      <x:c r="Y2" s="69" t="n">
        <x:f>COUNTBLANK(M2:P2)</x:f>
        <x:v>0</x:v>
      </x:c>
      <x:c r="Z2" s="69" t="str">
        <x:f>IF(OR(E2="",G2="No",H2="No",I2="Responsabilidad genérica",I2="Demasiado amplia",I2="Microtarea",J2="Duplicado evidente"),"BLOQUEADA",IF(OR(I2="Ambigua",L2&lt;1,K2&lt;1),"REVISIÓN","ELEGIBLE"))</x:f>
        <x:v>ELEGIBLE</x:v>
      </x:c>
      <x:c r="AA2" s="69" t="n">
        <x:f>IF(Z2="BLOQUEADA",0,ROUND(100*(IF(M2="",1.5,M2)+IF(N2="",1.5,N2)+IF(O2="",1.5,O2)+IF(P2="",1.5,P2))/12,1))</x:f>
        <x:v>83.3</x:v>
      </x:c>
      <x:c r="AB2" s="69" t="n">
        <x:f>IF(Z2="BLOQUEADA",0,ROUND(100*IF(Q2="",1.5,Q2)/3,1))</x:f>
        <x:v>100</x:v>
      </x:c>
      <x:c r="AC2" s="69" t="n">
        <x:f>IF(Z2="BLOQUEADA",0,ROUND(100*IF(R2="",1.5,R2)/3,1))</x:f>
        <x:v>66.7</x:v>
      </x:c>
      <x:c r="AD2" s="69" t="n">
        <x:f>IF(Z2="BLOQUEADA",0,ROUND(100*IF(S2="",1.5,S2)/3,1))</x:f>
        <x:v>100</x:v>
      </x:c>
      <x:c r="AE2" s="69" t="n">
        <x:f>IF(Z2="BLOQUEADA",0,ROUND(100*IF(T2="",1.5,T2)/3,1))</x:f>
        <x:v>66.7</x:v>
      </x:c>
      <x:c r="AF2" s="69" t="n">
        <x:f>IF(Z2="BLOQUEADA",0,ROUND(100*IF(U2="",1.5,U2)/3,1))</x:f>
        <x:v>100</x:v>
      </x:c>
      <x:c r="AG2" s="69" t="n">
        <x:f>ROUND(IF(Z2="BLOQUEADA",100,(X2*10)+(V2*8)+(W2*8)),1)</x:f>
        <x:v>8</x:v>
      </x:c>
      <x:c r="AH2" s="69" t="n">
        <x:f>IF(Z2="BLOQUEADA",0,MAX(0,ROUND(0.30*AA2+0.20*AB2+0.15*AC2+0.15*AD2+0.10*AE2+0.10*AF2-AG2,1)))</x:f>
        <x:v>78.7</x:v>
      </x:c>
      <x:c r="AI2" s="69" t="n">
        <x:f>IF(Z2="ELEGIBLE",RANK.EQ(AH2,$AH$2:$AH$12,0),"")</x:f>
        <x:v>4</x:v>
      </x:c>
      <x:c r="AJ2" s="69" t="str">
        <x:f>IF(Z2="BLOQUEADA","No aplica",IF(Z2="REVISIÓN","Slot 8 posible: exploratorio",IF(AI2&lt;=5,"Slot 1-5: alto potencial",IF(R2&gt;=2.5,"Slot 6: handoff/dependencia",IF(S2&gt;=2.5,"Slot 7: transformación/objeto",IF(AND(K2&gt;=1,U2&gt;=2),"Slot 8 posible: exploratorio","Backlog/contexto"))))))</x:f>
        <x:v>Slot 1-5: alto potencial</x:v>
      </x:c>
      <x:c r="AK2" s="69" t="str">
        <x:f>IF(Z2="BLOQUEADA","No seleccionable",IF(Z2="REVISIÓN","Revisión para slot exploratorio",IF(AI2&lt;=8,"Primaria propuesta","Contexto no primario")))</x:f>
        <x:v>Primaria propuesta</x:v>
      </x:c>
      <x:c r="AL2" s="69" t="str">
        <x:f>IF(OR(Z2="REVISIÓN",Y2&gt;=3,V2&gt;=2),"Sí","No")</x:f>
        <x:v>No</x:v>
      </x:c>
      <x:c r="AM2" s="69" t="str">
        <x:f>IF(AK2="Primaria propuesta","Primaria propuesta",IF(AK2="Revisión para slot exploratorio","Revisión / posible primaria exploratoria",IF(AK2="No seleccionable","No seleccionable","Contexto no primario")))</x:f>
        <x:v>Primaria propuesta</x:v>
      </x:c>
      <x:c r="AN2" s="69" t="str">
        <x:f>IF(AM2="Primaria propuesta",IF(AH2&gt;=75,"40+20 probable",IF(AH2&gt;=55,"40 base + causales selectivas","40 base + probes mínimos")),IF(AM2="Revisión / posible primaria exploratoria","B0/B0.5 reconstrucción antes de Runtime","No abre Runtime profundo"))</x:f>
        <x:v>40+20 probable</x:v>
      </x:c>
      <x:c r="AO2" s="69" t="str">
        <x:f>IF(Z2="BLOQUEADA","No probe",IF(AH2&gt;=75,"Alta",IF(AH2&gt;=55,"Media",IF(Z2="REVISIÓN","Exploratoria","Baja"))))</x:f>
        <x:v>Alta</x:v>
      </x:c>
      <x:c r="AP2" s="69" t="str">
        <x:f>IF(M2="","unknown",IF(M2&gt;=2,"Prometedora","Débil / validar en B0.5-B1"))</x:f>
        <x:v>Prometedora</x:v>
      </x:c>
      <x:c r="AQ2" s="69" t="str">
        <x:f>IF(N2="","unknown",IF(N2&gt;=2,"Prometedora","Débil / validar en B2"))</x:f>
        <x:v>Prometedora</x:v>
      </x:c>
      <x:c r="AR2" s="69" t="str">
        <x:f>IF(O2="","unknown",IF(O2&gt;=2,"Prometedora","Débil / validar en B3-B4"))</x:f>
        <x:v>Prometedora</x:v>
      </x:c>
      <x:c r="AS2" s="69" t="str">
        <x:f>IF(P2="","unknown",IF(P2&gt;=2,"Prometedora","Débil / validar en B2-B4"))</x:f>
        <x:v>Prometedora</x:v>
      </x:c>
      <x:c r="AT2" s="69" t="str">
        <x:v>Señales suficientes para Runtime; no modelar aún pedido como clase confirmada.</x:v>
      </x:c>
      <x:c r="AU2" s="69"/>
      <x:c r="AV2" s="69"/>
      <x:c r="AW2" s="69"/>
      <x:c r="AX2" s="69"/>
      <x:c r="AY2" s="69"/>
      <x:c r="AZ2" s="69"/>
    </x:row>
    <x:row r="3" ht="15" hidden="0" customHeight="1">
      <x:c r="A3" s="69" t="str">
        <x:v>A002</x:v>
      </x:c>
      <x:c r="B3" s="69" t="str">
        <x:v>R001</x:v>
      </x:c>
      <x:c r="C3" s="69" t="str">
        <x:v>Operaciones</x:v>
      </x:c>
      <x:c r="D3" s="69" t="str">
        <x:v>Rol A</x:v>
      </x:c>
      <x:c r="E3" s="69" t="str">
        <x:v>Actualizar inventario</x:v>
      </x:c>
      <x:c r="F3" s="69" t="str">
        <x:v>Registrar entrada/salida de productos al cierre</x:v>
      </x:c>
      <x:c r="G3" s="69" t="str">
        <x:v>Sí</x:v>
      </x:c>
      <x:c r="H3" s="69" t="str">
        <x:v>Sí</x:v>
      </x:c>
      <x:c r="I3" s="69" t="str">
        <x:v>Correcta</x:v>
      </x:c>
      <x:c r="J3" s="69" t="str">
        <x:v>No</x:v>
      </x:c>
      <x:c r="K3" s="69" t="n">
        <x:v>2</x:v>
      </x:c>
      <x:c r="L3" s="69" t="n">
        <x:v>3</x:v>
      </x:c>
      <x:c r="M3" s="69" t="n">
        <x:v>1</x:v>
      </x:c>
      <x:c r="N3" s="69" t="n">
        <x:v>3</x:v>
      </x:c>
      <x:c r="O3" s="69" t="n">
        <x:v>2</x:v>
      </x:c>
      <x:c r="P3" s="69" t="n">
        <x:v>2</x:v>
      </x:c>
      <x:c r="Q3" s="69" t="n">
        <x:v>2</x:v>
      </x:c>
      <x:c r="R3" s="69" t="n">
        <x:v>1</x:v>
      </x:c>
      <x:c r="S3" s="69" t="n">
        <x:v>3</x:v>
      </x:c>
      <x:c r="T3" s="69" t="n">
        <x:v>1</x:v>
      </x:c>
      <x:c r="U3" s="69" t="n">
        <x:v>2</x:v>
      </x:c>
      <x:c r="V3" s="69" t="n">
        <x:v>1</x:v>
      </x:c>
      <x:c r="W3" s="69" t="n">
        <x:v>0</x:v>
      </x:c>
      <x:c r="X3" s="69" t="n">
        <x:v>0</x:v>
      </x:c>
      <x:c r="Y3" s="69" t="n">
        <x:f>COUNTBLANK(M3:P3)</x:f>
        <x:v>0</x:v>
      </x:c>
      <x:c r="Z3" s="69" t="str">
        <x:f>IF(OR(E3="",G3="No",H3="No",I3="Responsabilidad genérica",I3="Demasiado amplia",I3="Microtarea",J3="Duplicado evidente"),"BLOQUEADA",IF(OR(I3="Ambigua",L3&lt;1,K3&lt;1),"REVISIÓN","ELEGIBLE"))</x:f>
        <x:v>ELEGIBLE</x:v>
      </x:c>
      <x:c r="AA3" s="69" t="n">
        <x:f>IF(Z3="BLOQUEADA",0,ROUND(100*(IF(M3="",1.5,M3)+IF(N3="",1.5,N3)+IF(O3="",1.5,O3)+IF(P3="",1.5,P3))/12,1))</x:f>
        <x:v>66.7</x:v>
      </x:c>
      <x:c r="AB3" s="69" t="n">
        <x:f>IF(Z3="BLOQUEADA",0,ROUND(100*IF(Q3="",1.5,Q3)/3,1))</x:f>
        <x:v>66.7</x:v>
      </x:c>
      <x:c r="AC3" s="69" t="n">
        <x:f>IF(Z3="BLOQUEADA",0,ROUND(100*IF(R3="",1.5,R3)/3,1))</x:f>
        <x:v>33.3</x:v>
      </x:c>
      <x:c r="AD3" s="69" t="n">
        <x:f>IF(Z3="BLOQUEADA",0,ROUND(100*IF(S3="",1.5,S3)/3,1))</x:f>
        <x:v>100</x:v>
      </x:c>
      <x:c r="AE3" s="69" t="n">
        <x:f>IF(Z3="BLOQUEADA",0,ROUND(100*IF(T3="",1.5,T3)/3,1))</x:f>
        <x:v>33.3</x:v>
      </x:c>
      <x:c r="AF3" s="69" t="n">
        <x:f>IF(Z3="BLOQUEADA",0,ROUND(100*IF(U3="",1.5,U3)/3,1))</x:f>
        <x:v>66.7</x:v>
      </x:c>
      <x:c r="AG3" s="69" t="n">
        <x:f>ROUND(IF(Z3="BLOQUEADA",100,(X3*10)+(V3*8)+(W3*8)),1)</x:f>
        <x:v>8</x:v>
      </x:c>
      <x:c r="AH3" s="69" t="n">
        <x:f>IF(Z3="BLOQUEADA",0,MAX(0,ROUND(0.30*AA3+0.20*AB3+0.15*AC3+0.15*AD3+0.10*AE3+0.10*AF3-AG3,1)))</x:f>
        <x:v>55.3</x:v>
      </x:c>
      <x:c r="AI3" s="69" t="n">
        <x:f>IF(Z3="ELEGIBLE",RANK.EQ(AH3,$AH$2:$AH$12,0),"")</x:f>
        <x:v>6</x:v>
      </x:c>
      <x:c r="AJ3" s="69" t="str">
        <x:f>IF(Z3="BLOQUEADA","No aplica",IF(Z3="REVISIÓN","Slot 8 posible: exploratorio",IF(AI3&lt;=5,"Slot 1-5: alto potencial",IF(R3&gt;=2.5,"Slot 6: handoff/dependencia",IF(S3&gt;=2.5,"Slot 7: transformación/objeto",IF(AND(K3&gt;=1,U3&gt;=2),"Slot 8 posible: exploratorio","Backlog/contexto"))))))</x:f>
        <x:v>Slot 7: transformación/objeto</x:v>
      </x:c>
      <x:c r="AK3" s="69" t="str">
        <x:f>IF(Z3="BLOQUEADA","No seleccionable",IF(Z3="REVISIÓN","Revisión para slot exploratorio",IF(AI3&lt;=8,"Primaria propuesta","Contexto no primario")))</x:f>
        <x:v>Primaria propuesta</x:v>
      </x:c>
      <x:c r="AL3" s="69" t="str">
        <x:f>IF(OR(Z3="REVISIÓN",Y3&gt;=3,V3&gt;=2),"Sí","No")</x:f>
        <x:v>No</x:v>
      </x:c>
      <x:c r="AM3" s="69" t="str">
        <x:f>IF(AK3="Primaria propuesta","Primaria propuesta",IF(AK3="Revisión para slot exploratorio","Revisión / posible primaria exploratoria",IF(AK3="No seleccionable","No seleccionable","Contexto no primario")))</x:f>
        <x:v>Primaria propuesta</x:v>
      </x:c>
      <x:c r="AN3" s="69" t="str">
        <x:f>IF(AM3="Primaria propuesta",IF(AH3&gt;=75,"40+20 probable",IF(AH3&gt;=55,"40 base + causales selectivas","40 base + probes mínimos")),IF(AM3="Revisión / posible primaria exploratoria","B0/B0.5 reconstrucción antes de Runtime","No abre Runtime profundo"))</x:f>
        <x:v>40 base + causales selectivas</x:v>
      </x:c>
      <x:c r="AO3" s="69" t="str">
        <x:f>IF(Z3="BLOQUEADA","No probe",IF(AH3&gt;=75,"Alta",IF(AH3&gt;=55,"Media",IF(Z3="REVISIÓN","Exploratoria","Baja"))))</x:f>
        <x:v>Media</x:v>
      </x:c>
      <x:c r="AP3" s="69" t="str">
        <x:f>IF(M3="","unknown",IF(M3&gt;=2,"Prometedora","Débil / validar en B0.5-B1"))</x:f>
        <x:v>Débil / validar en B0.5-B1</x:v>
      </x:c>
      <x:c r="AQ3" s="69" t="str">
        <x:f>IF(N3="","unknown",IF(N3&gt;=2,"Prometedora","Débil / validar en B2"))</x:f>
        <x:v>Prometedora</x:v>
      </x:c>
      <x:c r="AR3" s="69" t="str">
        <x:f>IF(O3="","unknown",IF(O3&gt;=2,"Prometedora","Débil / validar en B3-B4"))</x:f>
        <x:v>Prometedora</x:v>
      </x:c>
      <x:c r="AS3" s="69" t="str">
        <x:f>IF(P3="","unknown",IF(P3&gt;=2,"Prometedora","Débil / validar en B2-B4"))</x:f>
        <x:v>Prometedora</x:v>
      </x:c>
      <x:c r="AT3" s="69" t="str">
        <x:v>Transformación clara, aunque menor fricción.</x:v>
      </x:c>
      <x:c r="AU3" s="69"/>
      <x:c r="AV3" s="69"/>
      <x:c r="AW3" s="69"/>
      <x:c r="AX3" s="69"/>
      <x:c r="AY3" s="69"/>
      <x:c r="AZ3" s="69"/>
    </x:row>
    <x:row r="4" ht="15" hidden="0" customHeight="1">
      <x:c r="A4" s="69" t="str">
        <x:v>A003</x:v>
      </x:c>
      <x:c r="B4" s="69" t="str">
        <x:v>R002</x:v>
      </x:c>
      <x:c r="C4" s="69" t="str">
        <x:v>Servicio</x:v>
      </x:c>
      <x:c r="D4" s="69" t="str">
        <x:v>Rol A</x:v>
      </x:c>
      <x:c r="E4" s="69" t="str">
        <x:v>Atender reclamo de cliente</x:v>
      </x:c>
      <x:c r="F4" s="69" t="str">
        <x:v>Recibir reclamo, revisar causa y coordinar corrección</x:v>
      </x:c>
      <x:c r="G4" s="69" t="str">
        <x:v>Sí</x:v>
      </x:c>
      <x:c r="H4" s="69" t="str">
        <x:v>Sí</x:v>
      </x:c>
      <x:c r="I4" s="69" t="str">
        <x:v>Correcta</x:v>
      </x:c>
      <x:c r="J4" s="69" t="str">
        <x:v>No</x:v>
      </x:c>
      <x:c r="K4" s="69" t="n">
        <x:v>3</x:v>
      </x:c>
      <x:c r="L4" s="69" t="n">
        <x:v>3</x:v>
      </x:c>
      <x:c r="M4" s="69" t="n">
        <x:v>3</x:v>
      </x:c>
      <x:c r="N4" s="69" t="n">
        <x:v>3</x:v>
      </x:c>
      <x:c r="O4" s="69" t="n">
        <x:v>3</x:v>
      </x:c>
      <x:c r="P4" s="69" t="n">
        <x:v>2</x:v>
      </x:c>
      <x:c r="Q4" s="69" t="n">
        <x:v>3</x:v>
      </x:c>
      <x:c r="R4" s="69" t="n">
        <x:v>3</x:v>
      </x:c>
      <x:c r="S4" s="69" t="n">
        <x:v>2</x:v>
      </x:c>
      <x:c r="T4" s="69" t="n">
        <x:v>3</x:v>
      </x:c>
      <x:c r="U4" s="69" t="n">
        <x:v>3</x:v>
      </x:c>
      <x:c r="V4" s="69" t="n">
        <x:v>0</x:v>
      </x:c>
      <x:c r="W4" s="69" t="n">
        <x:v>0</x:v>
      </x:c>
      <x:c r="X4" s="69" t="n">
        <x:v>0</x:v>
      </x:c>
      <x:c r="Y4" s="69" t="n">
        <x:f>COUNTBLANK(M4:P4)</x:f>
        <x:v>0</x:v>
      </x:c>
      <x:c r="Z4" s="69" t="str">
        <x:f>IF(OR(E4="",G4="No",H4="No",I4="Responsabilidad genérica",I4="Demasiado amplia",I4="Microtarea",J4="Duplicado evidente"),"BLOQUEADA",IF(OR(I4="Ambigua",L4&lt;1,K4&lt;1),"REVISIÓN","ELEGIBLE"))</x:f>
        <x:v>ELEGIBLE</x:v>
      </x:c>
      <x:c r="AA4" s="69" t="n">
        <x:f>IF(Z4="BLOQUEADA",0,ROUND(100*(IF(M4="",1.5,M4)+IF(N4="",1.5,N4)+IF(O4="",1.5,O4)+IF(P4="",1.5,P4))/12,1))</x:f>
        <x:v>91.7</x:v>
      </x:c>
      <x:c r="AB4" s="69" t="n">
        <x:f>IF(Z4="BLOQUEADA",0,ROUND(100*IF(Q4="",1.5,Q4)/3,1))</x:f>
        <x:v>100</x:v>
      </x:c>
      <x:c r="AC4" s="69" t="n">
        <x:f>IF(Z4="BLOQUEADA",0,ROUND(100*IF(R4="",1.5,R4)/3,1))</x:f>
        <x:v>100</x:v>
      </x:c>
      <x:c r="AD4" s="69" t="n">
        <x:f>IF(Z4="BLOQUEADA",0,ROUND(100*IF(S4="",1.5,S4)/3,1))</x:f>
        <x:v>66.7</x:v>
      </x:c>
      <x:c r="AE4" s="69" t="n">
        <x:f>IF(Z4="BLOQUEADA",0,ROUND(100*IF(T4="",1.5,T4)/3,1))</x:f>
        <x:v>100</x:v>
      </x:c>
      <x:c r="AF4" s="69" t="n">
        <x:f>IF(Z4="BLOQUEADA",0,ROUND(100*IF(U4="",1.5,U4)/3,1))</x:f>
        <x:v>100</x:v>
      </x:c>
      <x:c r="AG4" s="69" t="n">
        <x:f>ROUND(IF(Z4="BLOQUEADA",100,(X4*10)+(V4*8)+(W4*8)),1)</x:f>
        <x:v>0</x:v>
      </x:c>
      <x:c r="AH4" s="69" t="n">
        <x:f>IF(Z4="BLOQUEADA",0,MAX(0,ROUND(0.30*AA4+0.20*AB4+0.15*AC4+0.15*AD4+0.10*AE4+0.10*AF4-AG4,1)))</x:f>
        <x:v>92.5</x:v>
      </x:c>
      <x:c r="AI4" s="69" t="n">
        <x:f>IF(Z4="ELEGIBLE",RANK.EQ(AH4,$AH$2:$AH$12,0),"")</x:f>
        <x:v>1</x:v>
      </x:c>
      <x:c r="AJ4" s="69" t="str">
        <x:f>IF(Z4="BLOQUEADA","No aplica",IF(Z4="REVISIÓN","Slot 8 posible: exploratorio",IF(AI4&lt;=5,"Slot 1-5: alto potencial",IF(R4&gt;=2.5,"Slot 6: handoff/dependencia",IF(S4&gt;=2.5,"Slot 7: transformación/objeto",IF(AND(K4&gt;=1,U4&gt;=2),"Slot 8 posible: exploratorio","Backlog/contexto"))))))</x:f>
        <x:v>Slot 1-5: alto potencial</x:v>
      </x:c>
      <x:c r="AK4" s="69" t="str">
        <x:f>IF(Z4="BLOQUEADA","No seleccionable",IF(Z4="REVISIÓN","Revisión para slot exploratorio",IF(AI4&lt;=8,"Primaria propuesta","Contexto no primario")))</x:f>
        <x:v>Primaria propuesta</x:v>
      </x:c>
      <x:c r="AL4" s="69" t="str">
        <x:f>IF(OR(Z4="REVISIÓN",Y4&gt;=3,V4&gt;=2),"Sí","No")</x:f>
        <x:v>No</x:v>
      </x:c>
      <x:c r="AM4" s="69" t="str">
        <x:f>IF(AK4="Primaria propuesta","Primaria propuesta",IF(AK4="Revisión para slot exploratorio","Revisión / posible primaria exploratoria",IF(AK4="No seleccionable","No seleccionable","Contexto no primario")))</x:f>
        <x:v>Primaria propuesta</x:v>
      </x:c>
      <x:c r="AN4" s="69" t="str">
        <x:f>IF(AM4="Primaria propuesta",IF(AH4&gt;=75,"40+20 probable",IF(AH4&gt;=55,"40 base + causales selectivas","40 base + probes mínimos")),IF(AM4="Revisión / posible primaria exploratoria","B0/B0.5 reconstrucción antes de Runtime","No abre Runtime profundo"))</x:f>
        <x:v>40+20 probable</x:v>
      </x:c>
      <x:c r="AO4" s="69" t="str">
        <x:f>IF(Z4="BLOQUEADA","No probe",IF(AH4&gt;=75,"Alta",IF(AH4&gt;=55,"Media",IF(Z4="REVISIÓN","Exploratoria","Baja"))))</x:f>
        <x:v>Alta</x:v>
      </x:c>
      <x:c r="AP4" s="69" t="str">
        <x:f>IF(M4="","unknown",IF(M4&gt;=2,"Prometedora","Débil / validar en B0.5-B1"))</x:f>
        <x:v>Prometedora</x:v>
      </x:c>
      <x:c r="AQ4" s="69" t="str">
        <x:f>IF(N4="","unknown",IF(N4&gt;=2,"Prometedora","Débil / validar en B2"))</x:f>
        <x:v>Prometedora</x:v>
      </x:c>
      <x:c r="AR4" s="69" t="str">
        <x:f>IF(O4="","unknown",IF(O4&gt;=2,"Prometedora","Débil / validar en B3-B4"))</x:f>
        <x:v>Prometedora</x:v>
      </x:c>
      <x:c r="AS4" s="69" t="str">
        <x:f>IF(P4="","unknown",IF(P4&gt;=2,"Prometedora","Débil / validar en B2-B4"))</x:f>
        <x:v>Prometedora</x:v>
      </x:c>
      <x:c r="AT4" s="69" t="str">
        <x:v>Alto valor para handoff, PF y feedback posterior.</x:v>
      </x:c>
      <x:c r="AU4" s="69"/>
      <x:c r="AV4" s="69"/>
      <x:c r="AW4" s="69"/>
      <x:c r="AX4" s="69"/>
      <x:c r="AY4" s="69"/>
      <x:c r="AZ4" s="69"/>
    </x:row>
    <x:row r="5" ht="15" hidden="0" customHeight="1">
      <x:c r="A5" s="69" t="str">
        <x:v>A004</x:v>
      </x:c>
      <x:c r="B5" s="69" t="str">
        <x:v>R003</x:v>
      </x:c>
      <x:c r="C5" s="69" t="str">
        <x:v>Administración</x:v>
      </x:c>
      <x:c r="D5" s="69" t="str">
        <x:v>Rol A</x:v>
      </x:c>
      <x:c r="E5" s="69" t="str">
        <x:v>Revisar factura rechazada</x:v>
      </x:c>
      <x:c r="F5" s="69" t="str">
        <x:v>Resolver devolución o rechazo de factura por cliente/proveedor</x:v>
      </x:c>
      <x:c r="G5" s="69" t="str">
        <x:v>Sí</x:v>
      </x:c>
      <x:c r="H5" s="69" t="str">
        <x:v>Sí</x:v>
      </x:c>
      <x:c r="I5" s="69" t="str">
        <x:v>Correcta</x:v>
      </x:c>
      <x:c r="J5" s="69" t="str">
        <x:v>No</x:v>
      </x:c>
      <x:c r="K5" s="69" t="n">
        <x:v>3</x:v>
      </x:c>
      <x:c r="L5" s="69" t="n">
        <x:v>3</x:v>
      </x:c>
      <x:c r="M5" s="69" t="n">
        <x:v>2</x:v>
      </x:c>
      <x:c r="N5" s="69" t="n">
        <x:v>3</x:v>
      </x:c>
      <x:c r="O5" s="69" t="n">
        <x:v>3</x:v>
      </x:c>
      <x:c r="P5" s="69" t="n">
        <x:v>3</x:v>
      </x:c>
      <x:c r="Q5" s="69" t="n">
        <x:v>2</x:v>
      </x:c>
      <x:c r="R5" s="69" t="n">
        <x:v>3</x:v>
      </x:c>
      <x:c r="S5" s="69" t="n">
        <x:v>3</x:v>
      </x:c>
      <x:c r="T5" s="69" t="n">
        <x:v>3</x:v>
      </x:c>
      <x:c r="U5" s="69" t="n">
        <x:v>2</x:v>
      </x:c>
      <x:c r="V5" s="69" t="n">
        <x:v>0</x:v>
      </x:c>
      <x:c r="W5" s="69" t="n">
        <x:v>0</x:v>
      </x:c>
      <x:c r="X5" s="69" t="n">
        <x:v>0</x:v>
      </x:c>
      <x:c r="Y5" s="69" t="n">
        <x:f>COUNTBLANK(M5:P5)</x:f>
        <x:v>0</x:v>
      </x:c>
      <x:c r="Z5" s="69" t="str">
        <x:f>IF(OR(E5="",G5="No",H5="No",I5="Responsabilidad genérica",I5="Demasiado amplia",I5="Microtarea",J5="Duplicado evidente"),"BLOQUEADA",IF(OR(I5="Ambigua",L5&lt;1,K5&lt;1),"REVISIÓN","ELEGIBLE"))</x:f>
        <x:v>ELEGIBLE</x:v>
      </x:c>
      <x:c r="AA5" s="69" t="n">
        <x:f>IF(Z5="BLOQUEADA",0,ROUND(100*(IF(M5="",1.5,M5)+IF(N5="",1.5,N5)+IF(O5="",1.5,O5)+IF(P5="",1.5,P5))/12,1))</x:f>
        <x:v>91.7</x:v>
      </x:c>
      <x:c r="AB5" s="69" t="n">
        <x:f>IF(Z5="BLOQUEADA",0,ROUND(100*IF(Q5="",1.5,Q5)/3,1))</x:f>
        <x:v>66.7</x:v>
      </x:c>
      <x:c r="AC5" s="69" t="n">
        <x:f>IF(Z5="BLOQUEADA",0,ROUND(100*IF(R5="",1.5,R5)/3,1))</x:f>
        <x:v>100</x:v>
      </x:c>
      <x:c r="AD5" s="69" t="n">
        <x:f>IF(Z5="BLOQUEADA",0,ROUND(100*IF(S5="",1.5,S5)/3,1))</x:f>
        <x:v>100</x:v>
      </x:c>
      <x:c r="AE5" s="69" t="n">
        <x:f>IF(Z5="BLOQUEADA",0,ROUND(100*IF(T5="",1.5,T5)/3,1))</x:f>
        <x:v>100</x:v>
      </x:c>
      <x:c r="AF5" s="69" t="n">
        <x:f>IF(Z5="BLOQUEADA",0,ROUND(100*IF(U5="",1.5,U5)/3,1))</x:f>
        <x:v>66.7</x:v>
      </x:c>
      <x:c r="AG5" s="69" t="n">
        <x:f>ROUND(IF(Z5="BLOQUEADA",100,(X5*10)+(V5*8)+(W5*8)),1)</x:f>
        <x:v>0</x:v>
      </x:c>
      <x:c r="AH5" s="69" t="n">
        <x:f>IF(Z5="BLOQUEADA",0,MAX(0,ROUND(0.30*AA5+0.20*AB5+0.15*AC5+0.15*AD5+0.10*AE5+0.10*AF5-AG5,1)))</x:f>
        <x:v>87.5</x:v>
      </x:c>
      <x:c r="AI5" s="69" t="n">
        <x:f>IF(Z5="ELEGIBLE",RANK.EQ(AH5,$AH$2:$AH$12,0),"")</x:f>
        <x:v>2</x:v>
      </x:c>
      <x:c r="AJ5" s="69" t="str">
        <x:f>IF(Z5="BLOQUEADA","No aplica",IF(Z5="REVISIÓN","Slot 8 posible: exploratorio",IF(AI5&lt;=5,"Slot 1-5: alto potencial",IF(R5&gt;=2.5,"Slot 6: handoff/dependencia",IF(S5&gt;=2.5,"Slot 7: transformación/objeto",IF(AND(K5&gt;=1,U5&gt;=2),"Slot 8 posible: exploratorio","Backlog/contexto"))))))</x:f>
        <x:v>Slot 1-5: alto potencial</x:v>
      </x:c>
      <x:c r="AK5" s="69" t="str">
        <x:f>IF(Z5="BLOQUEADA","No seleccionable",IF(Z5="REVISIÓN","Revisión para slot exploratorio",IF(AI5&lt;=8,"Primaria propuesta","Contexto no primario")))</x:f>
        <x:v>Primaria propuesta</x:v>
      </x:c>
      <x:c r="AL5" s="69" t="str">
        <x:f>IF(OR(Z5="REVISIÓN",Y5&gt;=3,V5&gt;=2),"Sí","No")</x:f>
        <x:v>No</x:v>
      </x:c>
      <x:c r="AM5" s="69" t="str">
        <x:f>IF(AK5="Primaria propuesta","Primaria propuesta",IF(AK5="Revisión para slot exploratorio","Revisión / posible primaria exploratoria",IF(AK5="No seleccionable","No seleccionable","Contexto no primario")))</x:f>
        <x:v>Primaria propuesta</x:v>
      </x:c>
      <x:c r="AN5" s="69" t="str">
        <x:f>IF(AM5="Primaria propuesta",IF(AH5&gt;=75,"40+20 probable",IF(AH5&gt;=55,"40 base + causales selectivas","40 base + probes mínimos")),IF(AM5="Revisión / posible primaria exploratoria","B0/B0.5 reconstrucción antes de Runtime","No abre Runtime profundo"))</x:f>
        <x:v>40+20 probable</x:v>
      </x:c>
      <x:c r="AO5" s="69" t="str">
        <x:f>IF(Z5="BLOQUEADA","No probe",IF(AH5&gt;=75,"Alta",IF(AH5&gt;=55,"Media",IF(Z5="REVISIÓN","Exploratoria","Baja"))))</x:f>
        <x:v>Alta</x:v>
      </x:c>
      <x:c r="AP5" s="69" t="str">
        <x:f>IF(M5="","unknown",IF(M5&gt;=2,"Prometedora","Débil / validar en B0.5-B1"))</x:f>
        <x:v>Prometedora</x:v>
      </x:c>
      <x:c r="AQ5" s="69" t="str">
        <x:f>IF(N5="","unknown",IF(N5&gt;=2,"Prometedora","Débil / validar en B2"))</x:f>
        <x:v>Prometedora</x:v>
      </x:c>
      <x:c r="AR5" s="69" t="str">
        <x:f>IF(O5="","unknown",IF(O5&gt;=2,"Prometedora","Débil / validar en B3-B4"))</x:f>
        <x:v>Prometedora</x:v>
      </x:c>
      <x:c r="AS5" s="69" t="str">
        <x:f>IF(P5="","unknown",IF(P5&gt;=2,"Prometedora","Débil / validar en B2-B4"))</x:f>
        <x:v>Prometedora</x:v>
      </x:c>
      <x:c r="AT5" s="69" t="str">
        <x:v>Prometedora para OLC por rechazo/devolución.</x:v>
      </x:c>
      <x:c r="AU5" s="69"/>
      <x:c r="AV5" s="69"/>
      <x:c r="AW5" s="69"/>
      <x:c r="AX5" s="69"/>
      <x:c r="AY5" s="69"/>
      <x:c r="AZ5" s="69"/>
    </x:row>
    <x:row r="6" ht="15" hidden="0" customHeight="1">
      <x:c r="A6" s="69" t="str">
        <x:v>A005</x:v>
      </x:c>
      <x:c r="B6" s="69" t="str">
        <x:v>R004</x:v>
      </x:c>
      <x:c r="C6" s="69" t="str">
        <x:v>Ventas</x:v>
      </x:c>
      <x:c r="D6" s="69" t="str">
        <x:v>Rol A</x:v>
      </x:c>
      <x:c r="E6" s="69" t="str">
        <x:v>Reunión semanal</x:v>
      </x:c>
      <x:c r="F6" s="69" t="str">
        <x:v>Reunirse para conversar temas generales</x:v>
      </x:c>
      <x:c r="G6" s="69" t="str">
        <x:v>Sí</x:v>
      </x:c>
      <x:c r="H6" s="69" t="str">
        <x:v>Sí</x:v>
      </x:c>
      <x:c r="I6" s="69" t="str">
        <x:v>Demasiado amplia</x:v>
      </x:c>
      <x:c r="J6" s="69" t="str">
        <x:v>Posible</x:v>
      </x:c>
      <x:c r="K6" s="69" t="n">
        <x:v>1</x:v>
      </x:c>
      <x:c r="L6" s="69" t="n">
        <x:v>1</x:v>
      </x:c>
      <x:c r="M6" s="69" t="n">
        <x:v>1</x:v>
      </x:c>
      <x:c r="N6" s="69" t="n">
        <x:v>0</x:v>
      </x:c>
      <x:c r="O6" s="69" t="n">
        <x:v>0</x:v>
      </x:c>
      <x:c r="P6" s="69" t="n">
        <x:v>0</x:v>
      </x:c>
      <x:c r="Q6" s="69" t="n">
        <x:v>1</x:v>
      </x:c>
      <x:c r="R6" s="69" t="n">
        <x:v>0</x:v>
      </x:c>
      <x:c r="S6" s="69" t="n">
        <x:v>0</x:v>
      </x:c>
      <x:c r="T6" s="69" t="n">
        <x:v>0</x:v>
      </x:c>
      <x:c r="U6" s="69" t="n">
        <x:v>1</x:v>
      </x:c>
      <x:c r="V6" s="69" t="n">
        <x:v>3</x:v>
      </x:c>
      <x:c r="W6" s="69" t="n">
        <x:v>3</x:v>
      </x:c>
      <x:c r="X6" s="69" t="n">
        <x:v>1</x:v>
      </x:c>
      <x:c r="Y6" s="69" t="n">
        <x:f>COUNTBLANK(M6:P6)</x:f>
        <x:v>0</x:v>
      </x:c>
      <x:c r="Z6" s="69" t="str">
        <x:f>IF(OR(E6="",G6="No",H6="No",I6="Responsabilidad genérica",I6="Demasiado amplia",I6="Microtarea",J6="Duplicado evidente"),"BLOQUEADA",IF(OR(I6="Ambigua",L6&lt;1,K6&lt;1),"REVISIÓN","ELEGIBLE"))</x:f>
        <x:v>BLOQUEADA</x:v>
      </x:c>
      <x:c r="AA6" s="69" t="n">
        <x:f>IF(Z6="BLOQUEADA",0,ROUND(100*(IF(M6="",1.5,M6)+IF(N6="",1.5,N6)+IF(O6="",1.5,O6)+IF(P6="",1.5,P6))/12,1))</x:f>
        <x:v>0</x:v>
      </x:c>
      <x:c r="AB6" s="69" t="n">
        <x:f>IF(Z6="BLOQUEADA",0,ROUND(100*IF(Q6="",1.5,Q6)/3,1))</x:f>
        <x:v>0</x:v>
      </x:c>
      <x:c r="AC6" s="69" t="n">
        <x:f>IF(Z6="BLOQUEADA",0,ROUND(100*IF(R6="",1.5,R6)/3,1))</x:f>
        <x:v>0</x:v>
      </x:c>
      <x:c r="AD6" s="69" t="n">
        <x:f>IF(Z6="BLOQUEADA",0,ROUND(100*IF(S6="",1.5,S6)/3,1))</x:f>
        <x:v>0</x:v>
      </x:c>
      <x:c r="AE6" s="69" t="n">
        <x:f>IF(Z6="BLOQUEADA",0,ROUND(100*IF(T6="",1.5,T6)/3,1))</x:f>
        <x:v>0</x:v>
      </x:c>
      <x:c r="AF6" s="69" t="n">
        <x:f>IF(Z6="BLOQUEADA",0,ROUND(100*IF(U6="",1.5,U6)/3,1))</x:f>
        <x:v>0</x:v>
      </x:c>
      <x:c r="AG6" s="69" t="n">
        <x:f>ROUND(IF(Z6="BLOQUEADA",100,(X6*10)+(V6*8)+(W6*8)),1)</x:f>
        <x:v>100</x:v>
      </x:c>
      <x:c r="AH6" s="69" t="n">
        <x:f>IF(Z6="BLOQUEADA",0,MAX(0,ROUND(0.30*AA6+0.20*AB6+0.15*AC6+0.15*AD6+0.10*AE6+0.10*AF6-AG6,1)))</x:f>
        <x:v>0</x:v>
      </x:c>
      <x:c r="AI6" s="69" t="str">
        <x:f>IF(Z6="ELEGIBLE",RANK.EQ(AH6,$AH$2:$AH$12,0),"")</x:f>
      </x:c>
      <x:c r="AJ6" s="69" t="str">
        <x:f>IF(Z6="BLOQUEADA","No aplica",IF(Z6="REVISIÓN","Slot 8 posible: exploratorio",IF(AI6&lt;=5,"Slot 1-5: alto potencial",IF(R6&gt;=2.5,"Slot 6: handoff/dependencia",IF(S6&gt;=2.5,"Slot 7: transformación/objeto",IF(AND(K6&gt;=1,U6&gt;=2),"Slot 8 posible: exploratorio","Backlog/contexto"))))))</x:f>
        <x:v>No aplica</x:v>
      </x:c>
      <x:c r="AK6" s="69" t="str">
        <x:f>IF(Z6="BLOQUEADA","No seleccionable",IF(Z6="REVISIÓN","Revisión para slot exploratorio",IF(AI6&lt;=8,"Primaria propuesta","Contexto no primario")))</x:f>
        <x:v>No seleccionable</x:v>
      </x:c>
      <x:c r="AL6" s="69" t="str">
        <x:f>IF(OR(Z6="REVISIÓN",Y6&gt;=3,V6&gt;=2),"Sí","No")</x:f>
        <x:v>Sí</x:v>
      </x:c>
      <x:c r="AM6" s="69" t="str">
        <x:f>IF(AK6="Primaria propuesta","Primaria propuesta",IF(AK6="Revisión para slot exploratorio","Revisión / posible primaria exploratoria",IF(AK6="No seleccionable","No seleccionable","Contexto no primario")))</x:f>
        <x:v>No seleccionable</x:v>
      </x:c>
      <x:c r="AN6" s="69" t="str">
        <x:f>IF(AM6="Primaria propuesta",IF(AH6&gt;=75,"40+20 probable",IF(AH6&gt;=55,"40 base + causales selectivas","40 base + probes mínimos")),IF(AM6="Revisión / posible primaria exploratoria","B0/B0.5 reconstrucción antes de Runtime","No abre Runtime profundo"))</x:f>
        <x:v>No abre Runtime profundo</x:v>
      </x:c>
      <x:c r="AO6" s="69" t="str">
        <x:f>IF(Z6="BLOQUEADA","No probe",IF(AH6&gt;=75,"Alta",IF(AH6&gt;=55,"Media",IF(Z6="REVISIÓN","Exploratoria","Baja"))))</x:f>
        <x:v>No probe</x:v>
      </x:c>
      <x:c r="AP6" s="69" t="str">
        <x:f>IF(M6="","unknown",IF(M6&gt;=2,"Prometedora","Débil / validar en B0.5-B1"))</x:f>
        <x:v>Débil / validar en B0.5-B1</x:v>
      </x:c>
      <x:c r="AQ6" s="69" t="str">
        <x:f>IF(N6="","unknown",IF(N6&gt;=2,"Prometedora","Débil / validar en B2"))</x:f>
        <x:v>unknown</x:v>
      </x:c>
      <x:c r="AR6" s="69" t="str">
        <x:f>IF(O6="","unknown",IF(O6&gt;=2,"Prometedora","Débil / validar en B3-B4"))</x:f>
        <x:v>unknown</x:v>
      </x:c>
      <x:c r="AS6" s="69" t="str">
        <x:f>IF(P6="","unknown",IF(P6&gt;=2,"Prometedora","Débil / validar en B2-B4"))</x:f>
        <x:v>unknown</x:v>
      </x:c>
      <x:c r="AT6" s="69" t="str">
        <x:v>Bloqueada por granularidad demasiado amplia.</x:v>
      </x:c>
      <x:c r="AU6" s="69"/>
      <x:c r="AV6" s="69"/>
      <x:c r="AW6" s="69"/>
      <x:c r="AX6" s="69"/>
      <x:c r="AY6" s="69"/>
      <x:c r="AZ6" s="69"/>
    </x:row>
    <x:row r="7" ht="15" hidden="0" customHeight="1">
      <x:c r="A7" s="69" t="str">
        <x:v>A006</x:v>
      </x:c>
      <x:c r="B7" s="69" t="str">
        <x:v>R002</x:v>
      </x:c>
      <x:c r="C7" s="69" t="str">
        <x:v>Servicio</x:v>
      </x:c>
      <x:c r="D7" s="69" t="str">
        <x:v>Rol A</x:v>
      </x:c>
      <x:c r="E7" s="69" t="str">
        <x:v>Coordinar entrega con proveedor</x:v>
      </x:c>
      <x:c r="F7" s="69" t="str">
        <x:v>Esperar confirmación de proveedor y ajustar entrega al cliente</x:v>
      </x:c>
      <x:c r="G7" s="69" t="str">
        <x:v>Sí</x:v>
      </x:c>
      <x:c r="H7" s="69" t="str">
        <x:v>Sí</x:v>
      </x:c>
      <x:c r="I7" s="69" t="str">
        <x:v>Correcta</x:v>
      </x:c>
      <x:c r="J7" s="69" t="str">
        <x:v>No</x:v>
      </x:c>
      <x:c r="K7" s="69" t="n">
        <x:v>3</x:v>
      </x:c>
      <x:c r="L7" s="69" t="n">
        <x:v>3</x:v>
      </x:c>
      <x:c r="M7" s="69" t="n">
        <x:v>2</x:v>
      </x:c>
      <x:c r="N7" s="69" t="n">
        <x:v>2</x:v>
      </x:c>
      <x:c r="O7" s="69" t="n">
        <x:v>3</x:v>
      </x:c>
      <x:c r="P7" s="69" t="n">
        <x:v>1</x:v>
      </x:c>
      <x:c r="Q7" s="69" t="n">
        <x:v>3</x:v>
      </x:c>
      <x:c r="R7" s="69" t="n">
        <x:v>3</x:v>
      </x:c>
      <x:c r="S7" s="69" t="n">
        <x:v>1</x:v>
      </x:c>
      <x:c r="T7" s="69" t="n">
        <x:v>2</x:v>
      </x:c>
      <x:c r="U7" s="69" t="n">
        <x:v>3</x:v>
      </x:c>
      <x:c r="V7" s="69" t="n">
        <x:v>0</x:v>
      </x:c>
      <x:c r="W7" s="69" t="n">
        <x:v>0</x:v>
      </x:c>
      <x:c r="X7" s="69" t="n">
        <x:v>0</x:v>
      </x:c>
      <x:c r="Y7" s="69" t="n">
        <x:f>COUNTBLANK(M7:P7)</x:f>
        <x:v>0</x:v>
      </x:c>
      <x:c r="Z7" s="69" t="str">
        <x:f>IF(OR(E7="",G7="No",H7="No",I7="Responsabilidad genérica",I7="Demasiado amplia",I7="Microtarea",J7="Duplicado evidente"),"BLOQUEADA",IF(OR(I7="Ambigua",L7&lt;1,K7&lt;1),"REVISIÓN","ELEGIBLE"))</x:f>
        <x:v>ELEGIBLE</x:v>
      </x:c>
      <x:c r="AA7" s="69" t="n">
        <x:f>IF(Z7="BLOQUEADA",0,ROUND(100*(IF(M7="",1.5,M7)+IF(N7="",1.5,N7)+IF(O7="",1.5,O7)+IF(P7="",1.5,P7))/12,1))</x:f>
        <x:v>66.7</x:v>
      </x:c>
      <x:c r="AB7" s="69" t="n">
        <x:f>IF(Z7="BLOQUEADA",0,ROUND(100*IF(Q7="",1.5,Q7)/3,1))</x:f>
        <x:v>100</x:v>
      </x:c>
      <x:c r="AC7" s="69" t="n">
        <x:f>IF(Z7="BLOQUEADA",0,ROUND(100*IF(R7="",1.5,R7)/3,1))</x:f>
        <x:v>100</x:v>
      </x:c>
      <x:c r="AD7" s="69" t="n">
        <x:f>IF(Z7="BLOQUEADA",0,ROUND(100*IF(S7="",1.5,S7)/3,1))</x:f>
        <x:v>33.3</x:v>
      </x:c>
      <x:c r="AE7" s="69" t="n">
        <x:f>IF(Z7="BLOQUEADA",0,ROUND(100*IF(T7="",1.5,T7)/3,1))</x:f>
        <x:v>66.7</x:v>
      </x:c>
      <x:c r="AF7" s="69" t="n">
        <x:f>IF(Z7="BLOQUEADA",0,ROUND(100*IF(U7="",1.5,U7)/3,1))</x:f>
        <x:v>100</x:v>
      </x:c>
      <x:c r="AG7" s="69" t="n">
        <x:f>ROUND(IF(Z7="BLOQUEADA",100,(X7*10)+(V7*8)+(W7*8)),1)</x:f>
        <x:v>0</x:v>
      </x:c>
      <x:c r="AH7" s="69" t="n">
        <x:f>IF(Z7="BLOQUEADA",0,MAX(0,ROUND(0.30*AA7+0.20*AB7+0.15*AC7+0.15*AD7+0.10*AE7+0.10*AF7-AG7,1)))</x:f>
        <x:v>76.7</x:v>
      </x:c>
      <x:c r="AI7" s="69" t="n">
        <x:f>IF(Z7="ELEGIBLE",RANK.EQ(AH7,$AH$2:$AH$12,0),"")</x:f>
        <x:v>5</x:v>
      </x:c>
      <x:c r="AJ7" s="69" t="str">
        <x:f>IF(Z7="BLOQUEADA","No aplica",IF(Z7="REVISIÓN","Slot 8 posible: exploratorio",IF(AI7&lt;=5,"Slot 1-5: alto potencial",IF(R7&gt;=2.5,"Slot 6: handoff/dependencia",IF(S7&gt;=2.5,"Slot 7: transformación/objeto",IF(AND(K7&gt;=1,U7&gt;=2),"Slot 8 posible: exploratorio","Backlog/contexto"))))))</x:f>
        <x:v>Slot 1-5: alto potencial</x:v>
      </x:c>
      <x:c r="AK7" s="69" t="str">
        <x:f>IF(Z7="BLOQUEADA","No seleccionable",IF(Z7="REVISIÓN","Revisión para slot exploratorio",IF(AI7&lt;=8,"Primaria propuesta","Contexto no primario")))</x:f>
        <x:v>Primaria propuesta</x:v>
      </x:c>
      <x:c r="AL7" s="69" t="str">
        <x:f>IF(OR(Z7="REVISIÓN",Y7&gt;=3,V7&gt;=2),"Sí","No")</x:f>
        <x:v>No</x:v>
      </x:c>
      <x:c r="AM7" s="69" t="str">
        <x:f>IF(AK7="Primaria propuesta","Primaria propuesta",IF(AK7="Revisión para slot exploratorio","Revisión / posible primaria exploratoria",IF(AK7="No seleccionable","No seleccionable","Contexto no primario")))</x:f>
        <x:v>Primaria propuesta</x:v>
      </x:c>
      <x:c r="AN7" s="69" t="str">
        <x:f>IF(AM7="Primaria propuesta",IF(AH7&gt;=75,"40+20 probable",IF(AH7&gt;=55,"40 base + causales selectivas","40 base + probes mínimos")),IF(AM7="Revisión / posible primaria exploratoria","B0/B0.5 reconstrucción antes de Runtime","No abre Runtime profundo"))</x:f>
        <x:v>40+20 probable</x:v>
      </x:c>
      <x:c r="AO7" s="69" t="str">
        <x:f>IF(Z7="BLOQUEADA","No probe",IF(AH7&gt;=75,"Alta",IF(AH7&gt;=55,"Media",IF(Z7="REVISIÓN","Exploratoria","Baja"))))</x:f>
        <x:v>Alta</x:v>
      </x:c>
      <x:c r="AP7" s="69" t="str">
        <x:f>IF(M7="","unknown",IF(M7&gt;=2,"Prometedora","Débil / validar en B0.5-B1"))</x:f>
        <x:v>Prometedora</x:v>
      </x:c>
      <x:c r="AQ7" s="69" t="str">
        <x:f>IF(N7="","unknown",IF(N7&gt;=2,"Prometedora","Débil / validar en B2"))</x:f>
        <x:v>Prometedora</x:v>
      </x:c>
      <x:c r="AR7" s="69" t="str">
        <x:f>IF(O7="","unknown",IF(O7&gt;=2,"Prometedora","Débil / validar en B3-B4"))</x:f>
        <x:v>Prometedora</x:v>
      </x:c>
      <x:c r="AS7" s="69" t="str">
        <x:f>IF(P7="","unknown",IF(P7&gt;=2,"Prometedora","Débil / validar en B2-B4"))</x:f>
        <x:v>Débil / validar en B2-B4</x:v>
      </x:c>
      <x:c r="AT7" s="69" t="str">
        <x:v>Prometedora para Process State/timer si se confirma espera.</x:v>
      </x:c>
      <x:c r="AU7" s="69"/>
      <x:c r="AV7" s="69"/>
      <x:c r="AW7" s="69"/>
      <x:c r="AX7" s="69"/>
      <x:c r="AY7" s="69"/>
      <x:c r="AZ7" s="69"/>
    </x:row>
    <x:row r="8" ht="15" hidden="0" customHeight="1">
      <x:c r="A8" s="69" t="str">
        <x:v>A007</x:v>
      </x:c>
      <x:c r="B8" s="69" t="str">
        <x:v>R005</x:v>
      </x:c>
      <x:c r="C8" s="69" t="str">
        <x:v>Compras</x:v>
      </x:c>
      <x:c r="D8" s="69" t="str">
        <x:v>Rol A</x:v>
      </x:c>
      <x:c r="E8" s="69" t="str">
        <x:v>Aprobar compra urgente</x:v>
      </x:c>
      <x:c r="F8" s="69" t="str">
        <x:v>Validar solicitud de compra y liberar autorización urgente</x:v>
      </x:c>
      <x:c r="G8" s="69" t="str">
        <x:v>Sí</x:v>
      </x:c>
      <x:c r="H8" s="69" t="str">
        <x:v>Sí</x:v>
      </x:c>
      <x:c r="I8" s="69" t="str">
        <x:v>Correcta</x:v>
      </x:c>
      <x:c r="J8" s="69" t="str">
        <x:v>No</x:v>
      </x:c>
      <x:c r="K8" s="69" t="n">
        <x:v>2</x:v>
      </x:c>
      <x:c r="L8" s="69" t="n">
        <x:v>3</x:v>
      </x:c>
      <x:c r="M8" s="69" t="n">
        <x:v>2</x:v>
      </x:c>
      <x:c r="N8" s="69" t="n">
        <x:v>2</x:v>
      </x:c>
      <x:c r="O8" s="69" t="n">
        <x:v>2</x:v>
      </x:c>
      <x:c r="P8" s="69" t="n">
        <x:v>3</x:v>
      </x:c>
      <x:c r="Q8" s="69" t="n">
        <x:v>3</x:v>
      </x:c>
      <x:c r="R8" s="69" t="n">
        <x:v>2</x:v>
      </x:c>
      <x:c r="S8" s="69" t="n">
        <x:v>3</x:v>
      </x:c>
      <x:c r="T8" s="69" t="n">
        <x:v>2</x:v>
      </x:c>
      <x:c r="U8" s="69" t="n">
        <x:v>2</x:v>
      </x:c>
      <x:c r="V8" s="69" t="n">
        <x:v>0</x:v>
      </x:c>
      <x:c r="W8" s="69" t="n">
        <x:v>0</x:v>
      </x:c>
      <x:c r="X8" s="69" t="n">
        <x:v>0</x:v>
      </x:c>
      <x:c r="Y8" s="69" t="n">
        <x:f>COUNTBLANK(M8:P8)</x:f>
        <x:v>0</x:v>
      </x:c>
      <x:c r="Z8" s="69" t="str">
        <x:f>IF(OR(E8="",G8="No",H8="No",I8="Responsabilidad genérica",I8="Demasiado amplia",I8="Microtarea",J8="Duplicado evidente"),"BLOQUEADA",IF(OR(I8="Ambigua",L8&lt;1,K8&lt;1),"REVISIÓN","ELEGIBLE"))</x:f>
        <x:v>ELEGIBLE</x:v>
      </x:c>
      <x:c r="AA8" s="69" t="n">
        <x:f>IF(Z8="BLOQUEADA",0,ROUND(100*(IF(M8="",1.5,M8)+IF(N8="",1.5,N8)+IF(O8="",1.5,O8)+IF(P8="",1.5,P8))/12,1))</x:f>
        <x:v>75</x:v>
      </x:c>
      <x:c r="AB8" s="69" t="n">
        <x:f>IF(Z8="BLOQUEADA",0,ROUND(100*IF(Q8="",1.5,Q8)/3,1))</x:f>
        <x:v>100</x:v>
      </x:c>
      <x:c r="AC8" s="69" t="n">
        <x:f>IF(Z8="BLOQUEADA",0,ROUND(100*IF(R8="",1.5,R8)/3,1))</x:f>
        <x:v>66.7</x:v>
      </x:c>
      <x:c r="AD8" s="69" t="n">
        <x:f>IF(Z8="BLOQUEADA",0,ROUND(100*IF(S8="",1.5,S8)/3,1))</x:f>
        <x:v>100</x:v>
      </x:c>
      <x:c r="AE8" s="69" t="n">
        <x:f>IF(Z8="BLOQUEADA",0,ROUND(100*IF(T8="",1.5,T8)/3,1))</x:f>
        <x:v>66.7</x:v>
      </x:c>
      <x:c r="AF8" s="69" t="n">
        <x:f>IF(Z8="BLOQUEADA",0,ROUND(100*IF(U8="",1.5,U8)/3,1))</x:f>
        <x:v>66.7</x:v>
      </x:c>
      <x:c r="AG8" s="69" t="n">
        <x:f>ROUND(IF(Z8="BLOQUEADA",100,(X8*10)+(V8*8)+(W8*8)),1)</x:f>
        <x:v>0</x:v>
      </x:c>
      <x:c r="AH8" s="69" t="n">
        <x:f>IF(Z8="BLOQUEADA",0,MAX(0,ROUND(0.30*AA8+0.20*AB8+0.15*AC8+0.15*AD8+0.10*AE8+0.10*AF8-AG8,1)))</x:f>
        <x:v>80.8</x:v>
      </x:c>
      <x:c r="AI8" s="69" t="n">
        <x:f>IF(Z8="ELEGIBLE",RANK.EQ(AH8,$AH$2:$AH$12,0),"")</x:f>
        <x:v>3</x:v>
      </x:c>
      <x:c r="AJ8" s="69" t="str">
        <x:f>IF(Z8="BLOQUEADA","No aplica",IF(Z8="REVISIÓN","Slot 8 posible: exploratorio",IF(AI8&lt;=5,"Slot 1-5: alto potencial",IF(R8&gt;=2.5,"Slot 6: handoff/dependencia",IF(S8&gt;=2.5,"Slot 7: transformación/objeto",IF(AND(K8&gt;=1,U8&gt;=2),"Slot 8 posible: exploratorio","Backlog/contexto"))))))</x:f>
        <x:v>Slot 1-5: alto potencial</x:v>
      </x:c>
      <x:c r="AK8" s="69" t="str">
        <x:f>IF(Z8="BLOQUEADA","No seleccionable",IF(Z8="REVISIÓN","Revisión para slot exploratorio",IF(AI8&lt;=8,"Primaria propuesta","Contexto no primario")))</x:f>
        <x:v>Primaria propuesta</x:v>
      </x:c>
      <x:c r="AL8" s="69" t="str">
        <x:f>IF(OR(Z8="REVISIÓN",Y8&gt;=3,V8&gt;=2),"Sí","No")</x:f>
        <x:v>No</x:v>
      </x:c>
      <x:c r="AM8" s="69" t="str">
        <x:f>IF(AK8="Primaria propuesta","Primaria propuesta",IF(AK8="Revisión para slot exploratorio","Revisión / posible primaria exploratoria",IF(AK8="No seleccionable","No seleccionable","Contexto no primario")))</x:f>
        <x:v>Primaria propuesta</x:v>
      </x:c>
      <x:c r="AN8" s="69" t="str">
        <x:f>IF(AM8="Primaria propuesta",IF(AH8&gt;=75,"40+20 probable",IF(AH8&gt;=55,"40 base + causales selectivas","40 base + probes mínimos")),IF(AM8="Revisión / posible primaria exploratoria","B0/B0.5 reconstrucción antes de Runtime","No abre Runtime profundo"))</x:f>
        <x:v>40+20 probable</x:v>
      </x:c>
      <x:c r="AO8" s="69" t="str">
        <x:f>IF(Z8="BLOQUEADA","No probe",IF(AH8&gt;=75,"Alta",IF(AH8&gt;=55,"Media",IF(Z8="REVISIÓN","Exploratoria","Baja"))))</x:f>
        <x:v>Alta</x:v>
      </x:c>
      <x:c r="AP8" s="69" t="str">
        <x:f>IF(M8="","unknown",IF(M8&gt;=2,"Prometedora","Débil / validar en B0.5-B1"))</x:f>
        <x:v>Prometedora</x:v>
      </x:c>
      <x:c r="AQ8" s="69" t="str">
        <x:f>IF(N8="","unknown",IF(N8&gt;=2,"Prometedora","Débil / validar en B2"))</x:f>
        <x:v>Prometedora</x:v>
      </x:c>
      <x:c r="AR8" s="69" t="str">
        <x:f>IF(O8="","unknown",IF(O8&gt;=2,"Prometedora","Débil / validar en B3-B4"))</x:f>
        <x:v>Prometedora</x:v>
      </x:c>
      <x:c r="AS8" s="69" t="str">
        <x:f>IF(P8="","unknown",IF(P8&gt;=2,"Prometedora","Débil / validar en B2-B4"))</x:f>
        <x:v>Prometedora</x:v>
      </x:c>
      <x:c r="AT8" s="69" t="str">
        <x:v>Buena señal de autorización/estado, posible presión.</x:v>
      </x:c>
      <x:c r="AU8" s="69"/>
      <x:c r="AV8" s="69"/>
      <x:c r="AW8" s="69"/>
      <x:c r="AX8" s="69"/>
      <x:c r="AY8" s="69"/>
      <x:c r="AZ8" s="69"/>
    </x:row>
    <x:row r="9" ht="15" hidden="0" customHeight="1">
      <x:c r="A9" s="69" t="str">
        <x:v>A008</x:v>
      </x:c>
      <x:c r="B9" s="69" t="str">
        <x:v>R006</x:v>
      </x:c>
      <x:c r="C9" s="69" t="str">
        <x:v>RRHH</x:v>
      </x:c>
      <x:c r="D9" s="69" t="str">
        <x:v>Rol A</x:v>
      </x:c>
      <x:c r="E9" s="69" t="str">
        <x:v>Capacitar nuevo colaborador</x:v>
      </x:c>
      <x:c r="F9" s="69" t="str">
        <x:v>Entrenar a una persona en procedimientos y herramientas</x:v>
      </x:c>
      <x:c r="G9" s="69" t="str">
        <x:v>Sí</x:v>
      </x:c>
      <x:c r="H9" s="69" t="str">
        <x:v>Sí</x:v>
      </x:c>
      <x:c r="I9" s="69" t="str">
        <x:v>Correcta</x:v>
      </x:c>
      <x:c r="J9" s="69" t="str">
        <x:v>No</x:v>
      </x:c>
      <x:c r="K9" s="69" t="n">
        <x:v>2</x:v>
      </x:c>
      <x:c r="L9" s="69" t="n">
        <x:v>2</x:v>
      </x:c>
      <x:c r="M9" s="69" t="n">
        <x:v>1</x:v>
      </x:c>
      <x:c r="N9" s="69" t="n">
        <x:v>2</x:v>
      </x:c>
      <x:c r="O9" s="69" t="n">
        <x:v>2</x:v>
      </x:c>
      <x:c r="P9" s="69" t="n">
        <x:v>1</x:v>
      </x:c>
      <x:c r="Q9" s="69" t="n">
        <x:v>2</x:v>
      </x:c>
      <x:c r="R9" s="69" t="n">
        <x:v>1</x:v>
      </x:c>
      <x:c r="S9" s="69" t="n">
        <x:v>1</x:v>
      </x:c>
      <x:c r="T9" s="69" t="n">
        <x:v>1</x:v>
      </x:c>
      <x:c r="U9" s="69" t="n">
        <x:v>2</x:v>
      </x:c>
      <x:c r="V9" s="69" t="n">
        <x:v>1</x:v>
      </x:c>
      <x:c r="W9" s="69" t="n">
        <x:v>0</x:v>
      </x:c>
      <x:c r="X9" s="69" t="n">
        <x:v>0</x:v>
      </x:c>
      <x:c r="Y9" s="69" t="n">
        <x:f>COUNTBLANK(M9:P9)</x:f>
        <x:v>0</x:v>
      </x:c>
      <x:c r="Z9" s="69" t="str">
        <x:f>IF(OR(E9="",G9="No",H9="No",I9="Responsabilidad genérica",I9="Demasiado amplia",I9="Microtarea",J9="Duplicado evidente"),"BLOQUEADA",IF(OR(I9="Ambigua",L9&lt;1,K9&lt;1),"REVISIÓN","ELEGIBLE"))</x:f>
        <x:v>ELEGIBLE</x:v>
      </x:c>
      <x:c r="AA9" s="69" t="n">
        <x:f>IF(Z9="BLOQUEADA",0,ROUND(100*(IF(M9="",1.5,M9)+IF(N9="",1.5,N9)+IF(O9="",1.5,O9)+IF(P9="",1.5,P9))/12,1))</x:f>
        <x:v>50</x:v>
      </x:c>
      <x:c r="AB9" s="69" t="n">
        <x:f>IF(Z9="BLOQUEADA",0,ROUND(100*IF(Q9="",1.5,Q9)/3,1))</x:f>
        <x:v>66.7</x:v>
      </x:c>
      <x:c r="AC9" s="69" t="n">
        <x:f>IF(Z9="BLOQUEADA",0,ROUND(100*IF(R9="",1.5,R9)/3,1))</x:f>
        <x:v>33.3</x:v>
      </x:c>
      <x:c r="AD9" s="69" t="n">
        <x:f>IF(Z9="BLOQUEADA",0,ROUND(100*IF(S9="",1.5,S9)/3,1))</x:f>
        <x:v>33.3</x:v>
      </x:c>
      <x:c r="AE9" s="69" t="n">
        <x:f>IF(Z9="BLOQUEADA",0,ROUND(100*IF(T9="",1.5,T9)/3,1))</x:f>
        <x:v>33.3</x:v>
      </x:c>
      <x:c r="AF9" s="69" t="n">
        <x:f>IF(Z9="BLOQUEADA",0,ROUND(100*IF(U9="",1.5,U9)/3,1))</x:f>
        <x:v>66.7</x:v>
      </x:c>
      <x:c r="AG9" s="69" t="n">
        <x:f>ROUND(IF(Z9="BLOQUEADA",100,(X9*10)+(V9*8)+(W9*8)),1)</x:f>
        <x:v>8</x:v>
      </x:c>
      <x:c r="AH9" s="69" t="n">
        <x:f>IF(Z9="BLOQUEADA",0,MAX(0,ROUND(0.30*AA9+0.20*AB9+0.15*AC9+0.15*AD9+0.10*AE9+0.10*AF9-AG9,1)))</x:f>
        <x:v>40.3</x:v>
      </x:c>
      <x:c r="AI9" s="69" t="n">
        <x:f>IF(Z9="ELEGIBLE",RANK.EQ(AH9,$AH$2:$AH$12,0),"")</x:f>
        <x:v>8</x:v>
      </x:c>
      <x:c r="AJ9" s="69" t="str">
        <x:f>IF(Z9="BLOQUEADA","No aplica",IF(Z9="REVISIÓN","Slot 8 posible: exploratorio",IF(AI9&lt;=5,"Slot 1-5: alto potencial",IF(R9&gt;=2.5,"Slot 6: handoff/dependencia",IF(S9&gt;=2.5,"Slot 7: transformación/objeto",IF(AND(K9&gt;=1,U9&gt;=2),"Slot 8 posible: exploratorio","Backlog/contexto"))))))</x:f>
        <x:v>Slot 8 posible: exploratorio</x:v>
      </x:c>
      <x:c r="AK9" s="69" t="str">
        <x:f>IF(Z9="BLOQUEADA","No seleccionable",IF(Z9="REVISIÓN","Revisión para slot exploratorio",IF(AI9&lt;=8,"Primaria propuesta","Contexto no primario")))</x:f>
        <x:v>Primaria propuesta</x:v>
      </x:c>
      <x:c r="AL9" s="69" t="str">
        <x:f>IF(OR(Z9="REVISIÓN",Y9&gt;=3,V9&gt;=2),"Sí","No")</x:f>
        <x:v>No</x:v>
      </x:c>
      <x:c r="AM9" s="69" t="str">
        <x:f>IF(AK9="Primaria propuesta","Primaria propuesta",IF(AK9="Revisión para slot exploratorio","Revisión / posible primaria exploratoria",IF(AK9="No seleccionable","No seleccionable","Contexto no primario")))</x:f>
        <x:v>Primaria propuesta</x:v>
      </x:c>
      <x:c r="AN9" s="69" t="str">
        <x:f>IF(AM9="Primaria propuesta",IF(AH9&gt;=75,"40+20 probable",IF(AH9&gt;=55,"40 base + causales selectivas","40 base + probes mínimos")),IF(AM9="Revisión / posible primaria exploratoria","B0/B0.5 reconstrucción antes de Runtime","No abre Runtime profundo"))</x:f>
        <x:v>40 base + probes mínimos</x:v>
      </x:c>
      <x:c r="AO9" s="69" t="str">
        <x:f>IF(Z9="BLOQUEADA","No probe",IF(AH9&gt;=75,"Alta",IF(AH9&gt;=55,"Media",IF(Z9="REVISIÓN","Exploratoria","Baja"))))</x:f>
        <x:v>Baja</x:v>
      </x:c>
      <x:c r="AP9" s="69" t="str">
        <x:f>IF(M9="","unknown",IF(M9&gt;=2,"Prometedora","Débil / validar en B0.5-B1"))</x:f>
        <x:v>Débil / validar en B0.5-B1</x:v>
      </x:c>
      <x:c r="AQ9" s="69" t="str">
        <x:f>IF(N9="","unknown",IF(N9&gt;=2,"Prometedora","Débil / validar en B2"))</x:f>
        <x:v>Prometedora</x:v>
      </x:c>
      <x:c r="AR9" s="69" t="str">
        <x:f>IF(O9="","unknown",IF(O9&gt;=2,"Prometedora","Débil / validar en B3-B4"))</x:f>
        <x:v>Prometedora</x:v>
      </x:c>
      <x:c r="AS9" s="69" t="str">
        <x:f>IF(P9="","unknown",IF(P9&gt;=2,"Prometedora","Débil / validar en B2-B4"))</x:f>
        <x:v>Débil / validar en B2-B4</x:v>
      </x:c>
      <x:c r="AT9" s="69" t="str">
        <x:v>Señal moderada; puede quedar como contexto si hay mejores candidatas.</x:v>
      </x:c>
      <x:c r="AU9" s="69"/>
      <x:c r="AV9" s="69"/>
      <x:c r="AW9" s="69"/>
      <x:c r="AX9" s="69"/>
      <x:c r="AY9" s="69"/>
      <x:c r="AZ9" s="69"/>
    </x:row>
    <x:row r="10" ht="15" hidden="0" customHeight="1">
      <x:c r="A10" s="69" t="str">
        <x:v>A009</x:v>
      </x:c>
      <x:c r="B10" s="69" t="str">
        <x:v>R007</x:v>
      </x:c>
      <x:c r="C10" s="69" t="str">
        <x:v>Archivo</x:v>
      </x:c>
      <x:c r="D10" s="69" t="str">
        <x:v>Rol A</x:v>
      </x:c>
      <x:c r="E10" s="69" t="str">
        <x:v>Archivar documentos cerrados</x:v>
      </x:c>
      <x:c r="F10" s="69" t="str">
        <x:v>Guardar documentos finalizados</x:v>
      </x:c>
      <x:c r="G10" s="69" t="str">
        <x:v>Sí</x:v>
      </x:c>
      <x:c r="H10" s="69" t="str">
        <x:v>Sí</x:v>
      </x:c>
      <x:c r="I10" s="69" t="str">
        <x:v>Microtarea</x:v>
      </x:c>
      <x:c r="J10" s="69" t="str">
        <x:v>No</x:v>
      </x:c>
      <x:c r="K10" s="69" t="n">
        <x:v>2</x:v>
      </x:c>
      <x:c r="L10" s="69" t="n">
        <x:v>2</x:v>
      </x:c>
      <x:c r="M10" s="69" t="n">
        <x:v>0</x:v>
      </x:c>
      <x:c r="N10" s="69" t="n">
        <x:v>2</x:v>
      </x:c>
      <x:c r="O10" s="69" t="n">
        <x:v>1</x:v>
      </x:c>
      <x:c r="P10" s="69" t="n">
        <x:v>2</x:v>
      </x:c>
      <x:c r="Q10" s="69" t="n">
        <x:v>1</x:v>
      </x:c>
      <x:c r="R10" s="69" t="n">
        <x:v>0</x:v>
      </x:c>
      <x:c r="S10" s="69" t="n">
        <x:v>1</x:v>
      </x:c>
      <x:c r="T10" s="69" t="n">
        <x:v>0</x:v>
      </x:c>
      <x:c r="U10" s="69" t="n">
        <x:v>1</x:v>
      </x:c>
      <x:c r="V10" s="69" t="n">
        <x:v>0</x:v>
      </x:c>
      <x:c r="W10" s="69" t="n">
        <x:v>3</x:v>
      </x:c>
      <x:c r="X10" s="69" t="n">
        <x:v>0</x:v>
      </x:c>
      <x:c r="Y10" s="69" t="n">
        <x:f>COUNTBLANK(M10:P10)</x:f>
        <x:v>0</x:v>
      </x:c>
      <x:c r="Z10" s="69" t="str">
        <x:f>IF(OR(E10="",G10="No",H10="No",I10="Responsabilidad genérica",I10="Demasiado amplia",I10="Microtarea",J10="Duplicado evidente"),"BLOQUEADA",IF(OR(I10="Ambigua",L10&lt;1,K10&lt;1),"REVISIÓN","ELEGIBLE"))</x:f>
        <x:v>BLOQUEADA</x:v>
      </x:c>
      <x:c r="AA10" s="69" t="n">
        <x:f>IF(Z10="BLOQUEADA",0,ROUND(100*(IF(M10="",1.5,M10)+IF(N10="",1.5,N10)+IF(O10="",1.5,O10)+IF(P10="",1.5,P10))/12,1))</x:f>
        <x:v>0</x:v>
      </x:c>
      <x:c r="AB10" s="69" t="n">
        <x:f>IF(Z10="BLOQUEADA",0,ROUND(100*IF(Q10="",1.5,Q10)/3,1))</x:f>
        <x:v>0</x:v>
      </x:c>
      <x:c r="AC10" s="69" t="n">
        <x:f>IF(Z10="BLOQUEADA",0,ROUND(100*IF(R10="",1.5,R10)/3,1))</x:f>
        <x:v>0</x:v>
      </x:c>
      <x:c r="AD10" s="69" t="n">
        <x:f>IF(Z10="BLOQUEADA",0,ROUND(100*IF(S10="",1.5,S10)/3,1))</x:f>
        <x:v>0</x:v>
      </x:c>
      <x:c r="AE10" s="69" t="n">
        <x:f>IF(Z10="BLOQUEADA",0,ROUND(100*IF(T10="",1.5,T10)/3,1))</x:f>
        <x:v>0</x:v>
      </x:c>
      <x:c r="AF10" s="69" t="n">
        <x:f>IF(Z10="BLOQUEADA",0,ROUND(100*IF(U10="",1.5,U10)/3,1))</x:f>
        <x:v>0</x:v>
      </x:c>
      <x:c r="AG10" s="69" t="n">
        <x:f>ROUND(IF(Z10="BLOQUEADA",100,(X10*10)+(V10*8)+(W10*8)),1)</x:f>
        <x:v>100</x:v>
      </x:c>
      <x:c r="AH10" s="69" t="n">
        <x:f>IF(Z10="BLOQUEADA",0,MAX(0,ROUND(0.30*AA10+0.20*AB10+0.15*AC10+0.15*AD10+0.10*AE10+0.10*AF10-AG10,1)))</x:f>
        <x:v>0</x:v>
      </x:c>
      <x:c r="AI10" s="69" t="str">
        <x:f>IF(Z10="ELEGIBLE",RANK.EQ(AH10,$AH$2:$AH$12,0),"")</x:f>
      </x:c>
      <x:c r="AJ10" s="69" t="str">
        <x:f>IF(Z10="BLOQUEADA","No aplica",IF(Z10="REVISIÓN","Slot 8 posible: exploratorio",IF(AI10&lt;=5,"Slot 1-5: alto potencial",IF(R10&gt;=2.5,"Slot 6: handoff/dependencia",IF(S10&gt;=2.5,"Slot 7: transformación/objeto",IF(AND(K10&gt;=1,U10&gt;=2),"Slot 8 posible: exploratorio","Backlog/contexto"))))))</x:f>
        <x:v>No aplica</x:v>
      </x:c>
      <x:c r="AK10" s="69" t="str">
        <x:f>IF(Z10="BLOQUEADA","No seleccionable",IF(Z10="REVISIÓN","Revisión para slot exploratorio",IF(AI10&lt;=8,"Primaria propuesta","Contexto no primario")))</x:f>
        <x:v>No seleccionable</x:v>
      </x:c>
      <x:c r="AL10" s="69" t="str">
        <x:f>IF(OR(Z10="REVISIÓN",Y10&gt;=3,V10&gt;=2),"Sí","No")</x:f>
        <x:v>No</x:v>
      </x:c>
      <x:c r="AM10" s="69" t="str">
        <x:f>IF(AK10="Primaria propuesta","Primaria propuesta",IF(AK10="Revisión para slot exploratorio","Revisión / posible primaria exploratoria",IF(AK10="No seleccionable","No seleccionable","Contexto no primario")))</x:f>
        <x:v>No seleccionable</x:v>
      </x:c>
      <x:c r="AN10" s="69" t="str">
        <x:f>IF(AM10="Primaria propuesta",IF(AH10&gt;=75,"40+20 probable",IF(AH10&gt;=55,"40 base + causales selectivas","40 base + probes mínimos")),IF(AM10="Revisión / posible primaria exploratoria","B0/B0.5 reconstrucción antes de Runtime","No abre Runtime profundo"))</x:f>
        <x:v>No abre Runtime profundo</x:v>
      </x:c>
      <x:c r="AO10" s="69" t="str">
        <x:f>IF(Z10="BLOQUEADA","No probe",IF(AH10&gt;=75,"Alta",IF(AH10&gt;=55,"Media",IF(Z10="REVISIÓN","Exploratoria","Baja"))))</x:f>
        <x:v>No probe</x:v>
      </x:c>
      <x:c r="AP10" s="69" t="str">
        <x:f>IF(M10="","unknown",IF(M10&gt;=2,"Prometedora","Débil / validar en B0.5-B1"))</x:f>
        <x:v>unknown</x:v>
      </x:c>
      <x:c r="AQ10" s="69" t="str">
        <x:f>IF(N10="","unknown",IF(N10&gt;=2,"Prometedora","Débil / validar en B2"))</x:f>
        <x:v>Prometedora</x:v>
      </x:c>
      <x:c r="AR10" s="69" t="str">
        <x:f>IF(O10="","unknown",IF(O10&gt;=2,"Prometedora","Débil / validar en B3-B4"))</x:f>
        <x:v>Débil / validar en B3-B4</x:v>
      </x:c>
      <x:c r="AS10" s="69" t="str">
        <x:f>IF(P10="","unknown",IF(P10&gt;=2,"Prometedora","Débil / validar en B2-B4"))</x:f>
        <x:v>Prometedora</x:v>
      </x:c>
      <x:c r="AT10" s="69" t="str">
        <x:v>Microtarea; no justificar 40+20 profundo.</x:v>
      </x:c>
      <x:c r="AU10" s="69"/>
      <x:c r="AV10" s="69"/>
      <x:c r="AW10" s="69"/>
      <x:c r="AX10" s="69"/>
      <x:c r="AY10" s="69"/>
      <x:c r="AZ10" s="69"/>
    </x:row>
    <x:row r="11" ht="15" hidden="0" customHeight="1">
      <x:c r="A11" s="69" t="str">
        <x:v>A010</x:v>
      </x:c>
      <x:c r="B11" s="69" t="str">
        <x:v>R008</x:v>
      </x:c>
      <x:c r="C11" s="69" t="str">
        <x:v>Dirección</x:v>
      </x:c>
      <x:c r="D11" s="69" t="str">
        <x:v>Rol A</x:v>
      </x:c>
      <x:c r="E11" s="69" t="str">
        <x:v>Liderazgo</x:v>
      </x:c>
      <x:c r="F11" s="69" t="str">
        <x:v>Mejorar liderazgo del equipo</x:v>
      </x:c>
      <x:c r="G11" s="69" t="str">
        <x:v>Sí</x:v>
      </x:c>
      <x:c r="H11" s="69" t="str">
        <x:v>No</x:v>
      </x:c>
      <x:c r="I11" s="69" t="str">
        <x:v>Ambigua</x:v>
      </x:c>
      <x:c r="J11" s="69" t="str">
        <x:v>No</x:v>
      </x:c>
      <x:c r="K11" s="69" t="n">
        <x:v>1</x:v>
      </x:c>
      <x:c r="L11" s="69" t="n">
        <x:v>1</x:v>
      </x:c>
      <x:c r="M11" s="69" t="n">
        <x:v>1</x:v>
      </x:c>
      <x:c r="N11" s="69" t="str"/>
      <x:c r="O11" s="69" t="n">
        <x:v>0</x:v>
      </x:c>
      <x:c r="P11" s="69" t="str"/>
      <x:c r="Q11" s="69" t="n">
        <x:v>1</x:v>
      </x:c>
      <x:c r="R11" s="69" t="n">
        <x:v>0</x:v>
      </x:c>
      <x:c r="S11" s="69" t="n">
        <x:v>0</x:v>
      </x:c>
      <x:c r="T11" s="69" t="n">
        <x:v>0</x:v>
      </x:c>
      <x:c r="U11" s="69" t="n">
        <x:v>2</x:v>
      </x:c>
      <x:c r="V11" s="69" t="n">
        <x:v>3</x:v>
      </x:c>
      <x:c r="W11" s="69" t="n">
        <x:v>1</x:v>
      </x:c>
      <x:c r="X11" s="69" t="n">
        <x:v>0</x:v>
      </x:c>
      <x:c r="Y11" s="69" t="n">
        <x:f>COUNTBLANK(M11:P11)</x:f>
        <x:v>2</x:v>
      </x:c>
      <x:c r="Z11" s="69" t="str">
        <x:f>IF(OR(E11="",G11="No",H11="No",I11="Responsabilidad genérica",I11="Demasiado amplia",I11="Microtarea",J11="Duplicado evidente"),"BLOQUEADA",IF(OR(I11="Ambigua",L11&lt;1,K11&lt;1),"REVISIÓN","ELEGIBLE"))</x:f>
        <x:v>BLOQUEADA</x:v>
      </x:c>
      <x:c r="AA11" s="69" t="n">
        <x:f>IF(Z11="BLOQUEADA",0,ROUND(100*(IF(M11="",1.5,M11)+IF(N11="",1.5,N11)+IF(O11="",1.5,O11)+IF(P11="",1.5,P11))/12,1))</x:f>
        <x:v>0</x:v>
      </x:c>
      <x:c r="AB11" s="69" t="n">
        <x:f>IF(Z11="BLOQUEADA",0,ROUND(100*IF(Q11="",1.5,Q11)/3,1))</x:f>
        <x:v>0</x:v>
      </x:c>
      <x:c r="AC11" s="69" t="n">
        <x:f>IF(Z11="BLOQUEADA",0,ROUND(100*IF(R11="",1.5,R11)/3,1))</x:f>
        <x:v>0</x:v>
      </x:c>
      <x:c r="AD11" s="69" t="n">
        <x:f>IF(Z11="BLOQUEADA",0,ROUND(100*IF(S11="",1.5,S11)/3,1))</x:f>
        <x:v>0</x:v>
      </x:c>
      <x:c r="AE11" s="69" t="n">
        <x:f>IF(Z11="BLOQUEADA",0,ROUND(100*IF(T11="",1.5,T11)/3,1))</x:f>
        <x:v>0</x:v>
      </x:c>
      <x:c r="AF11" s="69" t="n">
        <x:f>IF(Z11="BLOQUEADA",0,ROUND(100*IF(U11="",1.5,U11)/3,1))</x:f>
        <x:v>0</x:v>
      </x:c>
      <x:c r="AG11" s="69" t="n">
        <x:f>ROUND(IF(Z11="BLOQUEADA",100,(X11*10)+(V11*8)+(W11*8)),1)</x:f>
        <x:v>100</x:v>
      </x:c>
      <x:c r="AH11" s="69" t="n">
        <x:f>IF(Z11="BLOQUEADA",0,MAX(0,ROUND(0.30*AA11+0.20*AB11+0.15*AC11+0.15*AD11+0.10*AE11+0.10*AF11-AG11,1)))</x:f>
        <x:v>0</x:v>
      </x:c>
      <x:c r="AI11" s="69" t="str">
        <x:f>IF(Z11="ELEGIBLE",RANK.EQ(AH11,$AH$2:$AH$12,0),"")</x:f>
      </x:c>
      <x:c r="AJ11" s="69" t="str">
        <x:f>IF(Z11="BLOQUEADA","No aplica",IF(Z11="REVISIÓN","Slot 8 posible: exploratorio",IF(AI11&lt;=5,"Slot 1-5: alto potencial",IF(R11&gt;=2.5,"Slot 6: handoff/dependencia",IF(S11&gt;=2.5,"Slot 7: transformación/objeto",IF(AND(K11&gt;=1,U11&gt;=2),"Slot 8 posible: exploratorio","Backlog/contexto"))))))</x:f>
        <x:v>No aplica</x:v>
      </x:c>
      <x:c r="AK11" s="69" t="str">
        <x:f>IF(Z11="BLOQUEADA","No seleccionable",IF(Z11="REVISIÓN","Revisión para slot exploratorio",IF(AI11&lt;=8,"Primaria propuesta","Contexto no primario")))</x:f>
        <x:v>No seleccionable</x:v>
      </x:c>
      <x:c r="AL11" s="69" t="str">
        <x:f>IF(OR(Z11="REVISIÓN",Y11&gt;=3,V11&gt;=2),"Sí","No")</x:f>
        <x:v>Sí</x:v>
      </x:c>
      <x:c r="AM11" s="69" t="str">
        <x:f>IF(AK11="Primaria propuesta","Primaria propuesta",IF(AK11="Revisión para slot exploratorio","Revisión / posible primaria exploratoria",IF(AK11="No seleccionable","No seleccionable","Contexto no primario")))</x:f>
        <x:v>No seleccionable</x:v>
      </x:c>
      <x:c r="AN11" s="69" t="str">
        <x:f>IF(AM11="Primaria propuesta",IF(AH11&gt;=75,"40+20 probable",IF(AH11&gt;=55,"40 base + causales selectivas","40 base + probes mínimos")),IF(AM11="Revisión / posible primaria exploratoria","B0/B0.5 reconstrucción antes de Runtime","No abre Runtime profundo"))</x:f>
        <x:v>No abre Runtime profundo</x:v>
      </x:c>
      <x:c r="AO11" s="69" t="str">
        <x:f>IF(Z11="BLOQUEADA","No probe",IF(AH11&gt;=75,"Alta",IF(AH11&gt;=55,"Media",IF(Z11="REVISIÓN","Exploratoria","Baja"))))</x:f>
        <x:v>No probe</x:v>
      </x:c>
      <x:c r="AP11" s="69" t="str">
        <x:f>IF(M11="","unknown",IF(M11&gt;=2,"Prometedora","Débil / validar en B0.5-B1"))</x:f>
        <x:v>Débil / validar en B0.5-B1</x:v>
      </x:c>
      <x:c r="AQ11" s="69" t="str">
        <x:f>IF(N11="","unknown",IF(N11&gt;=2,"Prometedora","Débil / validar en B2"))</x:f>
        <x:v>unknown</x:v>
      </x:c>
      <x:c r="AR11" s="69" t="str">
        <x:f>IF(O11="","unknown",IF(O11&gt;=2,"Prometedora","Débil / validar en B3-B4"))</x:f>
        <x:v>unknown</x:v>
      </x:c>
      <x:c r="AS11" s="69" t="str">
        <x:f>IF(P11="","unknown",IF(P11&gt;=2,"Prometedora","Débil / validar en B2-B4"))</x:f>
        <x:v>unknown</x:v>
      </x:c>
      <x:c r="AT11" s="69" t="str">
        <x:v>No es actividad de trabajo concreta.</x:v>
      </x:c>
      <x:c r="AU11" s="69"/>
      <x:c r="AV11" s="69"/>
      <x:c r="AW11" s="69"/>
      <x:c r="AX11" s="69"/>
      <x:c r="AY11" s="69"/>
      <x:c r="AZ11" s="69"/>
    </x:row>
    <x:row r="12" ht="15" hidden="0" customHeight="1">
      <x:c r="A12" s="69" t="str">
        <x:v>A011</x:v>
      </x:c>
      <x:c r="B12" s="69" t="str">
        <x:v>R009</x:v>
      </x:c>
      <x:c r="C12" s="69" t="str">
        <x:v>Operaciones</x:v>
      </x:c>
      <x:c r="D12" s="69" t="str">
        <x:v>Rol A</x:v>
      </x:c>
      <x:c r="E12" s="69" t="str">
        <x:v>Resolver casos que nadie toma</x:v>
      </x:c>
      <x:c r="F12" s="69" t="str">
        <x:v>El usuario dice que resuelve cosas que se quedan sin dueño</x:v>
      </x:c>
      <x:c r="G12" s="69" t="str">
        <x:v>Sí</x:v>
      </x:c>
      <x:c r="H12" s="69" t="str">
        <x:v>Sí</x:v>
      </x:c>
      <x:c r="I12" s="69" t="str">
        <x:v>Ambigua</x:v>
      </x:c>
      <x:c r="J12" s="69" t="str">
        <x:v>No</x:v>
      </x:c>
      <x:c r="K12" s="69" t="n">
        <x:v>2</x:v>
      </x:c>
      <x:c r="L12" s="69" t="n">
        <x:v>1</x:v>
      </x:c>
      <x:c r="M12" s="69" t="n">
        <x:v>1</x:v>
      </x:c>
      <x:c r="N12" s="69" t="n">
        <x:v>1</x:v>
      </x:c>
      <x:c r="O12" s="69" t="n">
        <x:v>2</x:v>
      </x:c>
      <x:c r="P12" s="69" t="str"/>
      <x:c r="Q12" s="69" t="n">
        <x:v>2</x:v>
      </x:c>
      <x:c r="R12" s="69" t="n">
        <x:v>3</x:v>
      </x:c>
      <x:c r="S12" s="69" t="n">
        <x:v>1</x:v>
      </x:c>
      <x:c r="T12" s="69" t="n">
        <x:v>3</x:v>
      </x:c>
      <x:c r="U12" s="69" t="n">
        <x:v>3</x:v>
      </x:c>
      <x:c r="V12" s="69" t="n">
        <x:v>2</x:v>
      </x:c>
      <x:c r="W12" s="69" t="n">
        <x:v>1</x:v>
      </x:c>
      <x:c r="X12" s="69" t="n">
        <x:v>0</x:v>
      </x:c>
      <x:c r="Y12" s="69" t="n">
        <x:f>COUNTBLANK(M12:P12)</x:f>
        <x:v>1</x:v>
      </x:c>
      <x:c r="Z12" s="69" t="str">
        <x:f>IF(OR(E12="",G12="No",H12="No",I12="Responsabilidad genérica",I12="Demasiado amplia",I12="Microtarea",J12="Duplicado evidente"),"BLOQUEADA",IF(OR(I12="Ambigua",L12&lt;1,K12&lt;1),"REVISIÓN","ELEGIBLE"))</x:f>
        <x:v>REVISIÓN</x:v>
      </x:c>
      <x:c r="AA12" s="69" t="n">
        <x:f>IF(Z12="BLOQUEADA",0,ROUND(100*(IF(M12="",1.5,M12)+IF(N12="",1.5,N12)+IF(O12="",1.5,O12)+IF(P12="",1.5,P12))/12,1))</x:f>
        <x:v>45.8</x:v>
      </x:c>
      <x:c r="AB12" s="69" t="n">
        <x:f>IF(Z12="BLOQUEADA",0,ROUND(100*IF(Q12="",1.5,Q12)/3,1))</x:f>
        <x:v>66.7</x:v>
      </x:c>
      <x:c r="AC12" s="69" t="n">
        <x:f>IF(Z12="BLOQUEADA",0,ROUND(100*IF(R12="",1.5,R12)/3,1))</x:f>
        <x:v>100</x:v>
      </x:c>
      <x:c r="AD12" s="69" t="n">
        <x:f>IF(Z12="BLOQUEADA",0,ROUND(100*IF(S12="",1.5,S12)/3,1))</x:f>
        <x:v>33.3</x:v>
      </x:c>
      <x:c r="AE12" s="69" t="n">
        <x:f>IF(Z12="BLOQUEADA",0,ROUND(100*IF(T12="",1.5,T12)/3,1))</x:f>
        <x:v>100</x:v>
      </x:c>
      <x:c r="AF12" s="69" t="n">
        <x:f>IF(Z12="BLOQUEADA",0,ROUND(100*IF(U12="",1.5,U12)/3,1))</x:f>
        <x:v>100</x:v>
      </x:c>
      <x:c r="AG12" s="69" t="n">
        <x:f>ROUND(IF(Z12="BLOQUEADA",100,(X12*10)+(V12*8)+(W12*8)),1)</x:f>
        <x:v>24</x:v>
      </x:c>
      <x:c r="AH12" s="69" t="n">
        <x:f>IF(Z12="BLOQUEADA",0,MAX(0,ROUND(0.30*AA12+0.20*AB12+0.15*AC12+0.15*AD12+0.10*AE12+0.10*AF12-AG12,1)))</x:f>
        <x:v>43.1</x:v>
      </x:c>
      <x:c r="AI12" s="69" t="str">
        <x:f>IF(Z12="ELEGIBLE",RANK.EQ(AH12,$AH$2:$AH$12,0),"")</x:f>
      </x:c>
      <x:c r="AJ12" s="69" t="str">
        <x:f>IF(Z12="BLOQUEADA","No aplica",IF(Z12="REVISIÓN","Slot 8 posible: exploratorio",IF(AI12&lt;=5,"Slot 1-5: alto potencial",IF(R12&gt;=2.5,"Slot 6: handoff/dependencia",IF(S12&gt;=2.5,"Slot 7: transformación/objeto",IF(AND(K12&gt;=1,U12&gt;=2),"Slot 8 posible: exploratorio","Backlog/contexto"))))))</x:f>
        <x:v>Slot 8 posible: exploratorio</x:v>
      </x:c>
      <x:c r="AK12" s="69" t="str">
        <x:f>IF(Z12="BLOQUEADA","No seleccionable",IF(Z12="REVISIÓN","Revisión para slot exploratorio",IF(AI12&lt;=8,"Primaria propuesta","Contexto no primario")))</x:f>
        <x:v>Revisión para slot exploratorio</x:v>
      </x:c>
      <x:c r="AL12" s="69" t="str">
        <x:f>IF(OR(Z12="REVISIÓN",Y12&gt;=3,V12&gt;=2),"Sí","No")</x:f>
        <x:v>Sí</x:v>
      </x:c>
      <x:c r="AM12" s="69" t="str">
        <x:f>IF(AK12="Primaria propuesta","Primaria propuesta",IF(AK12="Revisión para slot exploratorio","Revisión / posible primaria exploratoria",IF(AK12="No seleccionable","No seleccionable","Contexto no primario")))</x:f>
        <x:v>Revisión / posible primaria exploratoria</x:v>
      </x:c>
      <x:c r="AN12" s="69" t="str">
        <x:f>IF(AM12="Primaria propuesta",IF(AH12&gt;=75,"40+20 probable",IF(AH12&gt;=55,"40 base + causales selectivas","40 base + probes mínimos")),IF(AM12="Revisión / posible primaria exploratoria","B0/B0.5 reconstrucción antes de Runtime","No abre Runtime profundo"))</x:f>
        <x:v>B0/B0.5 reconstrucción antes de Runtime</x:v>
      </x:c>
      <x:c r="AO12" s="69" t="str">
        <x:f>IF(Z12="BLOQUEADA","No probe",IF(AH12&gt;=75,"Alta",IF(AH12&gt;=55,"Media",IF(Z12="REVISIÓN","Exploratoria","Baja"))))</x:f>
        <x:v>Exploratoria</x:v>
      </x:c>
      <x:c r="AP12" s="69" t="str">
        <x:f>IF(M12="","unknown",IF(M12&gt;=2,"Prometedora","Débil / validar en B0.5-B1"))</x:f>
        <x:v>Débil / validar en B0.5-B1</x:v>
      </x:c>
      <x:c r="AQ12" s="69" t="str">
        <x:f>IF(N12="","unknown",IF(N12&gt;=2,"Prometedora","Débil / validar en B2"))</x:f>
        <x:v>Débil / validar en B2</x:v>
      </x:c>
      <x:c r="AR12" s="69" t="str">
        <x:f>IF(O12="","unknown",IF(O12&gt;=2,"Prometedora","Débil / validar en B3-B4"))</x:f>
        <x:v>Prometedora</x:v>
      </x:c>
      <x:c r="AS12" s="69" t="str">
        <x:f>IF(P12="","unknown",IF(P12&gt;=2,"Prometedora","Débil / validar en B2-B4"))</x:f>
        <x:v>unknown</x:v>
      </x:c>
      <x:c r="AT12" s="69" t="str">
        <x:v>Ambigua pero valiosa como posible slot exploratorio.</x:v>
      </x:c>
      <x:c r="AU12" s="69"/>
      <x:c r="AV12" s="69"/>
      <x:c r="AW12" s="69"/>
      <x:c r="AX12" s="69"/>
      <x:c r="AY12" s="69"/>
      <x:c r="AZ12" s="69"/>
    </x:row>
    <x:row r="13" ht="15" hidden="0" customHeight="1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69"/>
      <x:c r="AZ13" s="69"/>
    </x:row>
    <x:row r="14" ht="15" hidden="0" customHeight="1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  <x:c r="AA14" s="69"/>
      <x:c r="AB14" s="69"/>
      <x:c r="AC14" s="69"/>
      <x:c r="AD14" s="69"/>
      <x:c r="AE14" s="69"/>
      <x:c r="AF14" s="69"/>
      <x:c r="AG14" s="69"/>
      <x:c r="AH14" s="69"/>
      <x:c r="AI14" s="69"/>
      <x:c r="AJ14" s="69"/>
      <x:c r="AK14" s="69"/>
      <x:c r="AL14" s="69"/>
      <x:c r="AM14" s="69"/>
      <x:c r="AN14" s="69"/>
      <x:c r="AO14" s="69"/>
      <x:c r="AP14" s="69"/>
      <x:c r="AQ14" s="69"/>
      <x:c r="AR14" s="69"/>
      <x:c r="AS14" s="69"/>
      <x:c r="AT14" s="69"/>
      <x:c r="AU14" s="69"/>
      <x:c r="AV14" s="69"/>
      <x:c r="AW14" s="69"/>
      <x:c r="AX14" s="69"/>
      <x:c r="AY14" s="69"/>
      <x:c r="AZ14" s="69"/>
    </x:row>
    <x:row r="15" ht="15" hidden="0" customHeight="1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  <x:c r="AA15" s="69"/>
      <x:c r="AB15" s="69"/>
      <x:c r="AC15" s="69"/>
      <x:c r="AD15" s="69"/>
      <x:c r="AE15" s="69"/>
      <x:c r="AF15" s="69"/>
      <x:c r="AG15" s="69"/>
      <x:c r="AH15" s="69"/>
      <x:c r="AI15" s="69"/>
      <x:c r="AJ15" s="69"/>
      <x:c r="AK15" s="69"/>
      <x:c r="AL15" s="69"/>
      <x:c r="AM15" s="69"/>
      <x:c r="AN15" s="69"/>
      <x:c r="AO15" s="69"/>
      <x:c r="AP15" s="69"/>
      <x:c r="AQ15" s="69"/>
      <x:c r="AR15" s="69"/>
      <x:c r="AS15" s="69"/>
      <x:c r="AT15" s="69"/>
      <x:c r="AU15" s="69"/>
      <x:c r="AV15" s="69"/>
      <x:c r="AW15" s="69"/>
      <x:c r="AX15" s="69"/>
      <x:c r="AY15" s="69"/>
      <x:c r="AZ15" s="69"/>
    </x:row>
    <x:row r="16" ht="15" hidden="0" customHeight="1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  <x:c r="AA16" s="69"/>
      <x:c r="AB16" s="69"/>
      <x:c r="AC16" s="69"/>
      <x:c r="AD16" s="69"/>
      <x:c r="AE16" s="69"/>
      <x:c r="AF16" s="69"/>
      <x:c r="AG16" s="69"/>
      <x:c r="AH16" s="69"/>
      <x:c r="AI16" s="69"/>
      <x:c r="AJ16" s="69"/>
      <x:c r="AK16" s="69"/>
      <x:c r="AL16" s="69"/>
      <x:c r="AM16" s="69"/>
      <x:c r="AN16" s="69"/>
      <x:c r="AO16" s="69"/>
      <x:c r="AP16" s="69"/>
      <x:c r="AQ16" s="69"/>
      <x:c r="AR16" s="69"/>
      <x:c r="AS16" s="69"/>
      <x:c r="AT16" s="69"/>
      <x:c r="AU16" s="69"/>
      <x:c r="AV16" s="69"/>
      <x:c r="AW16" s="69"/>
      <x:c r="AX16" s="69"/>
      <x:c r="AY16" s="69"/>
      <x:c r="AZ16" s="69"/>
    </x:row>
    <x:row r="17" ht="15" hidden="0" customHeight="1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  <x:c r="AA17" s="69"/>
      <x:c r="AB17" s="69"/>
      <x:c r="AC17" s="69"/>
      <x:c r="AD17" s="69"/>
      <x:c r="AE17" s="69"/>
      <x:c r="AF17" s="69"/>
      <x:c r="AG17" s="69"/>
      <x:c r="AH17" s="69"/>
      <x:c r="AI17" s="69"/>
      <x:c r="AJ17" s="69"/>
      <x:c r="AK17" s="69"/>
      <x:c r="AL17" s="69"/>
      <x:c r="AM17" s="69"/>
      <x:c r="AN17" s="69"/>
      <x:c r="AO17" s="69"/>
      <x:c r="AP17" s="69"/>
      <x:c r="AQ17" s="69"/>
      <x:c r="AR17" s="69"/>
      <x:c r="AS17" s="69"/>
      <x:c r="AT17" s="69"/>
      <x:c r="AU17" s="69"/>
      <x:c r="AV17" s="69"/>
      <x:c r="AW17" s="69"/>
      <x:c r="AX17" s="69"/>
      <x:c r="AY17" s="69"/>
      <x:c r="AZ17" s="69"/>
    </x:row>
    <x:row r="18" ht="15" hidden="0" customHeight="1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  <x:c r="AA18" s="69"/>
      <x:c r="AB18" s="69"/>
      <x:c r="AC18" s="69"/>
      <x:c r="AD18" s="69"/>
      <x:c r="AE18" s="69"/>
      <x:c r="AF18" s="69"/>
      <x:c r="AG18" s="69"/>
      <x:c r="AH18" s="69"/>
      <x:c r="AI18" s="69"/>
      <x:c r="AJ18" s="69"/>
      <x:c r="AK18" s="69"/>
      <x:c r="AL18" s="69"/>
      <x:c r="AM18" s="69"/>
      <x:c r="AN18" s="69"/>
      <x:c r="AO18" s="69"/>
      <x:c r="AP18" s="69"/>
      <x:c r="AQ18" s="69"/>
      <x:c r="AR18" s="69"/>
      <x:c r="AS18" s="69"/>
      <x:c r="AT18" s="69"/>
      <x:c r="AU18" s="69"/>
      <x:c r="AV18" s="69"/>
      <x:c r="AW18" s="69"/>
      <x:c r="AX18" s="69"/>
      <x:c r="AY18" s="69"/>
      <x:c r="AZ18" s="69"/>
    </x:row>
    <x:row r="19" ht="15" hidden="0" customHeight="1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  <x:c r="AA19" s="69"/>
      <x:c r="AB19" s="69"/>
      <x:c r="AC19" s="69"/>
      <x:c r="AD19" s="69"/>
      <x:c r="AE19" s="69"/>
      <x:c r="AF19" s="69"/>
      <x:c r="AG19" s="69"/>
      <x:c r="AH19" s="69"/>
      <x:c r="AI19" s="69"/>
      <x:c r="AJ19" s="69"/>
      <x:c r="AK19" s="69"/>
      <x:c r="AL19" s="69"/>
      <x:c r="AM19" s="69"/>
      <x:c r="AN19" s="69"/>
      <x:c r="AO19" s="69"/>
      <x:c r="AP19" s="69"/>
      <x:c r="AQ19" s="69"/>
      <x:c r="AR19" s="69"/>
      <x:c r="AS19" s="69"/>
      <x:c r="AT19" s="69"/>
      <x:c r="AU19" s="69"/>
      <x:c r="AV19" s="69"/>
      <x:c r="AW19" s="69"/>
      <x:c r="AX19" s="69"/>
      <x:c r="AY19" s="69"/>
      <x:c r="AZ19" s="69"/>
    </x:row>
    <x:row r="20" ht="15" hidden="0" customHeight="1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  <x:c r="AA20" s="69"/>
      <x:c r="AB20" s="69"/>
      <x:c r="AC20" s="69"/>
      <x:c r="AD20" s="69"/>
      <x:c r="AE20" s="69"/>
      <x:c r="AF20" s="69"/>
      <x:c r="AG20" s="69"/>
      <x:c r="AH20" s="69"/>
      <x:c r="AI20" s="69"/>
      <x:c r="AJ20" s="69"/>
      <x:c r="AK20" s="69"/>
      <x:c r="AL20" s="69"/>
      <x:c r="AM20" s="69"/>
      <x:c r="AN20" s="69"/>
      <x:c r="AO20" s="69"/>
      <x:c r="AP20" s="69"/>
      <x:c r="AQ20" s="69"/>
      <x:c r="AR20" s="69"/>
      <x:c r="AS20" s="69"/>
      <x:c r="AT20" s="69"/>
      <x:c r="AU20" s="69"/>
      <x:c r="AV20" s="69"/>
      <x:c r="AW20" s="69"/>
      <x:c r="AX20" s="69"/>
      <x:c r="AY20" s="69"/>
      <x:c r="AZ20" s="69"/>
    </x:row>
    <x:row r="21" ht="15" hidden="0" customHeight="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  <x:c r="AA21" s="69"/>
      <x:c r="AB21" s="69"/>
      <x:c r="AC21" s="69"/>
      <x:c r="AD21" s="69"/>
      <x:c r="AE21" s="69"/>
      <x:c r="AF21" s="69"/>
      <x:c r="AG21" s="69"/>
      <x:c r="AH21" s="69"/>
      <x:c r="AI21" s="69"/>
      <x:c r="AJ21" s="69"/>
      <x:c r="AK21" s="69"/>
      <x:c r="AL21" s="69"/>
      <x:c r="AM21" s="69"/>
      <x:c r="AN21" s="69"/>
      <x:c r="AO21" s="69"/>
      <x:c r="AP21" s="69"/>
      <x:c r="AQ21" s="69"/>
      <x:c r="AR21" s="69"/>
      <x:c r="AS21" s="69"/>
      <x:c r="AT21" s="69"/>
      <x:c r="AU21" s="69"/>
      <x:c r="AV21" s="69"/>
      <x:c r="AW21" s="69"/>
      <x:c r="AX21" s="69"/>
      <x:c r="AY21" s="69"/>
      <x:c r="AZ21" s="69"/>
    </x:row>
    <x:row r="22" ht="15" hidden="0" customHeight="1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  <x:c r="AA22" s="69"/>
      <x:c r="AB22" s="69"/>
      <x:c r="AC22" s="69"/>
      <x:c r="AD22" s="69"/>
      <x:c r="AE22" s="69"/>
      <x:c r="AF22" s="69"/>
      <x:c r="AG22" s="69"/>
      <x:c r="AH22" s="69"/>
      <x:c r="AI22" s="69"/>
      <x:c r="AJ22" s="69"/>
      <x:c r="AK22" s="69"/>
      <x:c r="AL22" s="69"/>
      <x:c r="AM22" s="69"/>
      <x:c r="AN22" s="69"/>
      <x:c r="AO22" s="69"/>
      <x:c r="AP22" s="69"/>
      <x:c r="AQ22" s="69"/>
      <x:c r="AR22" s="69"/>
      <x:c r="AS22" s="69"/>
      <x:c r="AT22" s="69"/>
      <x:c r="AU22" s="69"/>
      <x:c r="AV22" s="69"/>
      <x:c r="AW22" s="69"/>
      <x:c r="AX22" s="69"/>
      <x:c r="AY22" s="69"/>
      <x:c r="AZ22" s="69"/>
    </x:row>
    <x:row r="23" ht="15" hidden="0" customHeight="1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  <x:c r="AA23" s="69"/>
      <x:c r="AB23" s="69"/>
      <x:c r="AC23" s="69"/>
      <x:c r="AD23" s="69"/>
      <x:c r="AE23" s="69"/>
      <x:c r="AF23" s="69"/>
      <x:c r="AG23" s="69"/>
      <x:c r="AH23" s="69"/>
      <x:c r="AI23" s="69"/>
      <x:c r="AJ23" s="69"/>
      <x:c r="AK23" s="69"/>
      <x:c r="AL23" s="69"/>
      <x:c r="AM23" s="69"/>
      <x:c r="AN23" s="69"/>
      <x:c r="AO23" s="69"/>
      <x:c r="AP23" s="69"/>
      <x:c r="AQ23" s="69"/>
      <x:c r="AR23" s="69"/>
      <x:c r="AS23" s="69"/>
      <x:c r="AT23" s="69"/>
      <x:c r="AU23" s="69"/>
      <x:c r="AV23" s="69"/>
      <x:c r="AW23" s="69"/>
      <x:c r="AX23" s="69"/>
      <x:c r="AY23" s="69"/>
      <x:c r="AZ23" s="69"/>
    </x:row>
    <x:row r="24" ht="15" hidden="0" customHeight="1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  <x:c r="AA24" s="69"/>
      <x:c r="AB24" s="69"/>
      <x:c r="AC24" s="69"/>
      <x:c r="AD24" s="69"/>
      <x:c r="AE24" s="69"/>
      <x:c r="AF24" s="69"/>
      <x:c r="AG24" s="69"/>
      <x:c r="AH24" s="69"/>
      <x:c r="AI24" s="69"/>
      <x:c r="AJ24" s="69"/>
      <x:c r="AK24" s="69"/>
      <x:c r="AL24" s="69"/>
      <x:c r="AM24" s="69"/>
      <x:c r="AN24" s="69"/>
      <x:c r="AO24" s="69"/>
      <x:c r="AP24" s="69"/>
      <x:c r="AQ24" s="69"/>
      <x:c r="AR24" s="69"/>
      <x:c r="AS24" s="69"/>
      <x:c r="AT24" s="69"/>
      <x:c r="AU24" s="69"/>
      <x:c r="AV24" s="69"/>
      <x:c r="AW24" s="69"/>
      <x:c r="AX24" s="69"/>
      <x:c r="AY24" s="69"/>
      <x:c r="AZ24" s="69"/>
    </x:row>
    <x:row r="25" ht="15" hidden="0" customHeight="1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  <x:c r="AA25" s="69"/>
      <x:c r="AB25" s="69"/>
      <x:c r="AC25" s="69"/>
      <x:c r="AD25" s="69"/>
      <x:c r="AE25" s="69"/>
      <x:c r="AF25" s="69"/>
      <x:c r="AG25" s="69"/>
      <x:c r="AH25" s="69"/>
      <x:c r="AI25" s="69"/>
      <x:c r="AJ25" s="69"/>
      <x:c r="AK25" s="69"/>
      <x:c r="AL25" s="69"/>
      <x:c r="AM25" s="69"/>
      <x:c r="AN25" s="69"/>
      <x:c r="AO25" s="69"/>
      <x:c r="AP25" s="69"/>
      <x:c r="AQ25" s="69"/>
      <x:c r="AR25" s="69"/>
      <x:c r="AS25" s="69"/>
      <x:c r="AT25" s="69"/>
      <x:c r="AU25" s="69"/>
      <x:c r="AV25" s="69"/>
      <x:c r="AW25" s="69"/>
      <x:c r="AX25" s="69"/>
      <x:c r="AY25" s="69"/>
      <x:c r="AZ25" s="69"/>
    </x:row>
    <x:row r="26" ht="15" hidden="0" customHeight="1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  <x:c r="AA26" s="69"/>
      <x:c r="AB26" s="69"/>
      <x:c r="AC26" s="69"/>
      <x:c r="AD26" s="69"/>
      <x:c r="AE26" s="69"/>
      <x:c r="AF26" s="69"/>
      <x:c r="AG26" s="69"/>
      <x:c r="AH26" s="69"/>
      <x:c r="AI26" s="69"/>
      <x:c r="AJ26" s="69"/>
      <x:c r="AK26" s="69"/>
      <x:c r="AL26" s="69"/>
      <x:c r="AM26" s="69"/>
      <x:c r="AN26" s="69"/>
      <x:c r="AO26" s="69"/>
      <x:c r="AP26" s="69"/>
      <x:c r="AQ26" s="69"/>
      <x:c r="AR26" s="69"/>
      <x:c r="AS26" s="69"/>
      <x:c r="AT26" s="69"/>
      <x:c r="AU26" s="69"/>
      <x:c r="AV26" s="69"/>
      <x:c r="AW26" s="69"/>
      <x:c r="AX26" s="69"/>
      <x:c r="AY26" s="69"/>
      <x:c r="AZ26" s="69"/>
    </x:row>
    <x:row r="27" ht="15" hidden="0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  <x:c r="AA27" s="69"/>
      <x:c r="AB27" s="69"/>
      <x:c r="AC27" s="69"/>
      <x:c r="AD27" s="69"/>
      <x:c r="AE27" s="69"/>
      <x:c r="AF27" s="69"/>
      <x:c r="AG27" s="69"/>
      <x:c r="AH27" s="69"/>
      <x:c r="AI27" s="69"/>
      <x:c r="AJ27" s="69"/>
      <x:c r="AK27" s="69"/>
      <x:c r="AL27" s="69"/>
      <x:c r="AM27" s="69"/>
      <x:c r="AN27" s="69"/>
      <x:c r="AO27" s="69"/>
      <x:c r="AP27" s="69"/>
      <x:c r="AQ27" s="69"/>
      <x:c r="AR27" s="69"/>
      <x:c r="AS27" s="69"/>
      <x:c r="AT27" s="69"/>
      <x:c r="AU27" s="69"/>
      <x:c r="AV27" s="69"/>
      <x:c r="AW27" s="69"/>
      <x:c r="AX27" s="69"/>
      <x:c r="AY27" s="69"/>
      <x:c r="AZ27" s="69"/>
    </x:row>
    <x:row r="28" ht="15" hidden="0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  <x:c r="AA28" s="69"/>
      <x:c r="AB28" s="69"/>
      <x:c r="AC28" s="69"/>
      <x:c r="AD28" s="69"/>
      <x:c r="AE28" s="69"/>
      <x:c r="AF28" s="69"/>
      <x:c r="AG28" s="69"/>
      <x:c r="AH28" s="69"/>
      <x:c r="AI28" s="69"/>
      <x:c r="AJ28" s="69"/>
      <x:c r="AK28" s="69"/>
      <x:c r="AL28" s="69"/>
      <x:c r="AM28" s="69"/>
      <x:c r="AN28" s="69"/>
      <x:c r="AO28" s="69"/>
      <x:c r="AP28" s="69"/>
      <x:c r="AQ28" s="69"/>
      <x:c r="AR28" s="69"/>
      <x:c r="AS28" s="69"/>
      <x:c r="AT28" s="69"/>
      <x:c r="AU28" s="69"/>
      <x:c r="AV28" s="69"/>
      <x:c r="AW28" s="69"/>
      <x:c r="AX28" s="69"/>
      <x:c r="AY28" s="69"/>
      <x:c r="AZ28" s="69"/>
    </x:row>
    <x:row r="29" ht="15" hidden="0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  <x:c r="AA29" s="69"/>
      <x:c r="AB29" s="69"/>
      <x:c r="AC29" s="69"/>
      <x:c r="AD29" s="69"/>
      <x:c r="AE29" s="69"/>
      <x:c r="AF29" s="69"/>
      <x:c r="AG29" s="69"/>
      <x:c r="AH29" s="69"/>
      <x:c r="AI29" s="69"/>
      <x:c r="AJ29" s="69"/>
      <x:c r="AK29" s="69"/>
      <x:c r="AL29" s="69"/>
      <x:c r="AM29" s="69"/>
      <x:c r="AN29" s="69"/>
      <x:c r="AO29" s="69"/>
      <x:c r="AP29" s="69"/>
      <x:c r="AQ29" s="69"/>
      <x:c r="AR29" s="69"/>
      <x:c r="AS29" s="69"/>
      <x:c r="AT29" s="69"/>
      <x:c r="AU29" s="69"/>
      <x:c r="AV29" s="69"/>
      <x:c r="AW29" s="69"/>
      <x:c r="AX29" s="69"/>
      <x:c r="AY29" s="69"/>
      <x:c r="AZ29" s="69"/>
    </x:row>
    <x:row r="30" ht="15" hidden="0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  <x:c r="AA30" s="69"/>
      <x:c r="AB30" s="69"/>
      <x:c r="AC30" s="69"/>
      <x:c r="AD30" s="69"/>
      <x:c r="AE30" s="69"/>
      <x:c r="AF30" s="69"/>
      <x:c r="AG30" s="69"/>
      <x:c r="AH30" s="69"/>
      <x:c r="AI30" s="69"/>
      <x:c r="AJ30" s="69"/>
      <x:c r="AK30" s="69"/>
      <x:c r="AL30" s="69"/>
      <x:c r="AM30" s="69"/>
      <x:c r="AN30" s="69"/>
      <x:c r="AO30" s="69"/>
      <x:c r="AP30" s="69"/>
      <x:c r="AQ30" s="69"/>
      <x:c r="AR30" s="69"/>
      <x:c r="AS30" s="69"/>
      <x:c r="AT30" s="69"/>
      <x:c r="AU30" s="69"/>
      <x:c r="AV30" s="69"/>
      <x:c r="AW30" s="69"/>
      <x:c r="AX30" s="69"/>
      <x:c r="AY30" s="69"/>
      <x:c r="AZ30" s="69"/>
    </x:row>
    <x:row r="31" ht="15" hidden="0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  <x:c r="AA31" s="69"/>
      <x:c r="AB31" s="69"/>
      <x:c r="AC31" s="69"/>
      <x:c r="AD31" s="69"/>
      <x:c r="AE31" s="69"/>
      <x:c r="AF31" s="69"/>
      <x:c r="AG31" s="69"/>
      <x:c r="AH31" s="69"/>
      <x:c r="AI31" s="69"/>
      <x:c r="AJ31" s="69"/>
      <x:c r="AK31" s="69"/>
      <x:c r="AL31" s="69"/>
      <x:c r="AM31" s="69"/>
      <x:c r="AN31" s="69"/>
      <x:c r="AO31" s="69"/>
      <x:c r="AP31" s="69"/>
      <x:c r="AQ31" s="69"/>
      <x:c r="AR31" s="69"/>
      <x:c r="AS31" s="69"/>
      <x:c r="AT31" s="69"/>
      <x:c r="AU31" s="69"/>
      <x:c r="AV31" s="69"/>
      <x:c r="AW31" s="69"/>
      <x:c r="AX31" s="69"/>
      <x:c r="AY31" s="69"/>
      <x:c r="AZ31" s="69"/>
    </x:row>
    <x:row r="32" ht="15" hidden="0" customHeight="1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  <x:c r="AA32" s="69"/>
      <x:c r="AB32" s="69"/>
      <x:c r="AC32" s="69"/>
      <x:c r="AD32" s="69"/>
      <x:c r="AE32" s="69"/>
      <x:c r="AF32" s="69"/>
      <x:c r="AG32" s="69"/>
      <x:c r="AH32" s="69"/>
      <x:c r="AI32" s="69"/>
      <x:c r="AJ32" s="69"/>
      <x:c r="AK32" s="69"/>
      <x:c r="AL32" s="69"/>
      <x:c r="AM32" s="69"/>
      <x:c r="AN32" s="69"/>
      <x:c r="AO32" s="69"/>
      <x:c r="AP32" s="69"/>
      <x:c r="AQ32" s="69"/>
      <x:c r="AR32" s="69"/>
      <x:c r="AS32" s="69"/>
      <x:c r="AT32" s="69"/>
      <x:c r="AU32" s="69"/>
      <x:c r="AV32" s="69"/>
      <x:c r="AW32" s="69"/>
      <x:c r="AX32" s="69"/>
      <x:c r="AY32" s="69"/>
      <x:c r="AZ32" s="69"/>
    </x:row>
    <x:row r="33" ht="15" hidden="0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  <x:c r="AA33" s="69"/>
      <x:c r="AB33" s="69"/>
      <x:c r="AC33" s="69"/>
      <x:c r="AD33" s="69"/>
      <x:c r="AE33" s="69"/>
      <x:c r="AF33" s="69"/>
      <x:c r="AG33" s="69"/>
      <x:c r="AH33" s="69"/>
      <x:c r="AI33" s="69"/>
      <x:c r="AJ33" s="69"/>
      <x:c r="AK33" s="69"/>
      <x:c r="AL33" s="69"/>
      <x:c r="AM33" s="69"/>
      <x:c r="AN33" s="69"/>
      <x:c r="AO33" s="69"/>
      <x:c r="AP33" s="69"/>
      <x:c r="AQ33" s="69"/>
      <x:c r="AR33" s="69"/>
      <x:c r="AS33" s="69"/>
      <x:c r="AT33" s="69"/>
      <x:c r="AU33" s="69"/>
      <x:c r="AV33" s="69"/>
      <x:c r="AW33" s="69"/>
      <x:c r="AX33" s="69"/>
      <x:c r="AY33" s="69"/>
      <x:c r="AZ33" s="69"/>
    </x:row>
    <x:row r="34" ht="15" hidden="0" customHeight="1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  <x:c r="AA34" s="69"/>
      <x:c r="AB34" s="69"/>
      <x:c r="AC34" s="69"/>
      <x:c r="AD34" s="69"/>
      <x:c r="AE34" s="69"/>
      <x:c r="AF34" s="69"/>
      <x:c r="AG34" s="69"/>
      <x:c r="AH34" s="69"/>
      <x:c r="AI34" s="69"/>
      <x:c r="AJ34" s="69"/>
      <x:c r="AK34" s="69"/>
      <x:c r="AL34" s="69"/>
      <x:c r="AM34" s="69"/>
      <x:c r="AN34" s="69"/>
      <x:c r="AO34" s="69"/>
      <x:c r="AP34" s="69"/>
      <x:c r="AQ34" s="69"/>
      <x:c r="AR34" s="69"/>
      <x:c r="AS34" s="69"/>
      <x:c r="AT34" s="69"/>
      <x:c r="AU34" s="69"/>
      <x:c r="AV34" s="69"/>
      <x:c r="AW34" s="69"/>
      <x:c r="AX34" s="69"/>
      <x:c r="AY34" s="69"/>
      <x:c r="AZ34" s="69"/>
    </x:row>
    <x:row r="35" ht="15" hidden="0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  <x:c r="AA35" s="69"/>
      <x:c r="AB35" s="69"/>
      <x:c r="AC35" s="69"/>
      <x:c r="AD35" s="69"/>
      <x:c r="AE35" s="69"/>
      <x:c r="AF35" s="69"/>
      <x:c r="AG35" s="69"/>
      <x:c r="AH35" s="69"/>
      <x:c r="AI35" s="69"/>
      <x:c r="AJ35" s="69"/>
      <x:c r="AK35" s="69"/>
      <x:c r="AL35" s="69"/>
      <x:c r="AM35" s="69"/>
      <x:c r="AN35" s="69"/>
      <x:c r="AO35" s="69"/>
      <x:c r="AP35" s="69"/>
      <x:c r="AQ35" s="69"/>
      <x:c r="AR35" s="69"/>
      <x:c r="AS35" s="69"/>
      <x:c r="AT35" s="69"/>
      <x:c r="AU35" s="69"/>
      <x:c r="AV35" s="69"/>
      <x:c r="AW35" s="69"/>
      <x:c r="AX35" s="69"/>
      <x:c r="AY35" s="69"/>
      <x:c r="AZ35" s="69"/>
    </x:row>
    <x:row r="36" ht="15" hidden="0" customHeight="1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  <x:c r="AA36" s="69"/>
      <x:c r="AB36" s="69"/>
      <x:c r="AC36" s="69"/>
      <x:c r="AD36" s="69"/>
      <x:c r="AE36" s="69"/>
      <x:c r="AF36" s="69"/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</x:row>
    <x:row r="37" ht="15" hidden="0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  <x:c r="AA37" s="69"/>
      <x:c r="AB37" s="69"/>
      <x:c r="AC37" s="69"/>
      <x:c r="AD37" s="69"/>
      <x:c r="AE37" s="69"/>
      <x:c r="AF37" s="69"/>
      <x:c r="AG37" s="69"/>
      <x:c r="AH37" s="69"/>
      <x:c r="AI37" s="69"/>
      <x:c r="AJ37" s="69"/>
      <x:c r="AK37" s="69"/>
      <x:c r="AL37" s="69"/>
      <x:c r="AM37" s="69"/>
      <x:c r="AN37" s="69"/>
      <x:c r="AO37" s="69"/>
      <x:c r="AP37" s="69"/>
      <x:c r="AQ37" s="69"/>
      <x:c r="AR37" s="69"/>
      <x:c r="AS37" s="69"/>
      <x:c r="AT37" s="69"/>
      <x:c r="AU37" s="69"/>
      <x:c r="AV37" s="69"/>
      <x:c r="AW37" s="69"/>
      <x:c r="AX37" s="69"/>
      <x:c r="AY37" s="69"/>
      <x:c r="AZ37" s="69"/>
    </x:row>
    <x:row r="38" ht="15" hidden="0" customHeight="1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  <x:c r="AA38" s="69"/>
      <x:c r="AB38" s="69"/>
      <x:c r="AC38" s="69"/>
      <x:c r="AD38" s="69"/>
      <x:c r="AE38" s="69"/>
      <x:c r="AF38" s="69"/>
      <x:c r="AG38" s="69"/>
      <x:c r="AH38" s="69"/>
      <x:c r="AI38" s="69"/>
      <x:c r="AJ38" s="69"/>
      <x:c r="AK38" s="69"/>
      <x:c r="AL38" s="69"/>
      <x:c r="AM38" s="69"/>
      <x:c r="AN38" s="69"/>
      <x:c r="AO38" s="69"/>
      <x:c r="AP38" s="69"/>
      <x:c r="AQ38" s="69"/>
      <x:c r="AR38" s="69"/>
      <x:c r="AS38" s="69"/>
      <x:c r="AT38" s="69"/>
      <x:c r="AU38" s="69"/>
      <x:c r="AV38" s="69"/>
      <x:c r="AW38" s="69"/>
      <x:c r="AX38" s="69"/>
      <x:c r="AY38" s="69"/>
      <x:c r="AZ38" s="69"/>
    </x:row>
    <x:row r="39" ht="15" hidden="0" customHeight="1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  <x:c r="AA39" s="69"/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69"/>
      <x:c r="AW39" s="69"/>
      <x:c r="AX39" s="69"/>
      <x:c r="AY39" s="69"/>
      <x:c r="AZ39" s="69"/>
    </x:row>
    <x:row r="40" ht="15" hidden="0" customHeight="1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  <x:c r="AA40" s="69"/>
      <x:c r="AB40" s="69"/>
      <x:c r="AC40" s="69"/>
      <x:c r="AD40" s="69"/>
      <x:c r="AE40" s="69"/>
      <x:c r="AF40" s="69"/>
      <x:c r="AG40" s="69"/>
      <x:c r="AH40" s="69"/>
      <x:c r="AI40" s="69"/>
      <x:c r="AJ40" s="69"/>
      <x:c r="AK40" s="69"/>
      <x:c r="AL40" s="69"/>
      <x:c r="AM40" s="69"/>
      <x:c r="AN40" s="69"/>
      <x:c r="AO40" s="69"/>
      <x:c r="AP40" s="69"/>
      <x:c r="AQ40" s="69"/>
      <x:c r="AR40" s="69"/>
      <x:c r="AS40" s="69"/>
      <x:c r="AT40" s="69"/>
      <x:c r="AU40" s="69"/>
      <x:c r="AV40" s="69"/>
      <x:c r="AW40" s="69"/>
      <x:c r="AX40" s="69"/>
      <x:c r="AY40" s="69"/>
      <x:c r="AZ40" s="69"/>
    </x:row>
    <x:row r="41" ht="15" hidden="0" customHeight="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  <x:c r="AA41" s="69"/>
      <x:c r="AB41" s="69"/>
      <x:c r="AC41" s="69"/>
      <x:c r="AD41" s="69"/>
      <x:c r="AE41" s="69"/>
      <x:c r="AF41" s="69"/>
      <x:c r="AG41" s="69"/>
      <x:c r="AH41" s="69"/>
      <x:c r="AI41" s="69"/>
      <x:c r="AJ41" s="69"/>
      <x:c r="AK41" s="69"/>
      <x:c r="AL41" s="69"/>
      <x:c r="AM41" s="69"/>
      <x:c r="AN41" s="69"/>
      <x:c r="AO41" s="69"/>
      <x:c r="AP41" s="69"/>
      <x:c r="AQ41" s="69"/>
      <x:c r="AR41" s="69"/>
      <x:c r="AS41" s="69"/>
      <x:c r="AT41" s="69"/>
      <x:c r="AU41" s="69"/>
      <x:c r="AV41" s="69"/>
      <x:c r="AW41" s="69"/>
      <x:c r="AX41" s="69"/>
      <x:c r="AY41" s="69"/>
      <x:c r="AZ41" s="69"/>
    </x:row>
    <x:row r="42" ht="15" hidden="0" customHeight="1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  <x:c r="AA42" s="69"/>
      <x:c r="AB42" s="69"/>
      <x:c r="AC42" s="69"/>
      <x:c r="AD42" s="69"/>
      <x:c r="AE42" s="69"/>
      <x:c r="AF42" s="69"/>
      <x:c r="AG42" s="69"/>
      <x:c r="AH42" s="69"/>
      <x:c r="AI42" s="69"/>
      <x:c r="AJ42" s="69"/>
      <x:c r="AK42" s="69"/>
      <x:c r="AL42" s="69"/>
      <x:c r="AM42" s="69"/>
      <x:c r="AN42" s="69"/>
      <x:c r="AO42" s="69"/>
      <x:c r="AP42" s="69"/>
      <x:c r="AQ42" s="69"/>
      <x:c r="AR42" s="69"/>
      <x:c r="AS42" s="69"/>
      <x:c r="AT42" s="69"/>
      <x:c r="AU42" s="69"/>
      <x:c r="AV42" s="69"/>
      <x:c r="AW42" s="69"/>
      <x:c r="AX42" s="69"/>
      <x:c r="AY42" s="69"/>
      <x:c r="AZ42" s="69"/>
    </x:row>
    <x:row r="43" ht="15" hidden="0" customHeight="1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  <x:c r="AA43" s="69"/>
      <x:c r="AB43" s="69"/>
      <x:c r="AC43" s="69"/>
      <x:c r="AD43" s="69"/>
      <x:c r="AE43" s="69"/>
      <x:c r="AF43" s="69"/>
      <x:c r="AG43" s="69"/>
      <x:c r="AH43" s="69"/>
      <x:c r="AI43" s="69"/>
      <x:c r="AJ43" s="69"/>
      <x:c r="AK43" s="69"/>
      <x:c r="AL43" s="69"/>
      <x:c r="AM43" s="69"/>
      <x:c r="AN43" s="69"/>
      <x:c r="AO43" s="69"/>
      <x:c r="AP43" s="69"/>
      <x:c r="AQ43" s="69"/>
      <x:c r="AR43" s="69"/>
      <x:c r="AS43" s="69"/>
      <x:c r="AT43" s="69"/>
      <x:c r="AU43" s="69"/>
      <x:c r="AV43" s="69"/>
      <x:c r="AW43" s="69"/>
      <x:c r="AX43" s="69"/>
      <x:c r="AY43" s="69"/>
      <x:c r="AZ43" s="69"/>
    </x:row>
    <x:row r="44" ht="15" hidden="0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  <x:c r="AA44" s="69"/>
      <x:c r="AB44" s="69"/>
      <x:c r="AC44" s="69"/>
      <x:c r="AD44" s="69"/>
      <x:c r="AE44" s="69"/>
      <x:c r="AF44" s="69"/>
      <x:c r="AG44" s="69"/>
      <x:c r="AH44" s="69"/>
      <x:c r="AI44" s="69"/>
      <x:c r="AJ44" s="69"/>
      <x:c r="AK44" s="69"/>
      <x:c r="AL44" s="69"/>
      <x:c r="AM44" s="69"/>
      <x:c r="AN44" s="69"/>
      <x:c r="AO44" s="69"/>
      <x:c r="AP44" s="69"/>
      <x:c r="AQ44" s="69"/>
      <x:c r="AR44" s="69"/>
      <x:c r="AS44" s="69"/>
      <x:c r="AT44" s="69"/>
      <x:c r="AU44" s="69"/>
      <x:c r="AV44" s="69"/>
      <x:c r="AW44" s="69"/>
      <x:c r="AX44" s="69"/>
      <x:c r="AY44" s="69"/>
      <x:c r="AZ44" s="69"/>
    </x:row>
    <x:row r="45" ht="15" hidden="0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  <x:c r="AA45" s="69"/>
      <x:c r="AB45" s="69"/>
      <x:c r="AC45" s="69"/>
      <x:c r="AD45" s="69"/>
      <x:c r="AE45" s="69"/>
      <x:c r="AF45" s="69"/>
      <x:c r="AG45" s="69"/>
      <x:c r="AH45" s="69"/>
      <x:c r="AI45" s="69"/>
      <x:c r="AJ45" s="69"/>
      <x:c r="AK45" s="69"/>
      <x:c r="AL45" s="69"/>
      <x:c r="AM45" s="69"/>
      <x:c r="AN45" s="69"/>
      <x:c r="AO45" s="69"/>
      <x:c r="AP45" s="69"/>
      <x:c r="AQ45" s="69"/>
      <x:c r="AR45" s="69"/>
      <x:c r="AS45" s="69"/>
      <x:c r="AT45" s="69"/>
      <x:c r="AU45" s="69"/>
      <x:c r="AV45" s="69"/>
      <x:c r="AW45" s="69"/>
      <x:c r="AX45" s="69"/>
      <x:c r="AY45" s="69"/>
      <x:c r="AZ45" s="69"/>
    </x:row>
    <x:row r="46" ht="15" hidden="0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  <x:c r="AA46" s="69"/>
      <x:c r="AB46" s="69"/>
      <x:c r="AC46" s="69"/>
      <x:c r="AD46" s="69"/>
      <x:c r="AE46" s="69"/>
      <x:c r="AF46" s="69"/>
      <x:c r="AG46" s="69"/>
      <x:c r="AH46" s="69"/>
      <x:c r="AI46" s="69"/>
      <x:c r="AJ46" s="69"/>
      <x:c r="AK46" s="69"/>
      <x:c r="AL46" s="69"/>
      <x:c r="AM46" s="69"/>
      <x:c r="AN46" s="69"/>
      <x:c r="AO46" s="69"/>
      <x:c r="AP46" s="69"/>
      <x:c r="AQ46" s="69"/>
      <x:c r="AR46" s="69"/>
      <x:c r="AS46" s="69"/>
      <x:c r="AT46" s="69"/>
      <x:c r="AU46" s="69"/>
      <x:c r="AV46" s="69"/>
      <x:c r="AW46" s="69"/>
      <x:c r="AX46" s="69"/>
      <x:c r="AY46" s="69"/>
      <x:c r="AZ46" s="69"/>
    </x:row>
    <x:row r="47" ht="15" hidden="0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  <x:c r="AA47" s="69"/>
      <x:c r="AB47" s="69"/>
      <x:c r="AC47" s="69"/>
      <x:c r="AD47" s="69"/>
      <x:c r="AE47" s="69"/>
      <x:c r="AF47" s="69"/>
      <x:c r="AG47" s="69"/>
      <x:c r="AH47" s="69"/>
      <x:c r="AI47" s="69"/>
      <x:c r="AJ47" s="69"/>
      <x:c r="AK47" s="69"/>
      <x:c r="AL47" s="69"/>
      <x:c r="AM47" s="69"/>
      <x:c r="AN47" s="69"/>
      <x:c r="AO47" s="69"/>
      <x:c r="AP47" s="69"/>
      <x:c r="AQ47" s="69"/>
      <x:c r="AR47" s="69"/>
      <x:c r="AS47" s="69"/>
      <x:c r="AT47" s="69"/>
      <x:c r="AU47" s="69"/>
      <x:c r="AV47" s="69"/>
      <x:c r="AW47" s="69"/>
      <x:c r="AX47" s="69"/>
      <x:c r="AY47" s="69"/>
      <x:c r="AZ47" s="69"/>
    </x:row>
    <x:row r="48" ht="15" hidden="0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  <x:c r="AA48" s="69"/>
      <x:c r="AB48" s="69"/>
      <x:c r="AC48" s="69"/>
      <x:c r="AD48" s="69"/>
      <x:c r="AE48" s="69"/>
      <x:c r="AF48" s="69"/>
      <x:c r="AG48" s="69"/>
      <x:c r="AH48" s="69"/>
      <x:c r="AI48" s="69"/>
      <x:c r="AJ48" s="69"/>
      <x:c r="AK48" s="69"/>
      <x:c r="AL48" s="69"/>
      <x:c r="AM48" s="69"/>
      <x:c r="AN48" s="69"/>
      <x:c r="AO48" s="69"/>
      <x:c r="AP48" s="69"/>
      <x:c r="AQ48" s="69"/>
      <x:c r="AR48" s="69"/>
      <x:c r="AS48" s="69"/>
      <x:c r="AT48" s="69"/>
      <x:c r="AU48" s="69"/>
      <x:c r="AV48" s="69"/>
      <x:c r="AW48" s="69"/>
      <x:c r="AX48" s="69"/>
      <x:c r="AY48" s="69"/>
      <x:c r="AZ48" s="69"/>
    </x:row>
    <x:row r="49" ht="15" hidden="0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  <x:c r="AA49" s="69"/>
      <x:c r="AB49" s="69"/>
      <x:c r="AC49" s="69"/>
      <x:c r="AD49" s="69"/>
      <x:c r="AE49" s="69"/>
      <x:c r="AF49" s="69"/>
      <x:c r="AG49" s="69"/>
      <x:c r="AH49" s="69"/>
      <x:c r="AI49" s="69"/>
      <x:c r="AJ49" s="69"/>
      <x:c r="AK49" s="69"/>
      <x:c r="AL49" s="69"/>
      <x:c r="AM49" s="69"/>
      <x:c r="AN49" s="69"/>
      <x:c r="AO49" s="69"/>
      <x:c r="AP49" s="69"/>
      <x:c r="AQ49" s="69"/>
      <x:c r="AR49" s="69"/>
      <x:c r="AS49" s="69"/>
      <x:c r="AT49" s="69"/>
      <x:c r="AU49" s="69"/>
      <x:c r="AV49" s="69"/>
      <x:c r="AW49" s="69"/>
      <x:c r="AX49" s="69"/>
      <x:c r="AY49" s="69"/>
      <x:c r="AZ49" s="69"/>
    </x:row>
    <x:row r="50" ht="15" hidden="0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  <x:c r="AA50" s="69"/>
      <x:c r="AB50" s="69"/>
      <x:c r="AC50" s="69"/>
      <x:c r="AD50" s="69"/>
      <x:c r="AE50" s="69"/>
      <x:c r="AF50" s="69"/>
      <x:c r="AG50" s="69"/>
      <x:c r="AH50" s="69"/>
      <x:c r="AI50" s="69"/>
      <x:c r="AJ50" s="69"/>
      <x:c r="AK50" s="69"/>
      <x:c r="AL50" s="69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</x:row>
    <x:row r="51" ht="15" hidden="0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  <x:c r="AA51" s="69"/>
      <x:c r="AB51" s="69"/>
      <x:c r="AC51" s="69"/>
      <x:c r="AD51" s="69"/>
      <x:c r="AE51" s="69"/>
      <x:c r="AF51" s="69"/>
      <x:c r="AG51" s="69"/>
      <x:c r="AH51" s="69"/>
      <x:c r="AI51" s="69"/>
      <x:c r="AJ51" s="69"/>
      <x:c r="AK51" s="69"/>
      <x:c r="AL51" s="69"/>
      <x:c r="AM51" s="69"/>
      <x:c r="AN51" s="69"/>
      <x:c r="AO51" s="69"/>
      <x:c r="AP51" s="69"/>
      <x:c r="AQ51" s="69"/>
      <x:c r="AR51" s="69"/>
      <x:c r="AS51" s="69"/>
      <x:c r="AT51" s="69"/>
      <x:c r="AU51" s="69"/>
      <x:c r="AV51" s="69"/>
      <x:c r="AW51" s="69"/>
      <x:c r="AX51" s="69"/>
      <x:c r="AY51" s="69"/>
      <x:c r="AZ51" s="69"/>
    </x:row>
    <x:row r="52" ht="15" hidden="0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  <x:c r="AA52" s="69"/>
      <x:c r="AB52" s="69"/>
      <x:c r="AC52" s="69"/>
      <x:c r="AD52" s="69"/>
      <x:c r="AE52" s="69"/>
      <x:c r="AF52" s="69"/>
      <x:c r="AG52" s="69"/>
      <x:c r="AH52" s="69"/>
      <x:c r="AI52" s="69"/>
      <x:c r="AJ52" s="69"/>
      <x:c r="AK52" s="69"/>
      <x:c r="AL52" s="69"/>
      <x:c r="AM52" s="69"/>
      <x:c r="AN52" s="69"/>
      <x:c r="AO52" s="69"/>
      <x:c r="AP52" s="69"/>
      <x:c r="AQ52" s="69"/>
      <x:c r="AR52" s="69"/>
      <x:c r="AS52" s="69"/>
      <x:c r="AT52" s="69"/>
      <x:c r="AU52" s="69"/>
      <x:c r="AV52" s="69"/>
      <x:c r="AW52" s="69"/>
      <x:c r="AX52" s="69"/>
      <x:c r="AY52" s="69"/>
      <x:c r="AZ52" s="69"/>
    </x:row>
    <x:row r="53" ht="15" hidden="0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  <x:c r="AA53" s="69"/>
      <x:c r="AB53" s="69"/>
      <x:c r="AC53" s="69"/>
      <x:c r="AD53" s="69"/>
      <x:c r="AE53" s="69"/>
      <x:c r="AF53" s="69"/>
      <x:c r="AG53" s="69"/>
      <x:c r="AH53" s="69"/>
      <x:c r="AI53" s="69"/>
      <x:c r="AJ53" s="69"/>
      <x:c r="AK53" s="69"/>
      <x:c r="AL53" s="69"/>
      <x:c r="AM53" s="69"/>
      <x:c r="AN53" s="69"/>
      <x:c r="AO53" s="69"/>
      <x:c r="AP53" s="69"/>
      <x:c r="AQ53" s="69"/>
      <x:c r="AR53" s="69"/>
      <x:c r="AS53" s="69"/>
      <x:c r="AT53" s="69"/>
      <x:c r="AU53" s="69"/>
      <x:c r="AV53" s="69"/>
      <x:c r="AW53" s="69"/>
      <x:c r="AX53" s="69"/>
      <x:c r="AY53" s="69"/>
      <x:c r="AZ53" s="69"/>
    </x:row>
    <x:row r="54" ht="15" hidden="0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  <x:c r="AA54" s="69"/>
      <x:c r="AB54" s="69"/>
      <x:c r="AC54" s="69"/>
      <x:c r="AD54" s="69"/>
      <x:c r="AE54" s="69"/>
      <x:c r="AF54" s="69"/>
      <x:c r="AG54" s="69"/>
      <x:c r="AH54" s="69"/>
      <x:c r="AI54" s="69"/>
      <x:c r="AJ54" s="69"/>
      <x:c r="AK54" s="69"/>
      <x:c r="AL54" s="69"/>
      <x:c r="AM54" s="69"/>
      <x:c r="AN54" s="69"/>
      <x:c r="AO54" s="69"/>
      <x:c r="AP54" s="69"/>
      <x:c r="AQ54" s="69"/>
      <x:c r="AR54" s="69"/>
      <x:c r="AS54" s="69"/>
      <x:c r="AT54" s="69"/>
      <x:c r="AU54" s="69"/>
      <x:c r="AV54" s="69"/>
      <x:c r="AW54" s="69"/>
      <x:c r="AX54" s="69"/>
      <x:c r="AY54" s="69"/>
      <x:c r="AZ54" s="69"/>
    </x:row>
    <x:row r="55" ht="15" hidden="0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  <x:c r="AA55" s="69"/>
      <x:c r="AB55" s="69"/>
      <x:c r="AC55" s="69"/>
      <x:c r="AD55" s="69"/>
      <x:c r="AE55" s="69"/>
      <x:c r="AF55" s="69"/>
      <x:c r="AG55" s="69"/>
      <x:c r="AH55" s="69"/>
      <x:c r="AI55" s="69"/>
      <x:c r="AJ55" s="69"/>
      <x:c r="AK55" s="69"/>
      <x:c r="AL55" s="69"/>
      <x:c r="AM55" s="69"/>
      <x:c r="AN55" s="69"/>
      <x:c r="AO55" s="69"/>
      <x:c r="AP55" s="69"/>
      <x:c r="AQ55" s="69"/>
      <x:c r="AR55" s="69"/>
      <x:c r="AS55" s="69"/>
      <x:c r="AT55" s="69"/>
      <x:c r="AU55" s="69"/>
      <x:c r="AV55" s="69"/>
      <x:c r="AW55" s="69"/>
      <x:c r="AX55" s="69"/>
      <x:c r="AY55" s="69"/>
      <x:c r="AZ55" s="69"/>
    </x:row>
    <x:row r="56" ht="15" hidden="0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  <x:c r="AE56" s="69"/>
      <x:c r="AF56" s="69"/>
      <x:c r="AG56" s="69"/>
      <x:c r="AH56" s="69"/>
      <x:c r="AI56" s="69"/>
      <x:c r="AJ56" s="69"/>
      <x:c r="AK56" s="69"/>
      <x:c r="AL56" s="69"/>
      <x:c r="AM56" s="69"/>
      <x:c r="AN56" s="69"/>
      <x:c r="AO56" s="69"/>
      <x:c r="AP56" s="69"/>
      <x:c r="AQ56" s="69"/>
      <x:c r="AR56" s="69"/>
      <x:c r="AS56" s="69"/>
      <x:c r="AT56" s="69"/>
      <x:c r="AU56" s="69"/>
      <x:c r="AV56" s="69"/>
      <x:c r="AW56" s="69"/>
      <x:c r="AX56" s="69"/>
      <x:c r="AY56" s="69"/>
      <x:c r="AZ56" s="69"/>
    </x:row>
    <x:row r="57" ht="15" hidden="0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  <x:c r="AA57" s="69"/>
      <x:c r="AB57" s="69"/>
      <x:c r="AC57" s="69"/>
      <x:c r="AD57" s="69"/>
      <x:c r="AE57" s="69"/>
      <x:c r="AF57" s="69"/>
      <x:c r="AG57" s="69"/>
      <x:c r="AH57" s="69"/>
      <x:c r="AI57" s="69"/>
      <x:c r="AJ57" s="69"/>
      <x:c r="AK57" s="69"/>
      <x:c r="AL57" s="69"/>
      <x:c r="AM57" s="69"/>
      <x:c r="AN57" s="69"/>
      <x:c r="AO57" s="69"/>
      <x:c r="AP57" s="69"/>
      <x:c r="AQ57" s="69"/>
      <x:c r="AR57" s="69"/>
      <x:c r="AS57" s="69"/>
      <x:c r="AT57" s="69"/>
      <x:c r="AU57" s="69"/>
      <x:c r="AV57" s="69"/>
      <x:c r="AW57" s="69"/>
      <x:c r="AX57" s="69"/>
      <x:c r="AY57" s="69"/>
      <x:c r="AZ57" s="69"/>
    </x:row>
    <x:row r="58" ht="15" hidden="0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  <x:c r="AA58" s="69"/>
      <x:c r="AB58" s="69"/>
      <x:c r="AC58" s="69"/>
      <x:c r="AD58" s="69"/>
      <x:c r="AE58" s="69"/>
      <x:c r="AF58" s="69"/>
      <x:c r="AG58" s="69"/>
      <x:c r="AH58" s="69"/>
      <x:c r="AI58" s="69"/>
      <x:c r="AJ58" s="69"/>
      <x:c r="AK58" s="69"/>
      <x:c r="AL58" s="69"/>
      <x:c r="AM58" s="69"/>
      <x:c r="AN58" s="69"/>
      <x:c r="AO58" s="69"/>
      <x:c r="AP58" s="69"/>
      <x:c r="AQ58" s="69"/>
      <x:c r="AR58" s="69"/>
      <x:c r="AS58" s="69"/>
      <x:c r="AT58" s="69"/>
      <x:c r="AU58" s="69"/>
      <x:c r="AV58" s="69"/>
      <x:c r="AW58" s="69"/>
      <x:c r="AX58" s="69"/>
      <x:c r="AY58" s="69"/>
      <x:c r="AZ58" s="69"/>
    </x:row>
    <x:row r="59" ht="15" hidden="0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9"/>
      <x:c r="AB59" s="69"/>
      <x:c r="AC59" s="69"/>
      <x:c r="AD59" s="69"/>
      <x:c r="AE59" s="69"/>
      <x:c r="AF59" s="69"/>
      <x:c r="AG59" s="69"/>
      <x:c r="AH59" s="69"/>
      <x:c r="AI59" s="69"/>
      <x:c r="AJ59" s="69"/>
      <x:c r="AK59" s="69"/>
      <x:c r="AL59" s="69"/>
      <x:c r="AM59" s="69"/>
      <x:c r="AN59" s="69"/>
      <x:c r="AO59" s="69"/>
      <x:c r="AP59" s="69"/>
      <x:c r="AQ59" s="69"/>
      <x:c r="AR59" s="69"/>
      <x:c r="AS59" s="69"/>
      <x:c r="AT59" s="69"/>
      <x:c r="AU59" s="69"/>
      <x:c r="AV59" s="69"/>
      <x:c r="AW59" s="69"/>
      <x:c r="AX59" s="69"/>
      <x:c r="AY59" s="69"/>
      <x:c r="AZ59" s="69"/>
    </x:row>
    <x:row r="60" ht="15" hidden="0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  <x:c r="AA60" s="69"/>
      <x:c r="AB60" s="69"/>
      <x:c r="AC60" s="69"/>
      <x:c r="AD60" s="69"/>
      <x:c r="AE60" s="69"/>
      <x:c r="AF60" s="69"/>
      <x:c r="AG60" s="69"/>
      <x:c r="AH60" s="69"/>
      <x:c r="AI60" s="69"/>
      <x:c r="AJ60" s="69"/>
      <x:c r="AK60" s="69"/>
      <x:c r="AL60" s="69"/>
      <x:c r="AM60" s="69"/>
      <x:c r="AN60" s="69"/>
      <x:c r="AO60" s="69"/>
      <x:c r="AP60" s="69"/>
      <x:c r="AQ60" s="69"/>
      <x:c r="AR60" s="69"/>
      <x:c r="AS60" s="69"/>
      <x:c r="AT60" s="69"/>
      <x:c r="AU60" s="69"/>
      <x:c r="AV60" s="69"/>
      <x:c r="AW60" s="69"/>
      <x:c r="AX60" s="69"/>
      <x:c r="AY60" s="69"/>
      <x:c r="AZ60" s="69"/>
    </x:row>
    <x:row r="61" ht="15" hidden="0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  <x:c r="AA61" s="69"/>
      <x:c r="AB61" s="69"/>
      <x:c r="AC61" s="69"/>
      <x:c r="AD61" s="69"/>
      <x:c r="AE61" s="69"/>
      <x:c r="AF61" s="69"/>
      <x:c r="AG61" s="69"/>
      <x:c r="AH61" s="69"/>
      <x:c r="AI61" s="69"/>
      <x:c r="AJ61" s="69"/>
      <x:c r="AK61" s="69"/>
      <x:c r="AL61" s="69"/>
      <x:c r="AM61" s="69"/>
      <x:c r="AN61" s="69"/>
      <x:c r="AO61" s="69"/>
      <x:c r="AP61" s="69"/>
      <x:c r="AQ61" s="69"/>
      <x:c r="AR61" s="69"/>
      <x:c r="AS61" s="69"/>
      <x:c r="AT61" s="69"/>
      <x:c r="AU61" s="69"/>
      <x:c r="AV61" s="69"/>
      <x:c r="AW61" s="69"/>
      <x:c r="AX61" s="69"/>
      <x:c r="AY61" s="69"/>
      <x:c r="AZ61" s="69"/>
    </x:row>
    <x:row r="62" ht="15" hidden="0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  <x:c r="AA62" s="69"/>
      <x:c r="AB62" s="69"/>
      <x:c r="AC62" s="69"/>
      <x:c r="AD62" s="69"/>
      <x:c r="AE62" s="69"/>
      <x:c r="AF62" s="69"/>
      <x:c r="AG62" s="69"/>
      <x:c r="AH62" s="69"/>
      <x:c r="AI62" s="69"/>
      <x:c r="AJ62" s="69"/>
      <x:c r="AK62" s="69"/>
      <x:c r="AL62" s="69"/>
      <x:c r="AM62" s="69"/>
      <x:c r="AN62" s="69"/>
      <x:c r="AO62" s="69"/>
      <x:c r="AP62" s="69"/>
      <x:c r="AQ62" s="69"/>
      <x:c r="AR62" s="69"/>
      <x:c r="AS62" s="69"/>
      <x:c r="AT62" s="69"/>
      <x:c r="AU62" s="69"/>
      <x:c r="AV62" s="69"/>
      <x:c r="AW62" s="69"/>
      <x:c r="AX62" s="69"/>
      <x:c r="AY62" s="69"/>
      <x:c r="AZ62" s="69"/>
    </x:row>
    <x:row r="63" ht="15" hidden="0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  <x:c r="AA63" s="69"/>
      <x:c r="AB63" s="69"/>
      <x:c r="AC63" s="69"/>
      <x:c r="AD63" s="69"/>
      <x:c r="AE63" s="69"/>
      <x:c r="AF63" s="69"/>
      <x:c r="AG63" s="69"/>
      <x:c r="AH63" s="69"/>
      <x:c r="AI63" s="69"/>
      <x:c r="AJ63" s="69"/>
      <x:c r="AK63" s="69"/>
      <x:c r="AL63" s="69"/>
      <x:c r="AM63" s="69"/>
      <x:c r="AN63" s="69"/>
      <x:c r="AO63" s="69"/>
      <x:c r="AP63" s="69"/>
      <x:c r="AQ63" s="69"/>
      <x:c r="AR63" s="69"/>
      <x:c r="AS63" s="69"/>
      <x:c r="AT63" s="69"/>
      <x:c r="AU63" s="69"/>
      <x:c r="AV63" s="69"/>
      <x:c r="AW63" s="69"/>
      <x:c r="AX63" s="69"/>
      <x:c r="AY63" s="69"/>
      <x:c r="AZ63" s="69"/>
    </x:row>
    <x:row r="64" ht="15" hidden="0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  <x:c r="AA64" s="69"/>
      <x:c r="AB64" s="69"/>
      <x:c r="AC64" s="69"/>
      <x:c r="AD64" s="69"/>
      <x:c r="AE64" s="69"/>
      <x:c r="AF64" s="69"/>
      <x:c r="AG64" s="69"/>
      <x:c r="AH64" s="69"/>
      <x:c r="AI64" s="69"/>
      <x:c r="AJ64" s="69"/>
      <x:c r="AK64" s="69"/>
      <x:c r="AL64" s="69"/>
      <x:c r="AM64" s="69"/>
      <x:c r="AN64" s="69"/>
      <x:c r="AO64" s="69"/>
      <x:c r="AP64" s="69"/>
      <x:c r="AQ64" s="69"/>
      <x:c r="AR64" s="69"/>
      <x:c r="AS64" s="69"/>
      <x:c r="AT64" s="69"/>
      <x:c r="AU64" s="69"/>
      <x:c r="AV64" s="69"/>
      <x:c r="AW64" s="69"/>
      <x:c r="AX64" s="69"/>
      <x:c r="AY64" s="69"/>
      <x:c r="AZ64" s="69"/>
    </x:row>
    <x:row r="65" ht="15" hidden="0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  <x:c r="AA65" s="69"/>
      <x:c r="AB65" s="69"/>
      <x:c r="AC65" s="69"/>
      <x:c r="AD65" s="69"/>
      <x:c r="AE65" s="69"/>
      <x:c r="AF65" s="69"/>
      <x:c r="AG65" s="69"/>
      <x:c r="AH65" s="69"/>
      <x:c r="AI65" s="69"/>
      <x:c r="AJ65" s="69"/>
      <x:c r="AK65" s="69"/>
      <x:c r="AL65" s="69"/>
      <x:c r="AM65" s="69"/>
      <x:c r="AN65" s="69"/>
      <x:c r="AO65" s="69"/>
      <x:c r="AP65" s="69"/>
      <x:c r="AQ65" s="69"/>
      <x:c r="AR65" s="69"/>
      <x:c r="AS65" s="69"/>
      <x:c r="AT65" s="69"/>
      <x:c r="AU65" s="69"/>
      <x:c r="AV65" s="69"/>
      <x:c r="AW65" s="69"/>
      <x:c r="AX65" s="69"/>
      <x:c r="AY65" s="69"/>
      <x:c r="AZ65" s="69"/>
    </x:row>
    <x:row r="66" ht="15" hidden="0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  <x:c r="AA66" s="69"/>
      <x:c r="AB66" s="69"/>
      <x:c r="AC66" s="69"/>
      <x:c r="AD66" s="69"/>
      <x:c r="AE66" s="69"/>
      <x:c r="AF66" s="69"/>
      <x:c r="AG66" s="69"/>
      <x:c r="AH66" s="69"/>
      <x:c r="AI66" s="69"/>
      <x:c r="AJ66" s="69"/>
      <x:c r="AK66" s="69"/>
      <x:c r="AL66" s="69"/>
      <x:c r="AM66" s="69"/>
      <x:c r="AN66" s="69"/>
      <x:c r="AO66" s="69"/>
      <x:c r="AP66" s="69"/>
      <x:c r="AQ66" s="69"/>
      <x:c r="AR66" s="69"/>
      <x:c r="AS66" s="69"/>
      <x:c r="AT66" s="69"/>
      <x:c r="AU66" s="69"/>
      <x:c r="AV66" s="69"/>
      <x:c r="AW66" s="69"/>
      <x:c r="AX66" s="69"/>
      <x:c r="AY66" s="69"/>
      <x:c r="AZ66" s="69"/>
    </x:row>
    <x:row r="67" ht="15" hidden="0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  <x:c r="AA67" s="69"/>
      <x:c r="AB67" s="69"/>
      <x:c r="AC67" s="69"/>
      <x:c r="AD67" s="69"/>
      <x:c r="AE67" s="69"/>
      <x:c r="AF67" s="69"/>
      <x:c r="AG67" s="69"/>
      <x:c r="AH67" s="69"/>
      <x:c r="AI67" s="69"/>
      <x:c r="AJ67" s="69"/>
      <x:c r="AK67" s="69"/>
      <x:c r="AL67" s="69"/>
      <x:c r="AM67" s="69"/>
      <x:c r="AN67" s="69"/>
      <x:c r="AO67" s="69"/>
      <x:c r="AP67" s="69"/>
      <x:c r="AQ67" s="69"/>
      <x:c r="AR67" s="69"/>
      <x:c r="AS67" s="69"/>
      <x:c r="AT67" s="69"/>
      <x:c r="AU67" s="69"/>
      <x:c r="AV67" s="69"/>
      <x:c r="AW67" s="69"/>
      <x:c r="AX67" s="69"/>
      <x:c r="AY67" s="69"/>
      <x:c r="AZ67" s="69"/>
    </x:row>
    <x:row r="68" ht="15" hidden="0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  <x:c r="AA68" s="69"/>
      <x:c r="AB68" s="69"/>
      <x:c r="AC68" s="69"/>
      <x:c r="AD68" s="69"/>
      <x:c r="AE68" s="69"/>
      <x:c r="AF68" s="69"/>
      <x:c r="AG68" s="69"/>
      <x:c r="AH68" s="69"/>
      <x:c r="AI68" s="69"/>
      <x:c r="AJ68" s="69"/>
      <x:c r="AK68" s="69"/>
      <x:c r="AL68" s="69"/>
      <x:c r="AM68" s="69"/>
      <x:c r="AN68" s="69"/>
      <x:c r="AO68" s="69"/>
      <x:c r="AP68" s="69"/>
      <x:c r="AQ68" s="69"/>
      <x:c r="AR68" s="69"/>
      <x:c r="AS68" s="69"/>
      <x:c r="AT68" s="69"/>
      <x:c r="AU68" s="69"/>
      <x:c r="AV68" s="69"/>
      <x:c r="AW68" s="69"/>
      <x:c r="AX68" s="69"/>
      <x:c r="AY68" s="69"/>
      <x:c r="AZ68" s="69"/>
    </x:row>
    <x:row r="69" ht="15" hidden="0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  <x:c r="AA69" s="69"/>
      <x:c r="AB69" s="69"/>
      <x:c r="AC69" s="69"/>
      <x:c r="AD69" s="69"/>
      <x:c r="AE69" s="69"/>
      <x:c r="AF69" s="69"/>
      <x:c r="AG69" s="69"/>
      <x:c r="AH69" s="69"/>
      <x:c r="AI69" s="69"/>
      <x:c r="AJ69" s="69"/>
      <x:c r="AK69" s="69"/>
      <x:c r="AL69" s="69"/>
      <x:c r="AM69" s="69"/>
      <x:c r="AN69" s="69"/>
      <x:c r="AO69" s="69"/>
      <x:c r="AP69" s="69"/>
      <x:c r="AQ69" s="69"/>
      <x:c r="AR69" s="69"/>
      <x:c r="AS69" s="69"/>
      <x:c r="AT69" s="69"/>
      <x:c r="AU69" s="69"/>
      <x:c r="AV69" s="69"/>
      <x:c r="AW69" s="69"/>
      <x:c r="AX69" s="69"/>
      <x:c r="AY69" s="69"/>
      <x:c r="AZ69" s="69"/>
    </x:row>
    <x:row r="70" ht="15" hidden="0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9"/>
      <x:c r="AN70" s="69"/>
      <x:c r="AO70" s="69"/>
      <x:c r="AP70" s="69"/>
      <x:c r="AQ70" s="69"/>
      <x:c r="AR70" s="69"/>
      <x:c r="AS70" s="69"/>
      <x:c r="AT70" s="69"/>
      <x:c r="AU70" s="69"/>
      <x:c r="AV70" s="69"/>
      <x:c r="AW70" s="69"/>
      <x:c r="AX70" s="69"/>
      <x:c r="AY70" s="69"/>
      <x:c r="AZ70" s="69"/>
    </x:row>
    <x:row r="71" ht="15" hidden="0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9"/>
      <x:c r="AN71" s="69"/>
      <x:c r="AO71" s="69"/>
      <x:c r="AP71" s="69"/>
      <x:c r="AQ71" s="69"/>
      <x:c r="AR71" s="69"/>
      <x:c r="AS71" s="69"/>
      <x:c r="AT71" s="69"/>
      <x:c r="AU71" s="69"/>
      <x:c r="AV71" s="69"/>
      <x:c r="AW71" s="69"/>
      <x:c r="AX71" s="69"/>
      <x:c r="AY71" s="69"/>
      <x:c r="AZ71" s="69"/>
    </x:row>
    <x:row r="72" ht="15" hidden="0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9"/>
      <x:c r="AN72" s="69"/>
      <x:c r="AO72" s="69"/>
      <x:c r="AP72" s="69"/>
      <x:c r="AQ72" s="69"/>
      <x:c r="AR72" s="69"/>
      <x:c r="AS72" s="69"/>
      <x:c r="AT72" s="69"/>
      <x:c r="AU72" s="69"/>
      <x:c r="AV72" s="69"/>
      <x:c r="AW72" s="69"/>
      <x:c r="AX72" s="69"/>
      <x:c r="AY72" s="69"/>
      <x:c r="AZ72" s="69"/>
    </x:row>
    <x:row r="73" ht="15" hidden="0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9"/>
      <x:c r="AN73" s="69"/>
      <x:c r="AO73" s="69"/>
      <x:c r="AP73" s="69"/>
      <x:c r="AQ73" s="69"/>
      <x:c r="AR73" s="69"/>
      <x:c r="AS73" s="69"/>
      <x:c r="AT73" s="69"/>
      <x:c r="AU73" s="69"/>
      <x:c r="AV73" s="69"/>
      <x:c r="AW73" s="69"/>
      <x:c r="AX73" s="69"/>
      <x:c r="AY73" s="69"/>
      <x:c r="AZ73" s="69"/>
    </x:row>
    <x:row r="74" ht="15" hidden="0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9"/>
      <x:c r="AN74" s="69"/>
      <x:c r="AO74" s="69"/>
      <x:c r="AP74" s="69"/>
      <x:c r="AQ74" s="69"/>
      <x:c r="AR74" s="69"/>
      <x:c r="AS74" s="69"/>
      <x:c r="AT74" s="69"/>
      <x:c r="AU74" s="69"/>
      <x:c r="AV74" s="69"/>
      <x:c r="AW74" s="69"/>
      <x:c r="AX74" s="69"/>
      <x:c r="AY74" s="69"/>
      <x:c r="AZ74" s="69"/>
    </x:row>
    <x:row r="75" ht="15" hidden="0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  <x:c r="AA75" s="69"/>
      <x:c r="AB75" s="69"/>
      <x:c r="AC75" s="69"/>
      <x:c r="AD75" s="69"/>
      <x:c r="AE75" s="69"/>
      <x:c r="AF75" s="69"/>
      <x:c r="AG75" s="69"/>
      <x:c r="AH75" s="69"/>
      <x:c r="AI75" s="69"/>
      <x:c r="AJ75" s="69"/>
      <x:c r="AK75" s="69"/>
      <x:c r="AL75" s="69"/>
      <x:c r="AM75" s="69"/>
      <x:c r="AN75" s="69"/>
      <x:c r="AO75" s="69"/>
      <x:c r="AP75" s="69"/>
      <x:c r="AQ75" s="69"/>
      <x:c r="AR75" s="69"/>
      <x:c r="AS75" s="69"/>
      <x:c r="AT75" s="69"/>
      <x:c r="AU75" s="69"/>
      <x:c r="AV75" s="69"/>
      <x:c r="AW75" s="69"/>
      <x:c r="AX75" s="69"/>
      <x:c r="AY75" s="69"/>
      <x:c r="AZ75" s="69"/>
    </x:row>
    <x:row r="76" ht="15" hidden="0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  <x:c r="AA76" s="69"/>
      <x:c r="AB76" s="69"/>
      <x:c r="AC76" s="69"/>
      <x:c r="AD76" s="69"/>
      <x:c r="AE76" s="69"/>
      <x:c r="AF76" s="69"/>
      <x:c r="AG76" s="69"/>
      <x:c r="AH76" s="69"/>
      <x:c r="AI76" s="69"/>
      <x:c r="AJ76" s="69"/>
      <x:c r="AK76" s="69"/>
      <x:c r="AL76" s="69"/>
      <x:c r="AM76" s="69"/>
      <x:c r="AN76" s="69"/>
      <x:c r="AO76" s="69"/>
      <x:c r="AP76" s="69"/>
      <x:c r="AQ76" s="69"/>
      <x:c r="AR76" s="69"/>
      <x:c r="AS76" s="69"/>
      <x:c r="AT76" s="69"/>
      <x:c r="AU76" s="69"/>
      <x:c r="AV76" s="69"/>
      <x:c r="AW76" s="69"/>
      <x:c r="AX76" s="69"/>
      <x:c r="AY76" s="69"/>
      <x:c r="AZ76" s="69"/>
    </x:row>
    <x:row r="77" ht="15" hidden="0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  <x:c r="AA77" s="69"/>
      <x:c r="AB77" s="69"/>
      <x:c r="AC77" s="69"/>
      <x:c r="AD77" s="69"/>
      <x:c r="AE77" s="69"/>
      <x:c r="AF77" s="69"/>
      <x:c r="AG77" s="69"/>
      <x:c r="AH77" s="69"/>
      <x:c r="AI77" s="69"/>
      <x:c r="AJ77" s="69"/>
      <x:c r="AK77" s="69"/>
      <x:c r="AL77" s="69"/>
      <x:c r="AM77" s="69"/>
      <x:c r="AN77" s="69"/>
      <x:c r="AO77" s="69"/>
      <x:c r="AP77" s="69"/>
      <x:c r="AQ77" s="69"/>
      <x:c r="AR77" s="69"/>
      <x:c r="AS77" s="69"/>
      <x:c r="AT77" s="69"/>
      <x:c r="AU77" s="69"/>
      <x:c r="AV77" s="69"/>
      <x:c r="AW77" s="69"/>
      <x:c r="AX77" s="69"/>
      <x:c r="AY77" s="69"/>
      <x:c r="AZ77" s="69"/>
    </x:row>
    <x:row r="78" ht="15" hidden="0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  <x:c r="AA78" s="69"/>
      <x:c r="AB78" s="69"/>
      <x:c r="AC78" s="69"/>
      <x:c r="AD78" s="69"/>
      <x:c r="AE78" s="69"/>
      <x:c r="AF78" s="69"/>
      <x:c r="AG78" s="69"/>
      <x:c r="AH78" s="69"/>
      <x:c r="AI78" s="69"/>
      <x:c r="AJ78" s="69"/>
      <x:c r="AK78" s="69"/>
      <x:c r="AL78" s="69"/>
      <x:c r="AM78" s="69"/>
      <x:c r="AN78" s="69"/>
      <x:c r="AO78" s="69"/>
      <x:c r="AP78" s="69"/>
      <x:c r="AQ78" s="69"/>
      <x:c r="AR78" s="69"/>
      <x:c r="AS78" s="69"/>
      <x:c r="AT78" s="69"/>
      <x:c r="AU78" s="69"/>
      <x:c r="AV78" s="69"/>
      <x:c r="AW78" s="69"/>
      <x:c r="AX78" s="69"/>
      <x:c r="AY78" s="69"/>
      <x:c r="AZ78" s="69"/>
    </x:row>
    <x:row r="79" ht="15" hidden="0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  <x:c r="AA79" s="69"/>
      <x:c r="AB79" s="69"/>
      <x:c r="AC79" s="69"/>
      <x:c r="AD79" s="69"/>
      <x:c r="AE79" s="69"/>
      <x:c r="AF79" s="69"/>
      <x:c r="AG79" s="69"/>
      <x:c r="AH79" s="69"/>
      <x:c r="AI79" s="69"/>
      <x:c r="AJ79" s="69"/>
      <x:c r="AK79" s="69"/>
      <x:c r="AL79" s="69"/>
      <x:c r="AM79" s="69"/>
      <x:c r="AN79" s="69"/>
      <x:c r="AO79" s="69"/>
      <x:c r="AP79" s="69"/>
      <x:c r="AQ79" s="69"/>
      <x:c r="AR79" s="69"/>
      <x:c r="AS79" s="69"/>
      <x:c r="AT79" s="69"/>
      <x:c r="AU79" s="69"/>
      <x:c r="AV79" s="69"/>
      <x:c r="AW79" s="69"/>
      <x:c r="AX79" s="69"/>
      <x:c r="AY79" s="69"/>
      <x:c r="AZ79" s="69"/>
    </x:row>
    <x:row r="80" ht="15" hidden="0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  <x:c r="AA80" s="69"/>
      <x:c r="AB80" s="69"/>
      <x:c r="AC80" s="69"/>
      <x:c r="AD80" s="69"/>
      <x:c r="AE80" s="69"/>
      <x:c r="AF80" s="69"/>
      <x:c r="AG80" s="69"/>
      <x:c r="AH80" s="69"/>
      <x:c r="AI80" s="69"/>
      <x:c r="AJ80" s="69"/>
      <x:c r="AK80" s="69"/>
      <x:c r="AL80" s="69"/>
      <x:c r="AM80" s="69"/>
      <x:c r="AN80" s="69"/>
      <x:c r="AO80" s="69"/>
      <x:c r="AP80" s="69"/>
      <x:c r="AQ80" s="69"/>
      <x:c r="AR80" s="69"/>
      <x:c r="AS80" s="69"/>
      <x:c r="AT80" s="69"/>
      <x:c r="AU80" s="69"/>
      <x:c r="AV80" s="69"/>
      <x:c r="AW80" s="69"/>
      <x:c r="AX80" s="69"/>
      <x:c r="AY80" s="69"/>
      <x:c r="AZ80" s="69"/>
    </x:row>
    <x:row r="81" ht="15" hidden="0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  <x:c r="AA81" s="69"/>
      <x:c r="AB81" s="69"/>
      <x:c r="AC81" s="69"/>
      <x:c r="AD81" s="69"/>
      <x:c r="AE81" s="69"/>
      <x:c r="AF81" s="69"/>
      <x:c r="AG81" s="69"/>
      <x:c r="AH81" s="69"/>
      <x:c r="AI81" s="69"/>
      <x:c r="AJ81" s="69"/>
      <x:c r="AK81" s="69"/>
      <x:c r="AL81" s="69"/>
      <x:c r="AM81" s="69"/>
      <x:c r="AN81" s="69"/>
      <x:c r="AO81" s="69"/>
      <x:c r="AP81" s="69"/>
      <x:c r="AQ81" s="69"/>
      <x:c r="AR81" s="69"/>
      <x:c r="AS81" s="69"/>
      <x:c r="AT81" s="69"/>
      <x:c r="AU81" s="69"/>
      <x:c r="AV81" s="69"/>
      <x:c r="AW81" s="69"/>
      <x:c r="AX81" s="69"/>
      <x:c r="AY81" s="69"/>
      <x:c r="AZ81" s="69"/>
    </x:row>
    <x:row r="82" ht="15" hidden="0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  <x:c r="AA82" s="69"/>
      <x:c r="AB82" s="69"/>
      <x:c r="AC82" s="69"/>
      <x:c r="AD82" s="69"/>
      <x:c r="AE82" s="69"/>
      <x:c r="AF82" s="69"/>
      <x:c r="AG82" s="69"/>
      <x:c r="AH82" s="69"/>
      <x:c r="AI82" s="69"/>
      <x:c r="AJ82" s="69"/>
      <x:c r="AK82" s="69"/>
      <x:c r="AL82" s="69"/>
      <x:c r="AM82" s="69"/>
      <x:c r="AN82" s="69"/>
      <x:c r="AO82" s="69"/>
      <x:c r="AP82" s="69"/>
      <x:c r="AQ82" s="69"/>
      <x:c r="AR82" s="69"/>
      <x:c r="AS82" s="69"/>
      <x:c r="AT82" s="69"/>
      <x:c r="AU82" s="69"/>
      <x:c r="AV82" s="69"/>
      <x:c r="AW82" s="69"/>
      <x:c r="AX82" s="69"/>
      <x:c r="AY82" s="69"/>
      <x:c r="AZ82" s="69"/>
    </x:row>
    <x:row r="83" ht="15" hidden="0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  <x:c r="AA83" s="69"/>
      <x:c r="AB83" s="69"/>
      <x:c r="AC83" s="69"/>
      <x:c r="AD83" s="69"/>
      <x:c r="AE83" s="69"/>
      <x:c r="AF83" s="69"/>
      <x:c r="AG83" s="69"/>
      <x:c r="AH83" s="69"/>
      <x:c r="AI83" s="69"/>
      <x:c r="AJ83" s="69"/>
      <x:c r="AK83" s="69"/>
      <x:c r="AL83" s="69"/>
      <x:c r="AM83" s="69"/>
      <x:c r="AN83" s="69"/>
      <x:c r="AO83" s="69"/>
      <x:c r="AP83" s="69"/>
      <x:c r="AQ83" s="69"/>
      <x:c r="AR83" s="69"/>
      <x:c r="AS83" s="69"/>
      <x:c r="AT83" s="69"/>
      <x:c r="AU83" s="69"/>
      <x:c r="AV83" s="69"/>
      <x:c r="AW83" s="69"/>
      <x:c r="AX83" s="69"/>
      <x:c r="AY83" s="69"/>
      <x:c r="AZ83" s="69"/>
    </x:row>
    <x:row r="84" ht="15" hidden="0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  <x:c r="AA84" s="69"/>
      <x:c r="AB84" s="69"/>
      <x:c r="AC84" s="69"/>
      <x:c r="AD84" s="69"/>
      <x:c r="AE84" s="69"/>
      <x:c r="AF84" s="69"/>
      <x:c r="AG84" s="69"/>
      <x:c r="AH84" s="69"/>
      <x:c r="AI84" s="69"/>
      <x:c r="AJ84" s="69"/>
      <x:c r="AK84" s="69"/>
      <x:c r="AL84" s="69"/>
      <x:c r="AM84" s="69"/>
      <x:c r="AN84" s="69"/>
      <x:c r="AO84" s="69"/>
      <x:c r="AP84" s="69"/>
      <x:c r="AQ84" s="69"/>
      <x:c r="AR84" s="69"/>
      <x:c r="AS84" s="69"/>
      <x:c r="AT84" s="69"/>
      <x:c r="AU84" s="69"/>
      <x:c r="AV84" s="69"/>
      <x:c r="AW84" s="69"/>
      <x:c r="AX84" s="69"/>
      <x:c r="AY84" s="69"/>
      <x:c r="AZ84" s="69"/>
    </x:row>
    <x:row r="85" ht="15" hidden="0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  <x:c r="AA85" s="69"/>
      <x:c r="AB85" s="69"/>
      <x:c r="AC85" s="69"/>
      <x:c r="AD85" s="69"/>
      <x:c r="AE85" s="69"/>
      <x:c r="AF85" s="69"/>
      <x:c r="AG85" s="69"/>
      <x:c r="AH85" s="69"/>
      <x:c r="AI85" s="69"/>
      <x:c r="AJ85" s="69"/>
      <x:c r="AK85" s="69"/>
      <x:c r="AL85" s="69"/>
      <x:c r="AM85" s="69"/>
      <x:c r="AN85" s="69"/>
      <x:c r="AO85" s="69"/>
      <x:c r="AP85" s="69"/>
      <x:c r="AQ85" s="69"/>
      <x:c r="AR85" s="69"/>
      <x:c r="AS85" s="69"/>
      <x:c r="AT85" s="69"/>
      <x:c r="AU85" s="69"/>
      <x:c r="AV85" s="69"/>
      <x:c r="AW85" s="69"/>
      <x:c r="AX85" s="69"/>
      <x:c r="AY85" s="69"/>
      <x:c r="AZ85" s="69"/>
    </x:row>
    <x:row r="86" ht="15" hidden="0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  <x:c r="AA86" s="69"/>
      <x:c r="AB86" s="69"/>
      <x:c r="AC86" s="69"/>
      <x:c r="AD86" s="69"/>
      <x:c r="AE86" s="69"/>
      <x:c r="AF86" s="69"/>
      <x:c r="AG86" s="69"/>
      <x:c r="AH86" s="69"/>
      <x:c r="AI86" s="69"/>
      <x:c r="AJ86" s="69"/>
      <x:c r="AK86" s="69"/>
      <x:c r="AL86" s="69"/>
      <x:c r="AM86" s="69"/>
      <x:c r="AN86" s="69"/>
      <x:c r="AO86" s="69"/>
      <x:c r="AP86" s="69"/>
      <x:c r="AQ86" s="69"/>
      <x:c r="AR86" s="69"/>
      <x:c r="AS86" s="69"/>
      <x:c r="AT86" s="69"/>
      <x:c r="AU86" s="69"/>
      <x:c r="AV86" s="69"/>
      <x:c r="AW86" s="69"/>
      <x:c r="AX86" s="69"/>
      <x:c r="AY86" s="69"/>
      <x:c r="AZ86" s="69"/>
    </x:row>
    <x:row r="87" ht="15" hidden="0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  <x:c r="AA87" s="69"/>
      <x:c r="AB87" s="69"/>
      <x:c r="AC87" s="69"/>
      <x:c r="AD87" s="69"/>
      <x:c r="AE87" s="69"/>
      <x:c r="AF87" s="69"/>
      <x:c r="AG87" s="69"/>
      <x:c r="AH87" s="69"/>
      <x:c r="AI87" s="69"/>
      <x:c r="AJ87" s="69"/>
      <x:c r="AK87" s="69"/>
      <x:c r="AL87" s="69"/>
      <x:c r="AM87" s="69"/>
      <x:c r="AN87" s="69"/>
      <x:c r="AO87" s="69"/>
      <x:c r="AP87" s="69"/>
      <x:c r="AQ87" s="69"/>
      <x:c r="AR87" s="69"/>
      <x:c r="AS87" s="69"/>
      <x:c r="AT87" s="69"/>
      <x:c r="AU87" s="69"/>
      <x:c r="AV87" s="69"/>
      <x:c r="AW87" s="69"/>
      <x:c r="AX87" s="69"/>
      <x:c r="AY87" s="69"/>
      <x:c r="AZ87" s="69"/>
    </x:row>
    <x:row r="88" ht="15" hidden="0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  <x:c r="AA88" s="69"/>
      <x:c r="AB88" s="69"/>
      <x:c r="AC88" s="69"/>
      <x:c r="AD88" s="69"/>
      <x:c r="AE88" s="69"/>
      <x:c r="AF88" s="69"/>
      <x:c r="AG88" s="69"/>
      <x:c r="AH88" s="69"/>
      <x:c r="AI88" s="69"/>
      <x:c r="AJ88" s="69"/>
      <x:c r="AK88" s="69"/>
      <x:c r="AL88" s="69"/>
      <x:c r="AM88" s="69"/>
      <x:c r="AN88" s="69"/>
      <x:c r="AO88" s="69"/>
      <x:c r="AP88" s="69"/>
      <x:c r="AQ88" s="69"/>
      <x:c r="AR88" s="69"/>
      <x:c r="AS88" s="69"/>
      <x:c r="AT88" s="69"/>
      <x:c r="AU88" s="69"/>
      <x:c r="AV88" s="69"/>
      <x:c r="AW88" s="69"/>
      <x:c r="AX88" s="69"/>
      <x:c r="AY88" s="69"/>
      <x:c r="AZ88" s="69"/>
    </x:row>
    <x:row r="89" ht="15" hidden="0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  <x:c r="AA89" s="69"/>
      <x:c r="AB89" s="69"/>
      <x:c r="AC89" s="69"/>
      <x:c r="AD89" s="69"/>
      <x:c r="AE89" s="69"/>
      <x:c r="AF89" s="69"/>
      <x:c r="AG89" s="69"/>
      <x:c r="AH89" s="69"/>
      <x:c r="AI89" s="69"/>
      <x:c r="AJ89" s="69"/>
      <x:c r="AK89" s="69"/>
      <x:c r="AL89" s="69"/>
      <x:c r="AM89" s="69"/>
      <x:c r="AN89" s="69"/>
      <x:c r="AO89" s="69"/>
      <x:c r="AP89" s="69"/>
      <x:c r="AQ89" s="69"/>
      <x:c r="AR89" s="69"/>
      <x:c r="AS89" s="69"/>
      <x:c r="AT89" s="69"/>
      <x:c r="AU89" s="69"/>
      <x:c r="AV89" s="69"/>
      <x:c r="AW89" s="69"/>
      <x:c r="AX89" s="69"/>
      <x:c r="AY89" s="69"/>
      <x:c r="AZ89" s="69"/>
    </x:row>
    <x:row r="90" ht="15" hidden="0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  <x:c r="AA90" s="69"/>
      <x:c r="AB90" s="69"/>
      <x:c r="AC90" s="69"/>
      <x:c r="AD90" s="69"/>
      <x:c r="AE90" s="69"/>
      <x:c r="AF90" s="69"/>
      <x:c r="AG90" s="69"/>
      <x:c r="AH90" s="69"/>
      <x:c r="AI90" s="69"/>
      <x:c r="AJ90" s="69"/>
      <x:c r="AK90" s="69"/>
      <x:c r="AL90" s="69"/>
      <x:c r="AM90" s="69"/>
      <x:c r="AN90" s="69"/>
      <x:c r="AO90" s="69"/>
      <x:c r="AP90" s="69"/>
      <x:c r="AQ90" s="69"/>
      <x:c r="AR90" s="69"/>
      <x:c r="AS90" s="69"/>
      <x:c r="AT90" s="69"/>
      <x:c r="AU90" s="69"/>
      <x:c r="AV90" s="69"/>
      <x:c r="AW90" s="69"/>
      <x:c r="AX90" s="69"/>
      <x:c r="AY90" s="69"/>
      <x:c r="AZ90" s="69"/>
    </x:row>
    <x:row r="91" ht="15" hidden="0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  <x:c r="AA91" s="69"/>
      <x:c r="AB91" s="69"/>
      <x:c r="AC91" s="69"/>
      <x:c r="AD91" s="69"/>
      <x:c r="AE91" s="69"/>
      <x:c r="AF91" s="69"/>
      <x:c r="AG91" s="69"/>
      <x:c r="AH91" s="69"/>
      <x:c r="AI91" s="69"/>
      <x:c r="AJ91" s="69"/>
      <x:c r="AK91" s="69"/>
      <x:c r="AL91" s="69"/>
      <x:c r="AM91" s="69"/>
      <x:c r="AN91" s="69"/>
      <x:c r="AO91" s="69"/>
      <x:c r="AP91" s="69"/>
      <x:c r="AQ91" s="69"/>
      <x:c r="AR91" s="69"/>
      <x:c r="AS91" s="69"/>
      <x:c r="AT91" s="69"/>
      <x:c r="AU91" s="69"/>
      <x:c r="AV91" s="69"/>
      <x:c r="AW91" s="69"/>
      <x:c r="AX91" s="69"/>
      <x:c r="AY91" s="69"/>
      <x:c r="AZ91" s="69"/>
    </x:row>
    <x:row r="92" ht="15" hidden="0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  <x:c r="AA92" s="69"/>
      <x:c r="AB92" s="69"/>
      <x:c r="AC92" s="69"/>
      <x:c r="AD92" s="69"/>
      <x:c r="AE92" s="69"/>
      <x:c r="AF92" s="69"/>
      <x:c r="AG92" s="69"/>
      <x:c r="AH92" s="69"/>
      <x:c r="AI92" s="69"/>
      <x:c r="AJ92" s="69"/>
      <x:c r="AK92" s="69"/>
      <x:c r="AL92" s="69"/>
      <x:c r="AM92" s="69"/>
      <x:c r="AN92" s="69"/>
      <x:c r="AO92" s="69"/>
      <x:c r="AP92" s="69"/>
      <x:c r="AQ92" s="69"/>
      <x:c r="AR92" s="69"/>
      <x:c r="AS92" s="69"/>
      <x:c r="AT92" s="69"/>
      <x:c r="AU92" s="69"/>
      <x:c r="AV92" s="69"/>
      <x:c r="AW92" s="69"/>
      <x:c r="AX92" s="69"/>
      <x:c r="AY92" s="69"/>
      <x:c r="AZ92" s="69"/>
    </x:row>
    <x:row r="93" ht="15" hidden="0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  <x:c r="AA93" s="69"/>
      <x:c r="AB93" s="69"/>
      <x:c r="AC93" s="69"/>
      <x:c r="AD93" s="69"/>
      <x:c r="AE93" s="69"/>
      <x:c r="AF93" s="69"/>
      <x:c r="AG93" s="69"/>
      <x:c r="AH93" s="69"/>
      <x:c r="AI93" s="69"/>
      <x:c r="AJ93" s="69"/>
      <x:c r="AK93" s="69"/>
      <x:c r="AL93" s="69"/>
      <x:c r="AM93" s="69"/>
      <x:c r="AN93" s="69"/>
      <x:c r="AO93" s="69"/>
      <x:c r="AP93" s="69"/>
      <x:c r="AQ93" s="69"/>
      <x:c r="AR93" s="69"/>
      <x:c r="AS93" s="69"/>
      <x:c r="AT93" s="69"/>
      <x:c r="AU93" s="69"/>
      <x:c r="AV93" s="69"/>
      <x:c r="AW93" s="69"/>
      <x:c r="AX93" s="69"/>
      <x:c r="AY93" s="69"/>
      <x:c r="AZ93" s="69"/>
    </x:row>
    <x:row r="94" ht="15" hidden="0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  <x:c r="AA94" s="69"/>
      <x:c r="AB94" s="69"/>
      <x:c r="AC94" s="69"/>
      <x:c r="AD94" s="69"/>
      <x:c r="AE94" s="69"/>
      <x:c r="AF94" s="69"/>
      <x:c r="AG94" s="69"/>
      <x:c r="AH94" s="69"/>
      <x:c r="AI94" s="69"/>
      <x:c r="AJ94" s="69"/>
      <x:c r="AK94" s="69"/>
      <x:c r="AL94" s="69"/>
      <x:c r="AM94" s="69"/>
      <x:c r="AN94" s="69"/>
      <x:c r="AO94" s="69"/>
      <x:c r="AP94" s="69"/>
      <x:c r="AQ94" s="69"/>
      <x:c r="AR94" s="69"/>
      <x:c r="AS94" s="69"/>
      <x:c r="AT94" s="69"/>
      <x:c r="AU94" s="69"/>
      <x:c r="AV94" s="69"/>
      <x:c r="AW94" s="69"/>
      <x:c r="AX94" s="69"/>
      <x:c r="AY94" s="69"/>
      <x:c r="AZ94" s="69"/>
    </x:row>
    <x:row r="95" ht="15" hidden="0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  <x:c r="AA95" s="69"/>
      <x:c r="AB95" s="69"/>
      <x:c r="AC95" s="69"/>
      <x:c r="AD95" s="69"/>
      <x:c r="AE95" s="69"/>
      <x:c r="AF95" s="69"/>
      <x:c r="AG95" s="69"/>
      <x:c r="AH95" s="69"/>
      <x:c r="AI95" s="69"/>
      <x:c r="AJ95" s="69"/>
      <x:c r="AK95" s="69"/>
      <x:c r="AL95" s="69"/>
      <x:c r="AM95" s="69"/>
      <x:c r="AN95" s="69"/>
      <x:c r="AO95" s="69"/>
      <x:c r="AP95" s="69"/>
      <x:c r="AQ95" s="69"/>
      <x:c r="AR95" s="69"/>
      <x:c r="AS95" s="69"/>
      <x:c r="AT95" s="69"/>
      <x:c r="AU95" s="69"/>
      <x:c r="AV95" s="69"/>
      <x:c r="AW95" s="69"/>
      <x:c r="AX95" s="69"/>
      <x:c r="AY95" s="69"/>
      <x:c r="AZ95" s="69"/>
    </x:row>
    <x:row r="96" ht="15" hidden="0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  <x:c r="AA96" s="69"/>
      <x:c r="AB96" s="69"/>
      <x:c r="AC96" s="69"/>
      <x:c r="AD96" s="69"/>
      <x:c r="AE96" s="69"/>
      <x:c r="AF96" s="69"/>
      <x:c r="AG96" s="69"/>
      <x:c r="AH96" s="69"/>
      <x:c r="AI96" s="69"/>
      <x:c r="AJ96" s="69"/>
      <x:c r="AK96" s="69"/>
      <x:c r="AL96" s="69"/>
      <x:c r="AM96" s="69"/>
      <x:c r="AN96" s="69"/>
      <x:c r="AO96" s="69"/>
      <x:c r="AP96" s="69"/>
      <x:c r="AQ96" s="69"/>
      <x:c r="AR96" s="69"/>
      <x:c r="AS96" s="69"/>
      <x:c r="AT96" s="69"/>
      <x:c r="AU96" s="69"/>
      <x:c r="AV96" s="69"/>
      <x:c r="AW96" s="69"/>
      <x:c r="AX96" s="69"/>
      <x:c r="AY96" s="69"/>
      <x:c r="AZ96" s="69"/>
    </x:row>
    <x:row r="97" ht="15" hidden="0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  <x:c r="AA97" s="69"/>
      <x:c r="AB97" s="69"/>
      <x:c r="AC97" s="69"/>
      <x:c r="AD97" s="69"/>
      <x:c r="AE97" s="69"/>
      <x:c r="AF97" s="69"/>
      <x:c r="AG97" s="69"/>
      <x:c r="AH97" s="69"/>
      <x:c r="AI97" s="69"/>
      <x:c r="AJ97" s="69"/>
      <x:c r="AK97" s="69"/>
      <x:c r="AL97" s="69"/>
      <x:c r="AM97" s="69"/>
      <x:c r="AN97" s="69"/>
      <x:c r="AO97" s="69"/>
      <x:c r="AP97" s="69"/>
      <x:c r="AQ97" s="69"/>
      <x:c r="AR97" s="69"/>
      <x:c r="AS97" s="69"/>
      <x:c r="AT97" s="69"/>
      <x:c r="AU97" s="69"/>
      <x:c r="AV97" s="69"/>
      <x:c r="AW97" s="69"/>
      <x:c r="AX97" s="69"/>
      <x:c r="AY97" s="69"/>
      <x:c r="AZ97" s="69"/>
    </x:row>
    <x:row r="98" ht="15" hidden="0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  <x:c r="AA98" s="69"/>
      <x:c r="AB98" s="69"/>
      <x:c r="AC98" s="69"/>
      <x:c r="AD98" s="69"/>
      <x:c r="AE98" s="69"/>
      <x:c r="AF98" s="69"/>
      <x:c r="AG98" s="69"/>
      <x:c r="AH98" s="69"/>
      <x:c r="AI98" s="69"/>
      <x:c r="AJ98" s="69"/>
      <x:c r="AK98" s="69"/>
      <x:c r="AL98" s="69"/>
      <x:c r="AM98" s="69"/>
      <x:c r="AN98" s="69"/>
      <x:c r="AO98" s="69"/>
      <x:c r="AP98" s="69"/>
      <x:c r="AQ98" s="69"/>
      <x:c r="AR98" s="69"/>
      <x:c r="AS98" s="69"/>
      <x:c r="AT98" s="69"/>
      <x:c r="AU98" s="69"/>
      <x:c r="AV98" s="69"/>
      <x:c r="AW98" s="69"/>
      <x:c r="AX98" s="69"/>
      <x:c r="AY98" s="69"/>
      <x:c r="AZ98" s="69"/>
    </x:row>
    <x:row r="99" ht="15" hidden="0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  <x:c r="AA99" s="69"/>
      <x:c r="AB99" s="69"/>
      <x:c r="AC99" s="69"/>
      <x:c r="AD99" s="69"/>
      <x:c r="AE99" s="69"/>
      <x:c r="AF99" s="69"/>
      <x:c r="AG99" s="69"/>
      <x:c r="AH99" s="69"/>
      <x:c r="AI99" s="69"/>
      <x:c r="AJ99" s="69"/>
      <x:c r="AK99" s="69"/>
      <x:c r="AL99" s="69"/>
      <x:c r="AM99" s="69"/>
      <x:c r="AN99" s="69"/>
      <x:c r="AO99" s="69"/>
      <x:c r="AP99" s="69"/>
      <x:c r="AQ99" s="69"/>
      <x:c r="AR99" s="69"/>
      <x:c r="AS99" s="69"/>
      <x:c r="AT99" s="69"/>
      <x:c r="AU99" s="69"/>
      <x:c r="AV99" s="69"/>
      <x:c r="AW99" s="69"/>
      <x:c r="AX99" s="69"/>
      <x:c r="AY99" s="69"/>
      <x:c r="AZ99" s="69"/>
    </x:row>
    <x:row r="100" ht="15" hidden="0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  <x:c r="AA100" s="69"/>
      <x:c r="AB100" s="69"/>
      <x:c r="AC100" s="69"/>
      <x:c r="AD100" s="69"/>
      <x:c r="AE100" s="69"/>
      <x:c r="AF100" s="69"/>
      <x:c r="AG100" s="69"/>
      <x:c r="AH100" s="69"/>
      <x:c r="AI100" s="69"/>
      <x:c r="AJ100" s="69"/>
      <x:c r="AK100" s="69"/>
      <x:c r="AL100" s="69"/>
      <x:c r="AM100" s="69"/>
      <x:c r="AN100" s="69"/>
      <x:c r="AO100" s="69"/>
      <x:c r="AP100" s="69"/>
      <x:c r="AQ100" s="69"/>
      <x:c r="AR100" s="69"/>
      <x:c r="AS100" s="69"/>
      <x:c r="AT100" s="69"/>
      <x:c r="AU100" s="69"/>
      <x:c r="AV100" s="69"/>
      <x:c r="AW100" s="69"/>
      <x:c r="AX100" s="69"/>
      <x:c r="AY100" s="69"/>
      <x:c r="AZ100" s="69"/>
    </x:row>
    <x:row r="101" ht="15" hidden="0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  <x:c r="AA101" s="69"/>
      <x:c r="AB101" s="69"/>
      <x:c r="AC101" s="69"/>
      <x:c r="AD101" s="69"/>
      <x:c r="AE101" s="69"/>
      <x:c r="AF101" s="69"/>
      <x:c r="AG101" s="69"/>
      <x:c r="AH101" s="69"/>
      <x:c r="AI101" s="69"/>
      <x:c r="AJ101" s="69"/>
      <x:c r="AK101" s="69"/>
      <x:c r="AL101" s="69"/>
      <x:c r="AM101" s="69"/>
      <x:c r="AN101" s="69"/>
      <x:c r="AO101" s="69"/>
      <x:c r="AP101" s="69"/>
      <x:c r="AQ101" s="69"/>
      <x:c r="AR101" s="69"/>
      <x:c r="AS101" s="69"/>
      <x:c r="AT101" s="69"/>
      <x:c r="AU101" s="69"/>
      <x:c r="AV101" s="69"/>
      <x:c r="AW101" s="69"/>
      <x:c r="AX101" s="69"/>
      <x:c r="AY101" s="69"/>
      <x:c r="AZ101" s="69"/>
    </x:row>
    <x:row r="102" ht="15" hidden="0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  <x:c r="AA102" s="69"/>
      <x:c r="AB102" s="69"/>
      <x:c r="AC102" s="69"/>
      <x:c r="AD102" s="69"/>
      <x:c r="AE102" s="69"/>
      <x:c r="AF102" s="69"/>
      <x:c r="AG102" s="69"/>
      <x:c r="AH102" s="69"/>
      <x:c r="AI102" s="69"/>
      <x:c r="AJ102" s="69"/>
      <x:c r="AK102" s="69"/>
      <x:c r="AL102" s="69"/>
      <x:c r="AM102" s="69"/>
      <x:c r="AN102" s="69"/>
      <x:c r="AO102" s="69"/>
      <x:c r="AP102" s="69"/>
      <x:c r="AQ102" s="69"/>
      <x:c r="AR102" s="69"/>
      <x:c r="AS102" s="69"/>
      <x:c r="AT102" s="69"/>
      <x:c r="AU102" s="69"/>
      <x:c r="AV102" s="69"/>
      <x:c r="AW102" s="69"/>
      <x:c r="AX102" s="69"/>
      <x:c r="AY102" s="69"/>
      <x:c r="AZ102" s="69"/>
    </x:row>
    <x:row r="103" ht="15" hidden="0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  <x:c r="AA103" s="69"/>
      <x:c r="AB103" s="69"/>
      <x:c r="AC103" s="69"/>
      <x:c r="AD103" s="69"/>
      <x:c r="AE103" s="69"/>
      <x:c r="AF103" s="69"/>
      <x:c r="AG103" s="69"/>
      <x:c r="AH103" s="69"/>
      <x:c r="AI103" s="69"/>
      <x:c r="AJ103" s="69"/>
      <x:c r="AK103" s="69"/>
      <x:c r="AL103" s="69"/>
      <x:c r="AM103" s="69"/>
      <x:c r="AN103" s="69"/>
      <x:c r="AO103" s="69"/>
      <x:c r="AP103" s="69"/>
      <x:c r="AQ103" s="69"/>
      <x:c r="AR103" s="69"/>
      <x:c r="AS103" s="69"/>
      <x:c r="AT103" s="69"/>
      <x:c r="AU103" s="69"/>
      <x:c r="AV103" s="69"/>
      <x:c r="AW103" s="69"/>
      <x:c r="AX103" s="69"/>
      <x:c r="AY103" s="69"/>
      <x:c r="AZ103" s="69"/>
    </x:row>
    <x:row r="104" ht="15" hidden="0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  <x:c r="AA104" s="69"/>
      <x:c r="AB104" s="69"/>
      <x:c r="AC104" s="69"/>
      <x:c r="AD104" s="69"/>
      <x:c r="AE104" s="69"/>
      <x:c r="AF104" s="69"/>
      <x:c r="AG104" s="69"/>
      <x:c r="AH104" s="69"/>
      <x:c r="AI104" s="69"/>
      <x:c r="AJ104" s="69"/>
      <x:c r="AK104" s="69"/>
      <x:c r="AL104" s="69"/>
      <x:c r="AM104" s="69"/>
      <x:c r="AN104" s="69"/>
      <x:c r="AO104" s="69"/>
      <x:c r="AP104" s="69"/>
      <x:c r="AQ104" s="69"/>
      <x:c r="AR104" s="69"/>
      <x:c r="AS104" s="69"/>
      <x:c r="AT104" s="69"/>
      <x:c r="AU104" s="69"/>
      <x:c r="AV104" s="69"/>
      <x:c r="AW104" s="69"/>
      <x:c r="AX104" s="69"/>
      <x:c r="AY104" s="69"/>
      <x:c r="AZ104" s="69"/>
    </x:row>
    <x:row r="105" ht="15" hidden="0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  <x:c r="AA105" s="69"/>
      <x:c r="AB105" s="69"/>
      <x:c r="AC105" s="69"/>
      <x:c r="AD105" s="69"/>
      <x:c r="AE105" s="69"/>
      <x:c r="AF105" s="69"/>
      <x:c r="AG105" s="69"/>
      <x:c r="AH105" s="69"/>
      <x:c r="AI105" s="69"/>
      <x:c r="AJ105" s="69"/>
      <x:c r="AK105" s="69"/>
      <x:c r="AL105" s="69"/>
      <x:c r="AM105" s="69"/>
      <x:c r="AN105" s="69"/>
      <x:c r="AO105" s="69"/>
      <x:c r="AP105" s="69"/>
      <x:c r="AQ105" s="69"/>
      <x:c r="AR105" s="69"/>
      <x:c r="AS105" s="69"/>
      <x:c r="AT105" s="69"/>
      <x:c r="AU105" s="69"/>
      <x:c r="AV105" s="69"/>
      <x:c r="AW105" s="69"/>
      <x:c r="AX105" s="69"/>
      <x:c r="AY105" s="69"/>
      <x:c r="AZ105" s="69"/>
    </x:row>
    <x:row r="106" ht="15" hidden="0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  <x:c r="AA106" s="69"/>
      <x:c r="AB106" s="69"/>
      <x:c r="AC106" s="69"/>
      <x:c r="AD106" s="69"/>
      <x:c r="AE106" s="69"/>
      <x:c r="AF106" s="69"/>
      <x:c r="AG106" s="69"/>
      <x:c r="AH106" s="69"/>
      <x:c r="AI106" s="69"/>
      <x:c r="AJ106" s="69"/>
      <x:c r="AK106" s="69"/>
      <x:c r="AL106" s="69"/>
      <x:c r="AM106" s="69"/>
      <x:c r="AN106" s="69"/>
      <x:c r="AO106" s="69"/>
      <x:c r="AP106" s="69"/>
      <x:c r="AQ106" s="69"/>
      <x:c r="AR106" s="69"/>
      <x:c r="AS106" s="69"/>
      <x:c r="AT106" s="69"/>
      <x:c r="AU106" s="69"/>
      <x:c r="AV106" s="69"/>
      <x:c r="AW106" s="69"/>
      <x:c r="AX106" s="69"/>
      <x:c r="AY106" s="69"/>
      <x:c r="AZ106" s="69"/>
    </x:row>
    <x:row r="107" ht="15" hidden="0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  <x:c r="AA107" s="69"/>
      <x:c r="AB107" s="69"/>
      <x:c r="AC107" s="69"/>
      <x:c r="AD107" s="69"/>
      <x:c r="AE107" s="69"/>
      <x:c r="AF107" s="69"/>
      <x:c r="AG107" s="69"/>
      <x:c r="AH107" s="69"/>
      <x:c r="AI107" s="69"/>
      <x:c r="AJ107" s="69"/>
      <x:c r="AK107" s="69"/>
      <x:c r="AL107" s="69"/>
      <x:c r="AM107" s="69"/>
      <x:c r="AN107" s="69"/>
      <x:c r="AO107" s="69"/>
      <x:c r="AP107" s="69"/>
      <x:c r="AQ107" s="69"/>
      <x:c r="AR107" s="69"/>
      <x:c r="AS107" s="69"/>
      <x:c r="AT107" s="69"/>
      <x:c r="AU107" s="69"/>
      <x:c r="AV107" s="69"/>
      <x:c r="AW107" s="69"/>
      <x:c r="AX107" s="69"/>
      <x:c r="AY107" s="69"/>
      <x:c r="AZ107" s="69"/>
    </x:row>
    <x:row r="108" ht="15" hidden="0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  <x:c r="AA108" s="69"/>
      <x:c r="AB108" s="69"/>
      <x:c r="AC108" s="69"/>
      <x:c r="AD108" s="69"/>
      <x:c r="AE108" s="69"/>
      <x:c r="AF108" s="69"/>
      <x:c r="AG108" s="69"/>
      <x:c r="AH108" s="69"/>
      <x:c r="AI108" s="69"/>
      <x:c r="AJ108" s="69"/>
      <x:c r="AK108" s="69"/>
      <x:c r="AL108" s="69"/>
      <x:c r="AM108" s="69"/>
      <x:c r="AN108" s="69"/>
      <x:c r="AO108" s="69"/>
      <x:c r="AP108" s="69"/>
      <x:c r="AQ108" s="69"/>
      <x:c r="AR108" s="69"/>
      <x:c r="AS108" s="69"/>
      <x:c r="AT108" s="69"/>
      <x:c r="AU108" s="69"/>
      <x:c r="AV108" s="69"/>
      <x:c r="AW108" s="69"/>
      <x:c r="AX108" s="69"/>
      <x:c r="AY108" s="69"/>
      <x:c r="AZ108" s="69"/>
    </x:row>
    <x:row r="109" ht="15" hidden="0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  <x:c r="AA109" s="69"/>
      <x:c r="AB109" s="69"/>
      <x:c r="AC109" s="69"/>
      <x:c r="AD109" s="69"/>
      <x:c r="AE109" s="69"/>
      <x:c r="AF109" s="69"/>
      <x:c r="AG109" s="69"/>
      <x:c r="AH109" s="69"/>
      <x:c r="AI109" s="69"/>
      <x:c r="AJ109" s="69"/>
      <x:c r="AK109" s="69"/>
      <x:c r="AL109" s="69"/>
      <x:c r="AM109" s="69"/>
      <x:c r="AN109" s="69"/>
      <x:c r="AO109" s="69"/>
      <x:c r="AP109" s="69"/>
      <x:c r="AQ109" s="69"/>
      <x:c r="AR109" s="69"/>
      <x:c r="AS109" s="69"/>
      <x:c r="AT109" s="69"/>
      <x:c r="AU109" s="69"/>
      <x:c r="AV109" s="69"/>
      <x:c r="AW109" s="69"/>
      <x:c r="AX109" s="69"/>
      <x:c r="AY109" s="69"/>
      <x:c r="AZ109" s="69"/>
    </x:row>
    <x:row r="110" ht="15" hidden="0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  <x:c r="AA110" s="69"/>
      <x:c r="AB110" s="69"/>
      <x:c r="AC110" s="69"/>
      <x:c r="AD110" s="69"/>
      <x:c r="AE110" s="69"/>
      <x:c r="AF110" s="69"/>
      <x:c r="AG110" s="69"/>
      <x:c r="AH110" s="69"/>
      <x:c r="AI110" s="69"/>
      <x:c r="AJ110" s="69"/>
      <x:c r="AK110" s="69"/>
      <x:c r="AL110" s="69"/>
      <x:c r="AM110" s="69"/>
      <x:c r="AN110" s="69"/>
      <x:c r="AO110" s="69"/>
      <x:c r="AP110" s="69"/>
      <x:c r="AQ110" s="69"/>
      <x:c r="AR110" s="69"/>
      <x:c r="AS110" s="69"/>
      <x:c r="AT110" s="69"/>
      <x:c r="AU110" s="69"/>
      <x:c r="AV110" s="69"/>
      <x:c r="AW110" s="69"/>
      <x:c r="AX110" s="69"/>
      <x:c r="AY110" s="69"/>
      <x:c r="AZ110" s="69"/>
    </x:row>
    <x:row r="111" ht="15" hidden="0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  <x:c r="AA111" s="69"/>
      <x:c r="AB111" s="69"/>
      <x:c r="AC111" s="69"/>
      <x:c r="AD111" s="69"/>
      <x:c r="AE111" s="69"/>
      <x:c r="AF111" s="69"/>
      <x:c r="AG111" s="69"/>
      <x:c r="AH111" s="69"/>
      <x:c r="AI111" s="69"/>
      <x:c r="AJ111" s="69"/>
      <x:c r="AK111" s="69"/>
      <x:c r="AL111" s="69"/>
      <x:c r="AM111" s="69"/>
      <x:c r="AN111" s="69"/>
      <x:c r="AO111" s="69"/>
      <x:c r="AP111" s="69"/>
      <x:c r="AQ111" s="69"/>
      <x:c r="AR111" s="69"/>
      <x:c r="AS111" s="69"/>
      <x:c r="AT111" s="69"/>
      <x:c r="AU111" s="69"/>
      <x:c r="AV111" s="69"/>
      <x:c r="AW111" s="69"/>
      <x:c r="AX111" s="69"/>
      <x:c r="AY111" s="69"/>
      <x:c r="AZ111" s="69"/>
    </x:row>
    <x:row r="112" ht="15" hidden="0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  <x:c r="AA112" s="69"/>
      <x:c r="AB112" s="69"/>
      <x:c r="AC112" s="69"/>
      <x:c r="AD112" s="69"/>
      <x:c r="AE112" s="69"/>
      <x:c r="AF112" s="69"/>
      <x:c r="AG112" s="69"/>
      <x:c r="AH112" s="69"/>
      <x:c r="AI112" s="69"/>
      <x:c r="AJ112" s="69"/>
      <x:c r="AK112" s="69"/>
      <x:c r="AL112" s="69"/>
      <x:c r="AM112" s="69"/>
      <x:c r="AN112" s="69"/>
      <x:c r="AO112" s="69"/>
      <x:c r="AP112" s="69"/>
      <x:c r="AQ112" s="69"/>
      <x:c r="AR112" s="69"/>
      <x:c r="AS112" s="69"/>
      <x:c r="AT112" s="69"/>
      <x:c r="AU112" s="69"/>
      <x:c r="AV112" s="69"/>
      <x:c r="AW112" s="69"/>
      <x:c r="AX112" s="69"/>
      <x:c r="AY112" s="69"/>
      <x:c r="AZ112" s="69"/>
    </x:row>
    <x:row r="113" ht="15" hidden="0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  <x:c r="AA113" s="69"/>
      <x:c r="AB113" s="69"/>
      <x:c r="AC113" s="69"/>
      <x:c r="AD113" s="69"/>
      <x:c r="AE113" s="69"/>
      <x:c r="AF113" s="69"/>
      <x:c r="AG113" s="69"/>
      <x:c r="AH113" s="69"/>
      <x:c r="AI113" s="69"/>
      <x:c r="AJ113" s="69"/>
      <x:c r="AK113" s="69"/>
      <x:c r="AL113" s="69"/>
      <x:c r="AM113" s="69"/>
      <x:c r="AN113" s="69"/>
      <x:c r="AO113" s="69"/>
      <x:c r="AP113" s="69"/>
      <x:c r="AQ113" s="69"/>
      <x:c r="AR113" s="69"/>
      <x:c r="AS113" s="69"/>
      <x:c r="AT113" s="69"/>
      <x:c r="AU113" s="69"/>
      <x:c r="AV113" s="69"/>
      <x:c r="AW113" s="69"/>
      <x:c r="AX113" s="69"/>
      <x:c r="AY113" s="69"/>
      <x:c r="AZ113" s="69"/>
    </x:row>
    <x:row r="114" ht="15" hidden="0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  <x:c r="AA114" s="69"/>
      <x:c r="AB114" s="69"/>
      <x:c r="AC114" s="69"/>
      <x:c r="AD114" s="69"/>
      <x:c r="AE114" s="69"/>
      <x:c r="AF114" s="69"/>
      <x:c r="AG114" s="69"/>
      <x:c r="AH114" s="69"/>
      <x:c r="AI114" s="69"/>
      <x:c r="AJ114" s="69"/>
      <x:c r="AK114" s="69"/>
      <x:c r="AL114" s="69"/>
      <x:c r="AM114" s="69"/>
      <x:c r="AN114" s="69"/>
      <x:c r="AO114" s="69"/>
      <x:c r="AP114" s="69"/>
      <x:c r="AQ114" s="69"/>
      <x:c r="AR114" s="69"/>
      <x:c r="AS114" s="69"/>
      <x:c r="AT114" s="69"/>
      <x:c r="AU114" s="69"/>
      <x:c r="AV114" s="69"/>
      <x:c r="AW114" s="69"/>
      <x:c r="AX114" s="69"/>
      <x:c r="AY114" s="69"/>
      <x:c r="AZ114" s="69"/>
    </x:row>
    <x:row r="115" ht="15" hidden="0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  <x:c r="AA115" s="69"/>
      <x:c r="AB115" s="69"/>
      <x:c r="AC115" s="69"/>
      <x:c r="AD115" s="69"/>
      <x:c r="AE115" s="69"/>
      <x:c r="AF115" s="69"/>
      <x:c r="AG115" s="69"/>
      <x:c r="AH115" s="69"/>
      <x:c r="AI115" s="69"/>
      <x:c r="AJ115" s="69"/>
      <x:c r="AK115" s="69"/>
      <x:c r="AL115" s="69"/>
      <x:c r="AM115" s="69"/>
      <x:c r="AN115" s="69"/>
      <x:c r="AO115" s="69"/>
      <x:c r="AP115" s="69"/>
      <x:c r="AQ115" s="69"/>
      <x:c r="AR115" s="69"/>
      <x:c r="AS115" s="69"/>
      <x:c r="AT115" s="69"/>
      <x:c r="AU115" s="69"/>
      <x:c r="AV115" s="69"/>
      <x:c r="AW115" s="69"/>
      <x:c r="AX115" s="69"/>
      <x:c r="AY115" s="69"/>
      <x:c r="AZ115" s="69"/>
    </x:row>
    <x:row r="116" ht="15" hidden="0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  <x:c r="AA116" s="69"/>
      <x:c r="AB116" s="69"/>
      <x:c r="AC116" s="69"/>
      <x:c r="AD116" s="69"/>
      <x:c r="AE116" s="69"/>
      <x:c r="AF116" s="69"/>
      <x:c r="AG116" s="69"/>
      <x:c r="AH116" s="69"/>
      <x:c r="AI116" s="69"/>
      <x:c r="AJ116" s="69"/>
      <x:c r="AK116" s="69"/>
      <x:c r="AL116" s="69"/>
      <x:c r="AM116" s="69"/>
      <x:c r="AN116" s="69"/>
      <x:c r="AO116" s="69"/>
      <x:c r="AP116" s="69"/>
      <x:c r="AQ116" s="69"/>
      <x:c r="AR116" s="69"/>
      <x:c r="AS116" s="69"/>
      <x:c r="AT116" s="69"/>
      <x:c r="AU116" s="69"/>
      <x:c r="AV116" s="69"/>
      <x:c r="AW116" s="69"/>
      <x:c r="AX116" s="69"/>
      <x:c r="AY116" s="69"/>
      <x:c r="AZ116" s="69"/>
    </x:row>
    <x:row r="117" ht="15" hidden="0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  <x:c r="AA117" s="69"/>
      <x:c r="AB117" s="69"/>
      <x:c r="AC117" s="69"/>
      <x:c r="AD117" s="69"/>
      <x:c r="AE117" s="69"/>
      <x:c r="AF117" s="69"/>
      <x:c r="AG117" s="69"/>
      <x:c r="AH117" s="69"/>
      <x:c r="AI117" s="69"/>
      <x:c r="AJ117" s="69"/>
      <x:c r="AK117" s="69"/>
      <x:c r="AL117" s="69"/>
      <x:c r="AM117" s="69"/>
      <x:c r="AN117" s="69"/>
      <x:c r="AO117" s="69"/>
      <x:c r="AP117" s="69"/>
      <x:c r="AQ117" s="69"/>
      <x:c r="AR117" s="69"/>
      <x:c r="AS117" s="69"/>
      <x:c r="AT117" s="69"/>
      <x:c r="AU117" s="69"/>
      <x:c r="AV117" s="69"/>
      <x:c r="AW117" s="69"/>
      <x:c r="AX117" s="69"/>
      <x:c r="AY117" s="69"/>
      <x:c r="AZ117" s="69"/>
    </x:row>
    <x:row r="118" ht="15" hidden="0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  <x:c r="AA118" s="69"/>
      <x:c r="AB118" s="69"/>
      <x:c r="AC118" s="69"/>
      <x:c r="AD118" s="69"/>
      <x:c r="AE118" s="69"/>
      <x:c r="AF118" s="69"/>
      <x:c r="AG118" s="69"/>
      <x:c r="AH118" s="69"/>
      <x:c r="AI118" s="69"/>
      <x:c r="AJ118" s="69"/>
      <x:c r="AK118" s="69"/>
      <x:c r="AL118" s="69"/>
      <x:c r="AM118" s="69"/>
      <x:c r="AN118" s="69"/>
      <x:c r="AO118" s="69"/>
      <x:c r="AP118" s="69"/>
      <x:c r="AQ118" s="69"/>
      <x:c r="AR118" s="69"/>
      <x:c r="AS118" s="69"/>
      <x:c r="AT118" s="69"/>
      <x:c r="AU118" s="69"/>
      <x:c r="AV118" s="69"/>
      <x:c r="AW118" s="69"/>
      <x:c r="AX118" s="69"/>
      <x:c r="AY118" s="69"/>
      <x:c r="AZ118" s="69"/>
    </x:row>
    <x:row r="119" ht="15" hidden="0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  <x:c r="AA119" s="69"/>
      <x:c r="AB119" s="69"/>
      <x:c r="AC119" s="69"/>
      <x:c r="AD119" s="69"/>
      <x:c r="AE119" s="69"/>
      <x:c r="AF119" s="69"/>
      <x:c r="AG119" s="69"/>
      <x:c r="AH119" s="69"/>
      <x:c r="AI119" s="69"/>
      <x:c r="AJ119" s="69"/>
      <x:c r="AK119" s="69"/>
      <x:c r="AL119" s="69"/>
      <x:c r="AM119" s="69"/>
      <x:c r="AN119" s="69"/>
      <x:c r="AO119" s="69"/>
      <x:c r="AP119" s="69"/>
      <x:c r="AQ119" s="69"/>
      <x:c r="AR119" s="69"/>
      <x:c r="AS119" s="69"/>
      <x:c r="AT119" s="69"/>
      <x:c r="AU119" s="69"/>
      <x:c r="AV119" s="69"/>
      <x:c r="AW119" s="69"/>
      <x:c r="AX119" s="69"/>
      <x:c r="AY119" s="69"/>
      <x:c r="AZ119" s="69"/>
    </x:row>
    <x:row r="120" ht="15" hidden="0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  <x:c r="AA120" s="69"/>
      <x:c r="AB120" s="69"/>
      <x:c r="AC120" s="69"/>
      <x:c r="AD120" s="69"/>
      <x:c r="AE120" s="69"/>
      <x:c r="AF120" s="69"/>
      <x:c r="AG120" s="69"/>
      <x:c r="AH120" s="69"/>
      <x:c r="AI120" s="69"/>
      <x:c r="AJ120" s="69"/>
      <x:c r="AK120" s="69"/>
      <x:c r="AL120" s="69"/>
      <x:c r="AM120" s="69"/>
      <x:c r="AN120" s="69"/>
      <x:c r="AO120" s="69"/>
      <x:c r="AP120" s="69"/>
      <x:c r="AQ120" s="69"/>
      <x:c r="AR120" s="69"/>
      <x:c r="AS120" s="69"/>
      <x:c r="AT120" s="69"/>
      <x:c r="AU120" s="69"/>
      <x:c r="AV120" s="69"/>
      <x:c r="AW120" s="69"/>
      <x:c r="AX120" s="69"/>
      <x:c r="AY120" s="69"/>
      <x:c r="AZ120" s="69"/>
    </x:row>
    <x:row r="121" ht="15" hidden="0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  <x:c r="AA121" s="69"/>
      <x:c r="AB121" s="69"/>
      <x:c r="AC121" s="69"/>
      <x:c r="AD121" s="69"/>
      <x:c r="AE121" s="69"/>
      <x:c r="AF121" s="69"/>
      <x:c r="AG121" s="69"/>
      <x:c r="AH121" s="69"/>
      <x:c r="AI121" s="69"/>
      <x:c r="AJ121" s="69"/>
      <x:c r="AK121" s="69"/>
      <x:c r="AL121" s="69"/>
      <x:c r="AM121" s="69"/>
      <x:c r="AN121" s="69"/>
      <x:c r="AO121" s="69"/>
      <x:c r="AP121" s="69"/>
      <x:c r="AQ121" s="69"/>
      <x:c r="AR121" s="69"/>
      <x:c r="AS121" s="69"/>
      <x:c r="AT121" s="69"/>
      <x:c r="AU121" s="69"/>
      <x:c r="AV121" s="69"/>
      <x:c r="AW121" s="69"/>
      <x:c r="AX121" s="69"/>
      <x:c r="AY121" s="69"/>
      <x:c r="AZ121" s="69"/>
    </x:row>
    <x:row r="122" ht="15" hidden="0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  <x:c r="AA122" s="69"/>
      <x:c r="AB122" s="69"/>
      <x:c r="AC122" s="69"/>
      <x:c r="AD122" s="69"/>
      <x:c r="AE122" s="69"/>
      <x:c r="AF122" s="69"/>
      <x:c r="AG122" s="69"/>
      <x:c r="AH122" s="69"/>
      <x:c r="AI122" s="69"/>
      <x:c r="AJ122" s="69"/>
      <x:c r="AK122" s="69"/>
      <x:c r="AL122" s="69"/>
      <x:c r="AM122" s="69"/>
      <x:c r="AN122" s="69"/>
      <x:c r="AO122" s="69"/>
      <x:c r="AP122" s="69"/>
      <x:c r="AQ122" s="69"/>
      <x:c r="AR122" s="69"/>
      <x:c r="AS122" s="69"/>
      <x:c r="AT122" s="69"/>
      <x:c r="AU122" s="69"/>
      <x:c r="AV122" s="69"/>
      <x:c r="AW122" s="69"/>
      <x:c r="AX122" s="69"/>
      <x:c r="AY122" s="69"/>
      <x:c r="AZ122" s="69"/>
    </x:row>
    <x:row r="123" ht="15" hidden="0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  <x:c r="AA123" s="69"/>
      <x:c r="AB123" s="69"/>
      <x:c r="AC123" s="69"/>
      <x:c r="AD123" s="69"/>
      <x:c r="AE123" s="69"/>
      <x:c r="AF123" s="69"/>
      <x:c r="AG123" s="69"/>
      <x:c r="AH123" s="69"/>
      <x:c r="AI123" s="69"/>
      <x:c r="AJ123" s="69"/>
      <x:c r="AK123" s="69"/>
      <x:c r="AL123" s="69"/>
      <x:c r="AM123" s="69"/>
      <x:c r="AN123" s="69"/>
      <x:c r="AO123" s="69"/>
      <x:c r="AP123" s="69"/>
      <x:c r="AQ123" s="69"/>
      <x:c r="AR123" s="69"/>
      <x:c r="AS123" s="69"/>
      <x:c r="AT123" s="69"/>
      <x:c r="AU123" s="69"/>
      <x:c r="AV123" s="69"/>
      <x:c r="AW123" s="69"/>
      <x:c r="AX123" s="69"/>
      <x:c r="AY123" s="69"/>
      <x:c r="AZ123" s="69"/>
    </x:row>
    <x:row r="124" ht="15" hidden="0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  <x:c r="AA124" s="69"/>
      <x:c r="AB124" s="69"/>
      <x:c r="AC124" s="69"/>
      <x:c r="AD124" s="69"/>
      <x:c r="AE124" s="69"/>
      <x:c r="AF124" s="69"/>
      <x:c r="AG124" s="69"/>
      <x:c r="AH124" s="69"/>
      <x:c r="AI124" s="69"/>
      <x:c r="AJ124" s="69"/>
      <x:c r="AK124" s="69"/>
      <x:c r="AL124" s="69"/>
      <x:c r="AM124" s="69"/>
      <x:c r="AN124" s="69"/>
      <x:c r="AO124" s="69"/>
      <x:c r="AP124" s="69"/>
      <x:c r="AQ124" s="69"/>
      <x:c r="AR124" s="69"/>
      <x:c r="AS124" s="69"/>
      <x:c r="AT124" s="69"/>
      <x:c r="AU124" s="69"/>
      <x:c r="AV124" s="69"/>
      <x:c r="AW124" s="69"/>
      <x:c r="AX124" s="69"/>
      <x:c r="AY124" s="69"/>
      <x:c r="AZ124" s="69"/>
    </x:row>
    <x:row r="125" ht="15" hidden="0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  <x:c r="AA125" s="69"/>
      <x:c r="AB125" s="69"/>
      <x:c r="AC125" s="69"/>
      <x:c r="AD125" s="69"/>
      <x:c r="AE125" s="69"/>
      <x:c r="AF125" s="69"/>
      <x:c r="AG125" s="69"/>
      <x:c r="AH125" s="69"/>
      <x:c r="AI125" s="69"/>
      <x:c r="AJ125" s="69"/>
      <x:c r="AK125" s="69"/>
      <x:c r="AL125" s="69"/>
      <x:c r="AM125" s="69"/>
      <x:c r="AN125" s="69"/>
      <x:c r="AO125" s="69"/>
      <x:c r="AP125" s="69"/>
      <x:c r="AQ125" s="69"/>
      <x:c r="AR125" s="69"/>
      <x:c r="AS125" s="69"/>
      <x:c r="AT125" s="69"/>
      <x:c r="AU125" s="69"/>
      <x:c r="AV125" s="69"/>
      <x:c r="AW125" s="69"/>
      <x:c r="AX125" s="69"/>
      <x:c r="AY125" s="69"/>
      <x:c r="AZ125" s="69"/>
    </x:row>
    <x:row r="126" ht="15" hidden="0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  <x:c r="AA126" s="69"/>
      <x:c r="AB126" s="69"/>
      <x:c r="AC126" s="69"/>
      <x:c r="AD126" s="69"/>
      <x:c r="AE126" s="69"/>
      <x:c r="AF126" s="69"/>
      <x:c r="AG126" s="69"/>
      <x:c r="AH126" s="69"/>
      <x:c r="AI126" s="69"/>
      <x:c r="AJ126" s="69"/>
      <x:c r="AK126" s="69"/>
      <x:c r="AL126" s="69"/>
      <x:c r="AM126" s="69"/>
      <x:c r="AN126" s="69"/>
      <x:c r="AO126" s="69"/>
      <x:c r="AP126" s="69"/>
      <x:c r="AQ126" s="69"/>
      <x:c r="AR126" s="69"/>
      <x:c r="AS126" s="69"/>
      <x:c r="AT126" s="69"/>
      <x:c r="AU126" s="69"/>
      <x:c r="AV126" s="69"/>
      <x:c r="AW126" s="69"/>
      <x:c r="AX126" s="69"/>
      <x:c r="AY126" s="69"/>
      <x:c r="AZ126" s="69"/>
    </x:row>
    <x:row r="127" ht="15" hidden="0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  <x:c r="AA127" s="69"/>
      <x:c r="AB127" s="69"/>
      <x:c r="AC127" s="69"/>
      <x:c r="AD127" s="69"/>
      <x:c r="AE127" s="69"/>
      <x:c r="AF127" s="69"/>
      <x:c r="AG127" s="69"/>
      <x:c r="AH127" s="69"/>
      <x:c r="AI127" s="69"/>
      <x:c r="AJ127" s="69"/>
      <x:c r="AK127" s="69"/>
      <x:c r="AL127" s="69"/>
      <x:c r="AM127" s="69"/>
      <x:c r="AN127" s="69"/>
      <x:c r="AO127" s="69"/>
      <x:c r="AP127" s="69"/>
      <x:c r="AQ127" s="69"/>
      <x:c r="AR127" s="69"/>
      <x:c r="AS127" s="69"/>
      <x:c r="AT127" s="69"/>
      <x:c r="AU127" s="69"/>
      <x:c r="AV127" s="69"/>
      <x:c r="AW127" s="69"/>
      <x:c r="AX127" s="69"/>
      <x:c r="AY127" s="69"/>
      <x:c r="AZ127" s="69"/>
    </x:row>
    <x:row r="128" ht="15" hidden="0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  <x:c r="AA128" s="69"/>
      <x:c r="AB128" s="69"/>
      <x:c r="AC128" s="69"/>
      <x:c r="AD128" s="69"/>
      <x:c r="AE128" s="69"/>
      <x:c r="AF128" s="69"/>
      <x:c r="AG128" s="69"/>
      <x:c r="AH128" s="69"/>
      <x:c r="AI128" s="69"/>
      <x:c r="AJ128" s="69"/>
      <x:c r="AK128" s="69"/>
      <x:c r="AL128" s="69"/>
      <x:c r="AM128" s="69"/>
      <x:c r="AN128" s="69"/>
      <x:c r="AO128" s="69"/>
      <x:c r="AP128" s="69"/>
      <x:c r="AQ128" s="69"/>
      <x:c r="AR128" s="69"/>
      <x:c r="AS128" s="69"/>
      <x:c r="AT128" s="69"/>
      <x:c r="AU128" s="69"/>
      <x:c r="AV128" s="69"/>
      <x:c r="AW128" s="69"/>
      <x:c r="AX128" s="69"/>
      <x:c r="AY128" s="69"/>
      <x:c r="AZ128" s="69"/>
    </x:row>
    <x:row r="129" ht="15" hidden="0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  <x:c r="AA129" s="69"/>
      <x:c r="AB129" s="69"/>
      <x:c r="AC129" s="69"/>
      <x:c r="AD129" s="69"/>
      <x:c r="AE129" s="69"/>
      <x:c r="AF129" s="69"/>
      <x:c r="AG129" s="69"/>
      <x:c r="AH129" s="69"/>
      <x:c r="AI129" s="69"/>
      <x:c r="AJ129" s="69"/>
      <x:c r="AK129" s="69"/>
      <x:c r="AL129" s="69"/>
      <x:c r="AM129" s="69"/>
      <x:c r="AN129" s="69"/>
      <x:c r="AO129" s="69"/>
      <x:c r="AP129" s="69"/>
      <x:c r="AQ129" s="69"/>
      <x:c r="AR129" s="69"/>
      <x:c r="AS129" s="69"/>
      <x:c r="AT129" s="69"/>
      <x:c r="AU129" s="69"/>
      <x:c r="AV129" s="69"/>
      <x:c r="AW129" s="69"/>
      <x:c r="AX129" s="69"/>
      <x:c r="AY129" s="69"/>
      <x:c r="AZ129" s="69"/>
    </x:row>
    <x:row r="130" ht="15" hidden="0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  <x:c r="AA130" s="69"/>
      <x:c r="AB130" s="69"/>
      <x:c r="AC130" s="69"/>
      <x:c r="AD130" s="69"/>
      <x:c r="AE130" s="69"/>
      <x:c r="AF130" s="69"/>
      <x:c r="AG130" s="69"/>
      <x:c r="AH130" s="69"/>
      <x:c r="AI130" s="69"/>
      <x:c r="AJ130" s="69"/>
      <x:c r="AK130" s="69"/>
      <x:c r="AL130" s="69"/>
      <x:c r="AM130" s="69"/>
      <x:c r="AN130" s="69"/>
      <x:c r="AO130" s="69"/>
      <x:c r="AP130" s="69"/>
      <x:c r="AQ130" s="69"/>
      <x:c r="AR130" s="69"/>
      <x:c r="AS130" s="69"/>
      <x:c r="AT130" s="69"/>
      <x:c r="AU130" s="69"/>
      <x:c r="AV130" s="69"/>
      <x:c r="AW130" s="69"/>
      <x:c r="AX130" s="69"/>
      <x:c r="AY130" s="69"/>
      <x:c r="AZ130" s="69"/>
    </x:row>
    <x:row r="131" ht="15" hidden="0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  <x:c r="AA131" s="69"/>
      <x:c r="AB131" s="69"/>
      <x:c r="AC131" s="69"/>
      <x:c r="AD131" s="69"/>
      <x:c r="AE131" s="69"/>
      <x:c r="AF131" s="69"/>
      <x:c r="AG131" s="69"/>
      <x:c r="AH131" s="69"/>
      <x:c r="AI131" s="69"/>
      <x:c r="AJ131" s="69"/>
      <x:c r="AK131" s="69"/>
      <x:c r="AL131" s="69"/>
      <x:c r="AM131" s="69"/>
      <x:c r="AN131" s="69"/>
      <x:c r="AO131" s="69"/>
      <x:c r="AP131" s="69"/>
      <x:c r="AQ131" s="69"/>
      <x:c r="AR131" s="69"/>
      <x:c r="AS131" s="69"/>
      <x:c r="AT131" s="69"/>
      <x:c r="AU131" s="69"/>
      <x:c r="AV131" s="69"/>
      <x:c r="AW131" s="69"/>
      <x:c r="AX131" s="69"/>
      <x:c r="AY131" s="69"/>
      <x:c r="AZ131" s="69"/>
    </x:row>
    <x:row r="132" ht="15" hidden="0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  <x:c r="AA132" s="69"/>
      <x:c r="AB132" s="69"/>
      <x:c r="AC132" s="69"/>
      <x:c r="AD132" s="69"/>
      <x:c r="AE132" s="69"/>
      <x:c r="AF132" s="69"/>
      <x:c r="AG132" s="69"/>
      <x:c r="AH132" s="69"/>
      <x:c r="AI132" s="69"/>
      <x:c r="AJ132" s="69"/>
      <x:c r="AK132" s="69"/>
      <x:c r="AL132" s="69"/>
      <x:c r="AM132" s="69"/>
      <x:c r="AN132" s="69"/>
      <x:c r="AO132" s="69"/>
      <x:c r="AP132" s="69"/>
      <x:c r="AQ132" s="69"/>
      <x:c r="AR132" s="69"/>
      <x:c r="AS132" s="69"/>
      <x:c r="AT132" s="69"/>
      <x:c r="AU132" s="69"/>
      <x:c r="AV132" s="69"/>
      <x:c r="AW132" s="69"/>
      <x:c r="AX132" s="69"/>
      <x:c r="AY132" s="69"/>
      <x:c r="AZ132" s="69"/>
    </x:row>
    <x:row r="133" ht="15" hidden="0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  <x:c r="AA133" s="69"/>
      <x:c r="AB133" s="69"/>
      <x:c r="AC133" s="69"/>
      <x:c r="AD133" s="69"/>
      <x:c r="AE133" s="69"/>
      <x:c r="AF133" s="69"/>
      <x:c r="AG133" s="69"/>
      <x:c r="AH133" s="69"/>
      <x:c r="AI133" s="69"/>
      <x:c r="AJ133" s="69"/>
      <x:c r="AK133" s="69"/>
      <x:c r="AL133" s="69"/>
      <x:c r="AM133" s="69"/>
      <x:c r="AN133" s="69"/>
      <x:c r="AO133" s="69"/>
      <x:c r="AP133" s="69"/>
      <x:c r="AQ133" s="69"/>
      <x:c r="AR133" s="69"/>
      <x:c r="AS133" s="69"/>
      <x:c r="AT133" s="69"/>
      <x:c r="AU133" s="69"/>
      <x:c r="AV133" s="69"/>
      <x:c r="AW133" s="69"/>
      <x:c r="AX133" s="69"/>
      <x:c r="AY133" s="69"/>
      <x:c r="AZ133" s="69"/>
    </x:row>
    <x:row r="134" ht="15" hidden="0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  <x:c r="AA134" s="69"/>
      <x:c r="AB134" s="69"/>
      <x:c r="AC134" s="69"/>
      <x:c r="AD134" s="69"/>
      <x:c r="AE134" s="69"/>
      <x:c r="AF134" s="69"/>
      <x:c r="AG134" s="69"/>
      <x:c r="AH134" s="69"/>
      <x:c r="AI134" s="69"/>
      <x:c r="AJ134" s="69"/>
      <x:c r="AK134" s="69"/>
      <x:c r="AL134" s="69"/>
      <x:c r="AM134" s="69"/>
      <x:c r="AN134" s="69"/>
      <x:c r="AO134" s="69"/>
      <x:c r="AP134" s="69"/>
      <x:c r="AQ134" s="69"/>
      <x:c r="AR134" s="69"/>
      <x:c r="AS134" s="69"/>
      <x:c r="AT134" s="69"/>
      <x:c r="AU134" s="69"/>
      <x:c r="AV134" s="69"/>
      <x:c r="AW134" s="69"/>
      <x:c r="AX134" s="69"/>
      <x:c r="AY134" s="69"/>
      <x:c r="AZ134" s="69"/>
    </x:row>
    <x:row r="135" ht="15" hidden="0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  <x:c r="AA135" s="69"/>
      <x:c r="AB135" s="69"/>
      <x:c r="AC135" s="69"/>
      <x:c r="AD135" s="69"/>
      <x:c r="AE135" s="69"/>
      <x:c r="AF135" s="69"/>
      <x:c r="AG135" s="69"/>
      <x:c r="AH135" s="69"/>
      <x:c r="AI135" s="69"/>
      <x:c r="AJ135" s="69"/>
      <x:c r="AK135" s="69"/>
      <x:c r="AL135" s="69"/>
      <x:c r="AM135" s="69"/>
      <x:c r="AN135" s="69"/>
      <x:c r="AO135" s="69"/>
      <x:c r="AP135" s="69"/>
      <x:c r="AQ135" s="69"/>
      <x:c r="AR135" s="69"/>
      <x:c r="AS135" s="69"/>
      <x:c r="AT135" s="69"/>
      <x:c r="AU135" s="69"/>
      <x:c r="AV135" s="69"/>
      <x:c r="AW135" s="69"/>
      <x:c r="AX135" s="69"/>
      <x:c r="AY135" s="69"/>
      <x:c r="AZ135" s="69"/>
    </x:row>
    <x:row r="136" ht="15" hidden="0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  <x:c r="AA136" s="69"/>
      <x:c r="AB136" s="69"/>
      <x:c r="AC136" s="69"/>
      <x:c r="AD136" s="69"/>
      <x:c r="AE136" s="69"/>
      <x:c r="AF136" s="69"/>
      <x:c r="AG136" s="69"/>
      <x:c r="AH136" s="69"/>
      <x:c r="AI136" s="69"/>
      <x:c r="AJ136" s="69"/>
      <x:c r="AK136" s="69"/>
      <x:c r="AL136" s="69"/>
      <x:c r="AM136" s="69"/>
      <x:c r="AN136" s="69"/>
      <x:c r="AO136" s="69"/>
      <x:c r="AP136" s="69"/>
      <x:c r="AQ136" s="69"/>
      <x:c r="AR136" s="69"/>
      <x:c r="AS136" s="69"/>
      <x:c r="AT136" s="69"/>
      <x:c r="AU136" s="69"/>
      <x:c r="AV136" s="69"/>
      <x:c r="AW136" s="69"/>
      <x:c r="AX136" s="69"/>
      <x:c r="AY136" s="69"/>
      <x:c r="AZ136" s="69"/>
    </x:row>
    <x:row r="137" ht="15" hidden="0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  <x:c r="AA137" s="69"/>
      <x:c r="AB137" s="69"/>
      <x:c r="AC137" s="69"/>
      <x:c r="AD137" s="69"/>
      <x:c r="AE137" s="69"/>
      <x:c r="AF137" s="69"/>
      <x:c r="AG137" s="69"/>
      <x:c r="AH137" s="69"/>
      <x:c r="AI137" s="69"/>
      <x:c r="AJ137" s="69"/>
      <x:c r="AK137" s="69"/>
      <x:c r="AL137" s="69"/>
      <x:c r="AM137" s="69"/>
      <x:c r="AN137" s="69"/>
      <x:c r="AO137" s="69"/>
      <x:c r="AP137" s="69"/>
      <x:c r="AQ137" s="69"/>
      <x:c r="AR137" s="69"/>
      <x:c r="AS137" s="69"/>
      <x:c r="AT137" s="69"/>
      <x:c r="AU137" s="69"/>
      <x:c r="AV137" s="69"/>
      <x:c r="AW137" s="69"/>
      <x:c r="AX137" s="69"/>
      <x:c r="AY137" s="69"/>
      <x:c r="AZ137" s="69"/>
    </x:row>
    <x:row r="138" ht="15" hidden="0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  <x:c r="AA138" s="69"/>
      <x:c r="AB138" s="69"/>
      <x:c r="AC138" s="69"/>
      <x:c r="AD138" s="69"/>
      <x:c r="AE138" s="69"/>
      <x:c r="AF138" s="69"/>
      <x:c r="AG138" s="69"/>
      <x:c r="AH138" s="69"/>
      <x:c r="AI138" s="69"/>
      <x:c r="AJ138" s="69"/>
      <x:c r="AK138" s="69"/>
      <x:c r="AL138" s="69"/>
      <x:c r="AM138" s="69"/>
      <x:c r="AN138" s="69"/>
      <x:c r="AO138" s="69"/>
      <x:c r="AP138" s="69"/>
      <x:c r="AQ138" s="69"/>
      <x:c r="AR138" s="69"/>
      <x:c r="AS138" s="69"/>
      <x:c r="AT138" s="69"/>
      <x:c r="AU138" s="69"/>
      <x:c r="AV138" s="69"/>
      <x:c r="AW138" s="69"/>
      <x:c r="AX138" s="69"/>
      <x:c r="AY138" s="69"/>
      <x:c r="AZ138" s="69"/>
    </x:row>
    <x:row r="139" ht="15" hidden="0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  <x:c r="AA139" s="69"/>
      <x:c r="AB139" s="69"/>
      <x:c r="AC139" s="69"/>
      <x:c r="AD139" s="69"/>
      <x:c r="AE139" s="69"/>
      <x:c r="AF139" s="69"/>
      <x:c r="AG139" s="69"/>
      <x:c r="AH139" s="69"/>
      <x:c r="AI139" s="69"/>
      <x:c r="AJ139" s="69"/>
      <x:c r="AK139" s="69"/>
      <x:c r="AL139" s="69"/>
      <x:c r="AM139" s="69"/>
      <x:c r="AN139" s="69"/>
      <x:c r="AO139" s="69"/>
      <x:c r="AP139" s="69"/>
      <x:c r="AQ139" s="69"/>
      <x:c r="AR139" s="69"/>
      <x:c r="AS139" s="69"/>
      <x:c r="AT139" s="69"/>
      <x:c r="AU139" s="69"/>
      <x:c r="AV139" s="69"/>
      <x:c r="AW139" s="69"/>
      <x:c r="AX139" s="69"/>
      <x:c r="AY139" s="69"/>
      <x:c r="AZ139" s="69"/>
    </x:row>
    <x:row r="140" ht="15" hidden="0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  <x:c r="AA140" s="69"/>
      <x:c r="AB140" s="69"/>
      <x:c r="AC140" s="69"/>
      <x:c r="AD140" s="69"/>
      <x:c r="AE140" s="69"/>
      <x:c r="AF140" s="69"/>
      <x:c r="AG140" s="69"/>
      <x:c r="AH140" s="69"/>
      <x:c r="AI140" s="69"/>
      <x:c r="AJ140" s="69"/>
      <x:c r="AK140" s="69"/>
      <x:c r="AL140" s="69"/>
      <x:c r="AM140" s="69"/>
      <x:c r="AN140" s="69"/>
      <x:c r="AO140" s="69"/>
      <x:c r="AP140" s="69"/>
      <x:c r="AQ140" s="69"/>
      <x:c r="AR140" s="69"/>
      <x:c r="AS140" s="69"/>
      <x:c r="AT140" s="69"/>
      <x:c r="AU140" s="69"/>
      <x:c r="AV140" s="69"/>
      <x:c r="AW140" s="69"/>
      <x:c r="AX140" s="69"/>
      <x:c r="AY140" s="69"/>
      <x:c r="AZ140" s="69"/>
    </x:row>
    <x:row r="141" ht="15" hidden="0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  <x:c r="AA141" s="69"/>
      <x:c r="AB141" s="69"/>
      <x:c r="AC141" s="69"/>
      <x:c r="AD141" s="69"/>
      <x:c r="AE141" s="69"/>
      <x:c r="AF141" s="69"/>
      <x:c r="AG141" s="69"/>
      <x:c r="AH141" s="69"/>
      <x:c r="AI141" s="69"/>
      <x:c r="AJ141" s="69"/>
      <x:c r="AK141" s="69"/>
      <x:c r="AL141" s="69"/>
      <x:c r="AM141" s="69"/>
      <x:c r="AN141" s="69"/>
      <x:c r="AO141" s="69"/>
      <x:c r="AP141" s="69"/>
      <x:c r="AQ141" s="69"/>
      <x:c r="AR141" s="69"/>
      <x:c r="AS141" s="69"/>
      <x:c r="AT141" s="69"/>
      <x:c r="AU141" s="69"/>
      <x:c r="AV141" s="69"/>
      <x:c r="AW141" s="69"/>
      <x:c r="AX141" s="69"/>
      <x:c r="AY141" s="69"/>
      <x:c r="AZ141" s="69"/>
    </x:row>
    <x:row r="142" ht="15" hidden="0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  <x:c r="AA142" s="69"/>
      <x:c r="AB142" s="69"/>
      <x:c r="AC142" s="69"/>
      <x:c r="AD142" s="69"/>
      <x:c r="AE142" s="69"/>
      <x:c r="AF142" s="69"/>
      <x:c r="AG142" s="69"/>
      <x:c r="AH142" s="69"/>
      <x:c r="AI142" s="69"/>
      <x:c r="AJ142" s="69"/>
      <x:c r="AK142" s="69"/>
      <x:c r="AL142" s="69"/>
      <x:c r="AM142" s="69"/>
      <x:c r="AN142" s="69"/>
      <x:c r="AO142" s="69"/>
      <x:c r="AP142" s="69"/>
      <x:c r="AQ142" s="69"/>
      <x:c r="AR142" s="69"/>
      <x:c r="AS142" s="69"/>
      <x:c r="AT142" s="69"/>
      <x:c r="AU142" s="69"/>
      <x:c r="AV142" s="69"/>
      <x:c r="AW142" s="69"/>
      <x:c r="AX142" s="69"/>
      <x:c r="AY142" s="69"/>
      <x:c r="AZ142" s="69"/>
    </x:row>
    <x:row r="143" ht="15" hidden="0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  <x:c r="AA143" s="69"/>
      <x:c r="AB143" s="69"/>
      <x:c r="AC143" s="69"/>
      <x:c r="AD143" s="69"/>
      <x:c r="AE143" s="69"/>
      <x:c r="AF143" s="69"/>
      <x:c r="AG143" s="69"/>
      <x:c r="AH143" s="69"/>
      <x:c r="AI143" s="69"/>
      <x:c r="AJ143" s="69"/>
      <x:c r="AK143" s="69"/>
      <x:c r="AL143" s="69"/>
      <x:c r="AM143" s="69"/>
      <x:c r="AN143" s="69"/>
      <x:c r="AO143" s="69"/>
      <x:c r="AP143" s="69"/>
      <x:c r="AQ143" s="69"/>
      <x:c r="AR143" s="69"/>
      <x:c r="AS143" s="69"/>
      <x:c r="AT143" s="69"/>
      <x:c r="AU143" s="69"/>
      <x:c r="AV143" s="69"/>
      <x:c r="AW143" s="69"/>
      <x:c r="AX143" s="69"/>
      <x:c r="AY143" s="69"/>
      <x:c r="AZ143" s="69"/>
    </x:row>
    <x:row r="144" ht="15" hidden="0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  <x:c r="AA144" s="69"/>
      <x:c r="AB144" s="69"/>
      <x:c r="AC144" s="69"/>
      <x:c r="AD144" s="69"/>
      <x:c r="AE144" s="69"/>
      <x:c r="AF144" s="69"/>
      <x:c r="AG144" s="69"/>
      <x:c r="AH144" s="69"/>
      <x:c r="AI144" s="69"/>
      <x:c r="AJ144" s="69"/>
      <x:c r="AK144" s="69"/>
      <x:c r="AL144" s="69"/>
      <x:c r="AM144" s="69"/>
      <x:c r="AN144" s="69"/>
      <x:c r="AO144" s="69"/>
      <x:c r="AP144" s="69"/>
      <x:c r="AQ144" s="69"/>
      <x:c r="AR144" s="69"/>
      <x:c r="AS144" s="69"/>
      <x:c r="AT144" s="69"/>
      <x:c r="AU144" s="69"/>
      <x:c r="AV144" s="69"/>
      <x:c r="AW144" s="69"/>
      <x:c r="AX144" s="69"/>
      <x:c r="AY144" s="69"/>
      <x:c r="AZ144" s="69"/>
    </x:row>
    <x:row r="145" ht="15" hidden="0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  <x:c r="AA145" s="69"/>
      <x:c r="AB145" s="69"/>
      <x:c r="AC145" s="69"/>
      <x:c r="AD145" s="69"/>
      <x:c r="AE145" s="69"/>
      <x:c r="AF145" s="69"/>
      <x:c r="AG145" s="69"/>
      <x:c r="AH145" s="69"/>
      <x:c r="AI145" s="69"/>
      <x:c r="AJ145" s="69"/>
      <x:c r="AK145" s="69"/>
      <x:c r="AL145" s="69"/>
      <x:c r="AM145" s="69"/>
      <x:c r="AN145" s="69"/>
      <x:c r="AO145" s="69"/>
      <x:c r="AP145" s="69"/>
      <x:c r="AQ145" s="69"/>
      <x:c r="AR145" s="69"/>
      <x:c r="AS145" s="69"/>
      <x:c r="AT145" s="69"/>
      <x:c r="AU145" s="69"/>
      <x:c r="AV145" s="69"/>
      <x:c r="AW145" s="69"/>
      <x:c r="AX145" s="69"/>
      <x:c r="AY145" s="69"/>
      <x:c r="AZ145" s="69"/>
    </x:row>
    <x:row r="146" ht="15" hidden="0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  <x:c r="AA146" s="69"/>
      <x:c r="AB146" s="69"/>
      <x:c r="AC146" s="69"/>
      <x:c r="AD146" s="69"/>
      <x:c r="AE146" s="69"/>
      <x:c r="AF146" s="69"/>
      <x:c r="AG146" s="69"/>
      <x:c r="AH146" s="69"/>
      <x:c r="AI146" s="69"/>
      <x:c r="AJ146" s="69"/>
      <x:c r="AK146" s="69"/>
      <x:c r="AL146" s="69"/>
      <x:c r="AM146" s="69"/>
      <x:c r="AN146" s="69"/>
      <x:c r="AO146" s="69"/>
      <x:c r="AP146" s="69"/>
      <x:c r="AQ146" s="69"/>
      <x:c r="AR146" s="69"/>
      <x:c r="AS146" s="69"/>
      <x:c r="AT146" s="69"/>
      <x:c r="AU146" s="69"/>
      <x:c r="AV146" s="69"/>
      <x:c r="AW146" s="69"/>
      <x:c r="AX146" s="69"/>
      <x:c r="AY146" s="69"/>
      <x:c r="AZ146" s="69"/>
    </x:row>
    <x:row r="147" ht="15" hidden="0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  <x:c r="AA147" s="69"/>
      <x:c r="AB147" s="69"/>
      <x:c r="AC147" s="69"/>
      <x:c r="AD147" s="69"/>
      <x:c r="AE147" s="69"/>
      <x:c r="AF147" s="69"/>
      <x:c r="AG147" s="69"/>
      <x:c r="AH147" s="69"/>
      <x:c r="AI147" s="69"/>
      <x:c r="AJ147" s="69"/>
      <x:c r="AK147" s="69"/>
      <x:c r="AL147" s="69"/>
      <x:c r="AM147" s="69"/>
      <x:c r="AN147" s="69"/>
      <x:c r="AO147" s="69"/>
      <x:c r="AP147" s="69"/>
      <x:c r="AQ147" s="69"/>
      <x:c r="AR147" s="69"/>
      <x:c r="AS147" s="69"/>
      <x:c r="AT147" s="69"/>
      <x:c r="AU147" s="69"/>
      <x:c r="AV147" s="69"/>
      <x:c r="AW147" s="69"/>
      <x:c r="AX147" s="69"/>
      <x:c r="AY147" s="69"/>
      <x:c r="AZ147" s="69"/>
    </x:row>
    <x:row r="148" ht="15" hidden="0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  <x:c r="AA148" s="69"/>
      <x:c r="AB148" s="69"/>
      <x:c r="AC148" s="69"/>
      <x:c r="AD148" s="69"/>
      <x:c r="AE148" s="69"/>
      <x:c r="AF148" s="69"/>
      <x:c r="AG148" s="69"/>
      <x:c r="AH148" s="69"/>
      <x:c r="AI148" s="69"/>
      <x:c r="AJ148" s="69"/>
      <x:c r="AK148" s="69"/>
      <x:c r="AL148" s="69"/>
      <x:c r="AM148" s="69"/>
      <x:c r="AN148" s="69"/>
      <x:c r="AO148" s="69"/>
      <x:c r="AP148" s="69"/>
      <x:c r="AQ148" s="69"/>
      <x:c r="AR148" s="69"/>
      <x:c r="AS148" s="69"/>
      <x:c r="AT148" s="69"/>
      <x:c r="AU148" s="69"/>
      <x:c r="AV148" s="69"/>
      <x:c r="AW148" s="69"/>
      <x:c r="AX148" s="69"/>
      <x:c r="AY148" s="69"/>
      <x:c r="AZ148" s="69"/>
    </x:row>
    <x:row r="149" ht="15" hidden="0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  <x:c r="AD149" s="69"/>
      <x:c r="AE149" s="69"/>
      <x:c r="AF149" s="69"/>
      <x:c r="AG149" s="69"/>
      <x:c r="AH149" s="69"/>
      <x:c r="AI149" s="69"/>
      <x:c r="AJ149" s="69"/>
      <x:c r="AK149" s="69"/>
      <x:c r="AL149" s="69"/>
      <x:c r="AM149" s="69"/>
      <x:c r="AN149" s="69"/>
      <x:c r="AO149" s="69"/>
      <x:c r="AP149" s="69"/>
      <x:c r="AQ149" s="69"/>
      <x:c r="AR149" s="69"/>
      <x:c r="AS149" s="69"/>
      <x:c r="AT149" s="69"/>
      <x:c r="AU149" s="69"/>
      <x:c r="AV149" s="69"/>
      <x:c r="AW149" s="69"/>
      <x:c r="AX149" s="69"/>
      <x:c r="AY149" s="69"/>
      <x:c r="AZ149" s="69"/>
    </x:row>
    <x:row r="150" ht="15" hidden="0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  <x:c r="AA150" s="69"/>
      <x:c r="AB150" s="69"/>
      <x:c r="AC150" s="69"/>
      <x:c r="AD150" s="69"/>
      <x:c r="AE150" s="69"/>
      <x:c r="AF150" s="69"/>
      <x:c r="AG150" s="69"/>
      <x:c r="AH150" s="69"/>
      <x:c r="AI150" s="69"/>
      <x:c r="AJ150" s="69"/>
      <x:c r="AK150" s="69"/>
      <x:c r="AL150" s="69"/>
      <x:c r="AM150" s="69"/>
      <x:c r="AN150" s="69"/>
      <x:c r="AO150" s="69"/>
      <x:c r="AP150" s="69"/>
      <x:c r="AQ150" s="69"/>
      <x:c r="AR150" s="69"/>
      <x:c r="AS150" s="69"/>
      <x:c r="AT150" s="69"/>
      <x:c r="AU150" s="69"/>
      <x:c r="AV150" s="69"/>
      <x:c r="AW150" s="69"/>
      <x:c r="AX150" s="69"/>
      <x:c r="AY150" s="69"/>
      <x:c r="AZ150" s="69"/>
    </x:row>
    <x:row r="151" ht="15" hidden="0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  <x:c r="AA151" s="69"/>
      <x:c r="AB151" s="69"/>
      <x:c r="AC151" s="69"/>
      <x:c r="AD151" s="69"/>
      <x:c r="AE151" s="69"/>
      <x:c r="AF151" s="69"/>
      <x:c r="AG151" s="69"/>
      <x:c r="AH151" s="69"/>
      <x:c r="AI151" s="69"/>
      <x:c r="AJ151" s="69"/>
      <x:c r="AK151" s="69"/>
      <x:c r="AL151" s="69"/>
      <x:c r="AM151" s="69"/>
      <x:c r="AN151" s="69"/>
      <x:c r="AO151" s="69"/>
      <x:c r="AP151" s="69"/>
      <x:c r="AQ151" s="69"/>
      <x:c r="AR151" s="69"/>
      <x:c r="AS151" s="69"/>
      <x:c r="AT151" s="69"/>
      <x:c r="AU151" s="69"/>
      <x:c r="AV151" s="69"/>
      <x:c r="AW151" s="69"/>
      <x:c r="AX151" s="69"/>
      <x:c r="AY151" s="69"/>
      <x:c r="AZ151" s="69"/>
    </x:row>
    <x:row r="152" ht="15" hidden="0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  <x:c r="AA152" s="69"/>
      <x:c r="AB152" s="69"/>
      <x:c r="AC152" s="69"/>
      <x:c r="AD152" s="69"/>
      <x:c r="AE152" s="69"/>
      <x:c r="AF152" s="69"/>
      <x:c r="AG152" s="69"/>
      <x:c r="AH152" s="69"/>
      <x:c r="AI152" s="69"/>
      <x:c r="AJ152" s="69"/>
      <x:c r="AK152" s="69"/>
      <x:c r="AL152" s="69"/>
      <x:c r="AM152" s="69"/>
      <x:c r="AN152" s="69"/>
      <x:c r="AO152" s="69"/>
      <x:c r="AP152" s="69"/>
      <x:c r="AQ152" s="69"/>
      <x:c r="AR152" s="69"/>
      <x:c r="AS152" s="69"/>
      <x:c r="AT152" s="69"/>
      <x:c r="AU152" s="69"/>
      <x:c r="AV152" s="69"/>
      <x:c r="AW152" s="69"/>
      <x:c r="AX152" s="69"/>
      <x:c r="AY152" s="69"/>
      <x:c r="AZ152" s="69"/>
    </x:row>
    <x:row r="153" ht="15" hidden="0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  <x:c r="AA153" s="69"/>
      <x:c r="AB153" s="69"/>
      <x:c r="AC153" s="69"/>
      <x:c r="AD153" s="69"/>
      <x:c r="AE153" s="69"/>
      <x:c r="AF153" s="69"/>
      <x:c r="AG153" s="69"/>
      <x:c r="AH153" s="69"/>
      <x:c r="AI153" s="69"/>
      <x:c r="AJ153" s="69"/>
      <x:c r="AK153" s="69"/>
      <x:c r="AL153" s="69"/>
      <x:c r="AM153" s="69"/>
      <x:c r="AN153" s="69"/>
      <x:c r="AO153" s="69"/>
      <x:c r="AP153" s="69"/>
      <x:c r="AQ153" s="69"/>
      <x:c r="AR153" s="69"/>
      <x:c r="AS153" s="69"/>
      <x:c r="AT153" s="69"/>
      <x:c r="AU153" s="69"/>
      <x:c r="AV153" s="69"/>
      <x:c r="AW153" s="69"/>
      <x:c r="AX153" s="69"/>
      <x:c r="AY153" s="69"/>
      <x:c r="AZ153" s="69"/>
    </x:row>
    <x:row r="154" ht="15" hidden="0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  <x:c r="AA154" s="69"/>
      <x:c r="AB154" s="69"/>
      <x:c r="AC154" s="69"/>
      <x:c r="AD154" s="69"/>
      <x:c r="AE154" s="69"/>
      <x:c r="AF154" s="69"/>
      <x:c r="AG154" s="69"/>
      <x:c r="AH154" s="69"/>
      <x:c r="AI154" s="69"/>
      <x:c r="AJ154" s="69"/>
      <x:c r="AK154" s="69"/>
      <x:c r="AL154" s="69"/>
      <x:c r="AM154" s="69"/>
      <x:c r="AN154" s="69"/>
      <x:c r="AO154" s="69"/>
      <x:c r="AP154" s="69"/>
      <x:c r="AQ154" s="69"/>
      <x:c r="AR154" s="69"/>
      <x:c r="AS154" s="69"/>
      <x:c r="AT154" s="69"/>
      <x:c r="AU154" s="69"/>
      <x:c r="AV154" s="69"/>
      <x:c r="AW154" s="69"/>
      <x:c r="AX154" s="69"/>
      <x:c r="AY154" s="69"/>
      <x:c r="AZ154" s="69"/>
    </x:row>
    <x:row r="155" ht="15" hidden="0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  <x:c r="AA155" s="69"/>
      <x:c r="AB155" s="69"/>
      <x:c r="AC155" s="69"/>
      <x:c r="AD155" s="69"/>
      <x:c r="AE155" s="69"/>
      <x:c r="AF155" s="69"/>
      <x:c r="AG155" s="69"/>
      <x:c r="AH155" s="69"/>
      <x:c r="AI155" s="69"/>
      <x:c r="AJ155" s="69"/>
      <x:c r="AK155" s="69"/>
      <x:c r="AL155" s="69"/>
      <x:c r="AM155" s="69"/>
      <x:c r="AN155" s="69"/>
      <x:c r="AO155" s="69"/>
      <x:c r="AP155" s="69"/>
      <x:c r="AQ155" s="69"/>
      <x:c r="AR155" s="69"/>
      <x:c r="AS155" s="69"/>
      <x:c r="AT155" s="69"/>
      <x:c r="AU155" s="69"/>
      <x:c r="AV155" s="69"/>
      <x:c r="AW155" s="69"/>
      <x:c r="AX155" s="69"/>
      <x:c r="AY155" s="69"/>
      <x:c r="AZ155" s="69"/>
    </x:row>
    <x:row r="156" ht="15" hidden="0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  <x:c r="AA156" s="69"/>
      <x:c r="AB156" s="69"/>
      <x:c r="AC156" s="69"/>
      <x:c r="AD156" s="69"/>
      <x:c r="AE156" s="69"/>
      <x:c r="AF156" s="69"/>
      <x:c r="AG156" s="69"/>
      <x:c r="AH156" s="69"/>
      <x:c r="AI156" s="69"/>
      <x:c r="AJ156" s="69"/>
      <x:c r="AK156" s="69"/>
      <x:c r="AL156" s="69"/>
      <x:c r="AM156" s="69"/>
      <x:c r="AN156" s="69"/>
      <x:c r="AO156" s="69"/>
      <x:c r="AP156" s="69"/>
      <x:c r="AQ156" s="69"/>
      <x:c r="AR156" s="69"/>
      <x:c r="AS156" s="69"/>
      <x:c r="AT156" s="69"/>
      <x:c r="AU156" s="69"/>
      <x:c r="AV156" s="69"/>
      <x:c r="AW156" s="69"/>
      <x:c r="AX156" s="69"/>
      <x:c r="AY156" s="69"/>
      <x:c r="AZ156" s="69"/>
    </x:row>
    <x:row r="157" ht="15" hidden="0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  <x:c r="AA157" s="69"/>
      <x:c r="AB157" s="69"/>
      <x:c r="AC157" s="69"/>
      <x:c r="AD157" s="69"/>
      <x:c r="AE157" s="69"/>
      <x:c r="AF157" s="69"/>
      <x:c r="AG157" s="69"/>
      <x:c r="AH157" s="69"/>
      <x:c r="AI157" s="69"/>
      <x:c r="AJ157" s="69"/>
      <x:c r="AK157" s="69"/>
      <x:c r="AL157" s="69"/>
      <x:c r="AM157" s="69"/>
      <x:c r="AN157" s="69"/>
      <x:c r="AO157" s="69"/>
      <x:c r="AP157" s="69"/>
      <x:c r="AQ157" s="69"/>
      <x:c r="AR157" s="69"/>
      <x:c r="AS157" s="69"/>
      <x:c r="AT157" s="69"/>
      <x:c r="AU157" s="69"/>
      <x:c r="AV157" s="69"/>
      <x:c r="AW157" s="69"/>
      <x:c r="AX157" s="69"/>
      <x:c r="AY157" s="69"/>
      <x:c r="AZ157" s="69"/>
    </x:row>
    <x:row r="158" ht="15" hidden="0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  <x:c r="AA158" s="69"/>
      <x:c r="AB158" s="69"/>
      <x:c r="AC158" s="69"/>
      <x:c r="AD158" s="69"/>
      <x:c r="AE158" s="69"/>
      <x:c r="AF158" s="69"/>
      <x:c r="AG158" s="69"/>
      <x:c r="AH158" s="69"/>
      <x:c r="AI158" s="69"/>
      <x:c r="AJ158" s="69"/>
      <x:c r="AK158" s="69"/>
      <x:c r="AL158" s="69"/>
      <x:c r="AM158" s="69"/>
      <x:c r="AN158" s="69"/>
      <x:c r="AO158" s="69"/>
      <x:c r="AP158" s="69"/>
      <x:c r="AQ158" s="69"/>
      <x:c r="AR158" s="69"/>
      <x:c r="AS158" s="69"/>
      <x:c r="AT158" s="69"/>
      <x:c r="AU158" s="69"/>
      <x:c r="AV158" s="69"/>
      <x:c r="AW158" s="69"/>
      <x:c r="AX158" s="69"/>
      <x:c r="AY158" s="69"/>
      <x:c r="AZ158" s="69"/>
    </x:row>
    <x:row r="159" ht="15" hidden="0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  <x:c r="AA159" s="69"/>
      <x:c r="AB159" s="69"/>
      <x:c r="AC159" s="69"/>
      <x:c r="AD159" s="69"/>
      <x:c r="AE159" s="69"/>
      <x:c r="AF159" s="69"/>
      <x:c r="AG159" s="69"/>
      <x:c r="AH159" s="69"/>
      <x:c r="AI159" s="69"/>
      <x:c r="AJ159" s="69"/>
      <x:c r="AK159" s="69"/>
      <x:c r="AL159" s="69"/>
      <x:c r="AM159" s="69"/>
      <x:c r="AN159" s="69"/>
      <x:c r="AO159" s="69"/>
      <x:c r="AP159" s="69"/>
      <x:c r="AQ159" s="69"/>
      <x:c r="AR159" s="69"/>
      <x:c r="AS159" s="69"/>
      <x:c r="AT159" s="69"/>
      <x:c r="AU159" s="69"/>
      <x:c r="AV159" s="69"/>
      <x:c r="AW159" s="69"/>
      <x:c r="AX159" s="69"/>
      <x:c r="AY159" s="69"/>
      <x:c r="AZ159" s="69"/>
    </x:row>
    <x:row r="160" ht="15" hidden="0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  <x:c r="AA160" s="69"/>
      <x:c r="AB160" s="69"/>
      <x:c r="AC160" s="69"/>
      <x:c r="AD160" s="69"/>
      <x:c r="AE160" s="69"/>
      <x:c r="AF160" s="69"/>
      <x:c r="AG160" s="69"/>
      <x:c r="AH160" s="69"/>
      <x:c r="AI160" s="69"/>
      <x:c r="AJ160" s="69"/>
      <x:c r="AK160" s="69"/>
      <x:c r="AL160" s="69"/>
      <x:c r="AM160" s="69"/>
      <x:c r="AN160" s="69"/>
      <x:c r="AO160" s="69"/>
      <x:c r="AP160" s="69"/>
      <x:c r="AQ160" s="69"/>
      <x:c r="AR160" s="69"/>
      <x:c r="AS160" s="69"/>
      <x:c r="AT160" s="69"/>
      <x:c r="AU160" s="69"/>
      <x:c r="AV160" s="69"/>
      <x:c r="AW160" s="69"/>
      <x:c r="AX160" s="69"/>
      <x:c r="AY160" s="69"/>
      <x:c r="AZ160" s="69"/>
    </x:row>
    <x:row r="161" ht="15" hidden="0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  <x:c r="AD161" s="69"/>
      <x:c r="AE161" s="69"/>
      <x:c r="AF161" s="69"/>
      <x:c r="AG161" s="69"/>
      <x:c r="AH161" s="69"/>
      <x:c r="AI161" s="69"/>
      <x:c r="AJ161" s="69"/>
      <x:c r="AK161" s="69"/>
      <x:c r="AL161" s="69"/>
      <x:c r="AM161" s="69"/>
      <x:c r="AN161" s="69"/>
      <x:c r="AO161" s="69"/>
      <x:c r="AP161" s="69"/>
      <x:c r="AQ161" s="69"/>
      <x:c r="AR161" s="69"/>
      <x:c r="AS161" s="69"/>
      <x:c r="AT161" s="69"/>
      <x:c r="AU161" s="69"/>
      <x:c r="AV161" s="69"/>
      <x:c r="AW161" s="69"/>
      <x:c r="AX161" s="69"/>
      <x:c r="AY161" s="69"/>
      <x:c r="AZ161" s="69"/>
    </x:row>
    <x:row r="162" ht="15" hidden="0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  <x:c r="AD162" s="69"/>
      <x:c r="AE162" s="69"/>
      <x:c r="AF162" s="69"/>
      <x:c r="AG162" s="69"/>
      <x:c r="AH162" s="69"/>
      <x:c r="AI162" s="69"/>
      <x:c r="AJ162" s="69"/>
      <x:c r="AK162" s="69"/>
      <x:c r="AL162" s="69"/>
      <x:c r="AM162" s="69"/>
      <x:c r="AN162" s="69"/>
      <x:c r="AO162" s="69"/>
      <x:c r="AP162" s="69"/>
      <x:c r="AQ162" s="69"/>
      <x:c r="AR162" s="69"/>
      <x:c r="AS162" s="69"/>
      <x:c r="AT162" s="69"/>
      <x:c r="AU162" s="69"/>
      <x:c r="AV162" s="69"/>
      <x:c r="AW162" s="69"/>
      <x:c r="AX162" s="69"/>
      <x:c r="AY162" s="69"/>
      <x:c r="AZ162" s="69"/>
    </x:row>
    <x:row r="163" ht="15" hidden="0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  <x:c r="AD163" s="69"/>
      <x:c r="AE163" s="69"/>
      <x:c r="AF163" s="69"/>
      <x:c r="AG163" s="69"/>
      <x:c r="AH163" s="69"/>
      <x:c r="AI163" s="69"/>
      <x:c r="AJ163" s="69"/>
      <x:c r="AK163" s="69"/>
      <x:c r="AL163" s="69"/>
      <x:c r="AM163" s="69"/>
      <x:c r="AN163" s="69"/>
      <x:c r="AO163" s="69"/>
      <x:c r="AP163" s="69"/>
      <x:c r="AQ163" s="69"/>
      <x:c r="AR163" s="69"/>
      <x:c r="AS163" s="69"/>
      <x:c r="AT163" s="69"/>
      <x:c r="AU163" s="69"/>
      <x:c r="AV163" s="69"/>
      <x:c r="AW163" s="69"/>
      <x:c r="AX163" s="69"/>
      <x:c r="AY163" s="69"/>
      <x:c r="AZ163" s="69"/>
    </x:row>
    <x:row r="164" ht="15" hidden="0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  <x:c r="AD164" s="69"/>
      <x:c r="AE164" s="69"/>
      <x:c r="AF164" s="69"/>
      <x:c r="AG164" s="69"/>
      <x:c r="AH164" s="69"/>
      <x:c r="AI164" s="69"/>
      <x:c r="AJ164" s="69"/>
      <x:c r="AK164" s="69"/>
      <x:c r="AL164" s="69"/>
      <x:c r="AM164" s="69"/>
      <x:c r="AN164" s="69"/>
      <x:c r="AO164" s="69"/>
      <x:c r="AP164" s="69"/>
      <x:c r="AQ164" s="69"/>
      <x:c r="AR164" s="69"/>
      <x:c r="AS164" s="69"/>
      <x:c r="AT164" s="69"/>
      <x:c r="AU164" s="69"/>
      <x:c r="AV164" s="69"/>
      <x:c r="AW164" s="69"/>
      <x:c r="AX164" s="69"/>
      <x:c r="AY164" s="69"/>
      <x:c r="AZ164" s="69"/>
    </x:row>
    <x:row r="165" ht="15" hidden="0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  <x:c r="AD165" s="69"/>
      <x:c r="AE165" s="69"/>
      <x:c r="AF165" s="69"/>
      <x:c r="AG165" s="69"/>
      <x:c r="AH165" s="69"/>
      <x:c r="AI165" s="69"/>
      <x:c r="AJ165" s="69"/>
      <x:c r="AK165" s="69"/>
      <x:c r="AL165" s="69"/>
      <x:c r="AM165" s="69"/>
      <x:c r="AN165" s="69"/>
      <x:c r="AO165" s="69"/>
      <x:c r="AP165" s="69"/>
      <x:c r="AQ165" s="69"/>
      <x:c r="AR165" s="69"/>
      <x:c r="AS165" s="69"/>
      <x:c r="AT165" s="69"/>
      <x:c r="AU165" s="69"/>
      <x:c r="AV165" s="69"/>
      <x:c r="AW165" s="69"/>
      <x:c r="AX165" s="69"/>
      <x:c r="AY165" s="69"/>
      <x:c r="AZ165" s="69"/>
    </x:row>
    <x:row r="166" ht="15" hidden="0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  <x:c r="AD166" s="69"/>
      <x:c r="AE166" s="69"/>
      <x:c r="AF166" s="69"/>
      <x:c r="AG166" s="69"/>
      <x:c r="AH166" s="69"/>
      <x:c r="AI166" s="69"/>
      <x:c r="AJ166" s="69"/>
      <x:c r="AK166" s="69"/>
      <x:c r="AL166" s="69"/>
      <x:c r="AM166" s="69"/>
      <x:c r="AN166" s="69"/>
      <x:c r="AO166" s="69"/>
      <x:c r="AP166" s="69"/>
      <x:c r="AQ166" s="69"/>
      <x:c r="AR166" s="69"/>
      <x:c r="AS166" s="69"/>
      <x:c r="AT166" s="69"/>
      <x:c r="AU166" s="69"/>
      <x:c r="AV166" s="69"/>
      <x:c r="AW166" s="69"/>
      <x:c r="AX166" s="69"/>
      <x:c r="AY166" s="69"/>
      <x:c r="AZ166" s="69"/>
    </x:row>
    <x:row r="167" ht="15" hidden="0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  <x:c r="AD167" s="69"/>
      <x:c r="AE167" s="69"/>
      <x:c r="AF167" s="69"/>
      <x:c r="AG167" s="69"/>
      <x:c r="AH167" s="69"/>
      <x:c r="AI167" s="69"/>
      <x:c r="AJ167" s="69"/>
      <x:c r="AK167" s="69"/>
      <x:c r="AL167" s="69"/>
      <x:c r="AM167" s="69"/>
      <x:c r="AN167" s="69"/>
      <x:c r="AO167" s="69"/>
      <x:c r="AP167" s="69"/>
      <x:c r="AQ167" s="69"/>
      <x:c r="AR167" s="69"/>
      <x:c r="AS167" s="69"/>
      <x:c r="AT167" s="69"/>
      <x:c r="AU167" s="69"/>
      <x:c r="AV167" s="69"/>
      <x:c r="AW167" s="69"/>
      <x:c r="AX167" s="69"/>
      <x:c r="AY167" s="69"/>
      <x:c r="AZ167" s="69"/>
    </x:row>
    <x:row r="168" ht="15" hidden="0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  <x:c r="AD168" s="69"/>
      <x:c r="AE168" s="69"/>
      <x:c r="AF168" s="69"/>
      <x:c r="AG168" s="69"/>
      <x:c r="AH168" s="69"/>
      <x:c r="AI168" s="69"/>
      <x:c r="AJ168" s="69"/>
      <x:c r="AK168" s="69"/>
      <x:c r="AL168" s="69"/>
      <x:c r="AM168" s="69"/>
      <x:c r="AN168" s="69"/>
      <x:c r="AO168" s="69"/>
      <x:c r="AP168" s="69"/>
      <x:c r="AQ168" s="69"/>
      <x:c r="AR168" s="69"/>
      <x:c r="AS168" s="69"/>
      <x:c r="AT168" s="69"/>
      <x:c r="AU168" s="69"/>
      <x:c r="AV168" s="69"/>
      <x:c r="AW168" s="69"/>
      <x:c r="AX168" s="69"/>
      <x:c r="AY168" s="69"/>
      <x:c r="AZ168" s="69"/>
    </x:row>
    <x:row r="169" ht="15" hidden="0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  <x:c r="AD169" s="69"/>
      <x:c r="AE169" s="69"/>
      <x:c r="AF169" s="69"/>
      <x:c r="AG169" s="69"/>
      <x:c r="AH169" s="69"/>
      <x:c r="AI169" s="69"/>
      <x:c r="AJ169" s="69"/>
      <x:c r="AK169" s="69"/>
      <x:c r="AL169" s="69"/>
      <x:c r="AM169" s="69"/>
      <x:c r="AN169" s="69"/>
      <x:c r="AO169" s="69"/>
      <x:c r="AP169" s="69"/>
      <x:c r="AQ169" s="69"/>
      <x:c r="AR169" s="69"/>
      <x:c r="AS169" s="69"/>
      <x:c r="AT169" s="69"/>
      <x:c r="AU169" s="69"/>
      <x:c r="AV169" s="69"/>
      <x:c r="AW169" s="69"/>
      <x:c r="AX169" s="69"/>
      <x:c r="AY169" s="69"/>
      <x:c r="AZ169" s="69"/>
    </x:row>
    <x:row r="170" ht="15" hidden="0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  <x:c r="AD170" s="69"/>
      <x:c r="AE170" s="69"/>
      <x:c r="AF170" s="69"/>
      <x:c r="AG170" s="69"/>
      <x:c r="AH170" s="69"/>
      <x:c r="AI170" s="69"/>
      <x:c r="AJ170" s="69"/>
      <x:c r="AK170" s="69"/>
      <x:c r="AL170" s="69"/>
      <x:c r="AM170" s="69"/>
      <x:c r="AN170" s="69"/>
      <x:c r="AO170" s="69"/>
      <x:c r="AP170" s="69"/>
      <x:c r="AQ170" s="69"/>
      <x:c r="AR170" s="69"/>
      <x:c r="AS170" s="69"/>
      <x:c r="AT170" s="69"/>
      <x:c r="AU170" s="69"/>
      <x:c r="AV170" s="69"/>
      <x:c r="AW170" s="69"/>
      <x:c r="AX170" s="69"/>
      <x:c r="AY170" s="69"/>
      <x:c r="AZ170" s="69"/>
    </x:row>
    <x:row r="171" ht="15" hidden="0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  <x:c r="AD171" s="69"/>
      <x:c r="AE171" s="69"/>
      <x:c r="AF171" s="69"/>
      <x:c r="AG171" s="69"/>
      <x:c r="AH171" s="69"/>
      <x:c r="AI171" s="69"/>
      <x:c r="AJ171" s="69"/>
      <x:c r="AK171" s="69"/>
      <x:c r="AL171" s="69"/>
      <x:c r="AM171" s="69"/>
      <x:c r="AN171" s="69"/>
      <x:c r="AO171" s="69"/>
      <x:c r="AP171" s="69"/>
      <x:c r="AQ171" s="69"/>
      <x:c r="AR171" s="69"/>
      <x:c r="AS171" s="69"/>
      <x:c r="AT171" s="69"/>
      <x:c r="AU171" s="69"/>
      <x:c r="AV171" s="69"/>
      <x:c r="AW171" s="69"/>
      <x:c r="AX171" s="69"/>
      <x:c r="AY171" s="69"/>
      <x:c r="AZ171" s="69"/>
    </x:row>
    <x:row r="172" ht="15" hidden="0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  <x:c r="AD172" s="69"/>
      <x:c r="AE172" s="69"/>
      <x:c r="AF172" s="69"/>
      <x:c r="AG172" s="69"/>
      <x:c r="AH172" s="69"/>
      <x:c r="AI172" s="69"/>
      <x:c r="AJ172" s="69"/>
      <x:c r="AK172" s="69"/>
      <x:c r="AL172" s="69"/>
      <x:c r="AM172" s="69"/>
      <x:c r="AN172" s="69"/>
      <x:c r="AO172" s="69"/>
      <x:c r="AP172" s="69"/>
      <x:c r="AQ172" s="69"/>
      <x:c r="AR172" s="69"/>
      <x:c r="AS172" s="69"/>
      <x:c r="AT172" s="69"/>
      <x:c r="AU172" s="69"/>
      <x:c r="AV172" s="69"/>
      <x:c r="AW172" s="69"/>
      <x:c r="AX172" s="69"/>
      <x:c r="AY172" s="69"/>
      <x:c r="AZ172" s="69"/>
    </x:row>
    <x:row r="173" ht="15" hidden="0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  <x:c r="AA173" s="69"/>
      <x:c r="AB173" s="69"/>
      <x:c r="AC173" s="69"/>
      <x:c r="AD173" s="69"/>
      <x:c r="AE173" s="69"/>
      <x:c r="AF173" s="69"/>
      <x:c r="AG173" s="69"/>
      <x:c r="AH173" s="69"/>
      <x:c r="AI173" s="69"/>
      <x:c r="AJ173" s="69"/>
      <x:c r="AK173" s="69"/>
      <x:c r="AL173" s="69"/>
      <x:c r="AM173" s="69"/>
      <x:c r="AN173" s="69"/>
      <x:c r="AO173" s="69"/>
      <x:c r="AP173" s="69"/>
      <x:c r="AQ173" s="69"/>
      <x:c r="AR173" s="69"/>
      <x:c r="AS173" s="69"/>
      <x:c r="AT173" s="69"/>
      <x:c r="AU173" s="69"/>
      <x:c r="AV173" s="69"/>
      <x:c r="AW173" s="69"/>
      <x:c r="AX173" s="69"/>
      <x:c r="AY173" s="69"/>
      <x:c r="AZ173" s="69"/>
    </x:row>
    <x:row r="174" ht="15" hidden="0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  <x:c r="AA174" s="69"/>
      <x:c r="AB174" s="69"/>
      <x:c r="AC174" s="69"/>
      <x:c r="AD174" s="69"/>
      <x:c r="AE174" s="69"/>
      <x:c r="AF174" s="69"/>
      <x:c r="AG174" s="69"/>
      <x:c r="AH174" s="69"/>
      <x:c r="AI174" s="69"/>
      <x:c r="AJ174" s="69"/>
      <x:c r="AK174" s="69"/>
      <x:c r="AL174" s="69"/>
      <x:c r="AM174" s="69"/>
      <x:c r="AN174" s="69"/>
      <x:c r="AO174" s="69"/>
      <x:c r="AP174" s="69"/>
      <x:c r="AQ174" s="69"/>
      <x:c r="AR174" s="69"/>
      <x:c r="AS174" s="69"/>
      <x:c r="AT174" s="69"/>
      <x:c r="AU174" s="69"/>
      <x:c r="AV174" s="69"/>
      <x:c r="AW174" s="69"/>
      <x:c r="AX174" s="69"/>
      <x:c r="AY174" s="69"/>
      <x:c r="AZ174" s="69"/>
    </x:row>
    <x:row r="175" ht="15" hidden="0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  <x:c r="AA175" s="69"/>
      <x:c r="AB175" s="69"/>
      <x:c r="AC175" s="69"/>
      <x:c r="AD175" s="69"/>
      <x:c r="AE175" s="69"/>
      <x:c r="AF175" s="69"/>
      <x:c r="AG175" s="69"/>
      <x:c r="AH175" s="69"/>
      <x:c r="AI175" s="69"/>
      <x:c r="AJ175" s="69"/>
      <x:c r="AK175" s="69"/>
      <x:c r="AL175" s="69"/>
      <x:c r="AM175" s="69"/>
      <x:c r="AN175" s="69"/>
      <x:c r="AO175" s="69"/>
      <x:c r="AP175" s="69"/>
      <x:c r="AQ175" s="69"/>
      <x:c r="AR175" s="69"/>
      <x:c r="AS175" s="69"/>
      <x:c r="AT175" s="69"/>
      <x:c r="AU175" s="69"/>
      <x:c r="AV175" s="69"/>
      <x:c r="AW175" s="69"/>
      <x:c r="AX175" s="69"/>
      <x:c r="AY175" s="69"/>
      <x:c r="AZ175" s="69"/>
    </x:row>
    <x:row r="176" ht="15" hidden="0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  <x:c r="AA176" s="69"/>
      <x:c r="AB176" s="69"/>
      <x:c r="AC176" s="69"/>
      <x:c r="AD176" s="69"/>
      <x:c r="AE176" s="69"/>
      <x:c r="AF176" s="69"/>
      <x:c r="AG176" s="69"/>
      <x:c r="AH176" s="69"/>
      <x:c r="AI176" s="69"/>
      <x:c r="AJ176" s="69"/>
      <x:c r="AK176" s="69"/>
      <x:c r="AL176" s="69"/>
      <x:c r="AM176" s="69"/>
      <x:c r="AN176" s="69"/>
      <x:c r="AO176" s="69"/>
      <x:c r="AP176" s="69"/>
      <x:c r="AQ176" s="69"/>
      <x:c r="AR176" s="69"/>
      <x:c r="AS176" s="69"/>
      <x:c r="AT176" s="69"/>
      <x:c r="AU176" s="69"/>
      <x:c r="AV176" s="69"/>
      <x:c r="AW176" s="69"/>
      <x:c r="AX176" s="69"/>
      <x:c r="AY176" s="69"/>
      <x:c r="AZ176" s="69"/>
    </x:row>
    <x:row r="177" ht="15" hidden="0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  <x:c r="AA177" s="69"/>
      <x:c r="AB177" s="69"/>
      <x:c r="AC177" s="69"/>
      <x:c r="AD177" s="69"/>
      <x:c r="AE177" s="69"/>
      <x:c r="AF177" s="69"/>
      <x:c r="AG177" s="69"/>
      <x:c r="AH177" s="69"/>
      <x:c r="AI177" s="69"/>
      <x:c r="AJ177" s="69"/>
      <x:c r="AK177" s="69"/>
      <x:c r="AL177" s="69"/>
      <x:c r="AM177" s="69"/>
      <x:c r="AN177" s="69"/>
      <x:c r="AO177" s="69"/>
      <x:c r="AP177" s="69"/>
      <x:c r="AQ177" s="69"/>
      <x:c r="AR177" s="69"/>
      <x:c r="AS177" s="69"/>
      <x:c r="AT177" s="69"/>
      <x:c r="AU177" s="69"/>
      <x:c r="AV177" s="69"/>
      <x:c r="AW177" s="69"/>
      <x:c r="AX177" s="69"/>
      <x:c r="AY177" s="69"/>
      <x:c r="AZ177" s="69"/>
    </x:row>
    <x:row r="178" ht="15" hidden="0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  <x:c r="AA178" s="69"/>
      <x:c r="AB178" s="69"/>
      <x:c r="AC178" s="69"/>
      <x:c r="AD178" s="69"/>
      <x:c r="AE178" s="69"/>
      <x:c r="AF178" s="69"/>
      <x:c r="AG178" s="69"/>
      <x:c r="AH178" s="69"/>
      <x:c r="AI178" s="69"/>
      <x:c r="AJ178" s="69"/>
      <x:c r="AK178" s="69"/>
      <x:c r="AL178" s="69"/>
      <x:c r="AM178" s="69"/>
      <x:c r="AN178" s="69"/>
      <x:c r="AO178" s="69"/>
      <x:c r="AP178" s="69"/>
      <x:c r="AQ178" s="69"/>
      <x:c r="AR178" s="69"/>
      <x:c r="AS178" s="69"/>
      <x:c r="AT178" s="69"/>
      <x:c r="AU178" s="69"/>
      <x:c r="AV178" s="69"/>
      <x:c r="AW178" s="69"/>
      <x:c r="AX178" s="69"/>
      <x:c r="AY178" s="69"/>
      <x:c r="AZ178" s="69"/>
    </x:row>
    <x:row r="179" ht="15" hidden="0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  <x:c r="AA179" s="69"/>
      <x:c r="AB179" s="69"/>
      <x:c r="AC179" s="69"/>
      <x:c r="AD179" s="69"/>
      <x:c r="AE179" s="69"/>
      <x:c r="AF179" s="69"/>
      <x:c r="AG179" s="69"/>
      <x:c r="AH179" s="69"/>
      <x:c r="AI179" s="69"/>
      <x:c r="AJ179" s="69"/>
      <x:c r="AK179" s="69"/>
      <x:c r="AL179" s="69"/>
      <x:c r="AM179" s="69"/>
      <x:c r="AN179" s="69"/>
      <x:c r="AO179" s="69"/>
      <x:c r="AP179" s="69"/>
      <x:c r="AQ179" s="69"/>
      <x:c r="AR179" s="69"/>
      <x:c r="AS179" s="69"/>
      <x:c r="AT179" s="69"/>
      <x:c r="AU179" s="69"/>
      <x:c r="AV179" s="69"/>
      <x:c r="AW179" s="69"/>
      <x:c r="AX179" s="69"/>
      <x:c r="AY179" s="69"/>
      <x:c r="AZ179" s="69"/>
    </x:row>
    <x:row r="180" ht="15" hidden="0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  <x:c r="AA180" s="69"/>
      <x:c r="AB180" s="69"/>
      <x:c r="AC180" s="69"/>
      <x:c r="AD180" s="69"/>
      <x:c r="AE180" s="69"/>
      <x:c r="AF180" s="69"/>
      <x:c r="AG180" s="69"/>
      <x:c r="AH180" s="69"/>
      <x:c r="AI180" s="69"/>
      <x:c r="AJ180" s="69"/>
      <x:c r="AK180" s="69"/>
      <x:c r="AL180" s="69"/>
      <x:c r="AM180" s="69"/>
      <x:c r="AN180" s="69"/>
      <x:c r="AO180" s="69"/>
      <x:c r="AP180" s="69"/>
      <x:c r="AQ180" s="69"/>
      <x:c r="AR180" s="69"/>
      <x:c r="AS180" s="69"/>
      <x:c r="AT180" s="69"/>
      <x:c r="AU180" s="69"/>
      <x:c r="AV180" s="69"/>
      <x:c r="AW180" s="69"/>
      <x:c r="AX180" s="69"/>
      <x:c r="AY180" s="69"/>
      <x:c r="AZ180" s="69"/>
    </x:row>
    <x:row r="181" ht="15" hidden="0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  <x:c r="AA181" s="69"/>
      <x:c r="AB181" s="69"/>
      <x:c r="AC181" s="69"/>
      <x:c r="AD181" s="69"/>
      <x:c r="AE181" s="69"/>
      <x:c r="AF181" s="69"/>
      <x:c r="AG181" s="69"/>
      <x:c r="AH181" s="69"/>
      <x:c r="AI181" s="69"/>
      <x:c r="AJ181" s="69"/>
      <x:c r="AK181" s="69"/>
      <x:c r="AL181" s="69"/>
      <x:c r="AM181" s="69"/>
      <x:c r="AN181" s="69"/>
      <x:c r="AO181" s="69"/>
      <x:c r="AP181" s="69"/>
      <x:c r="AQ181" s="69"/>
      <x:c r="AR181" s="69"/>
      <x:c r="AS181" s="69"/>
      <x:c r="AT181" s="69"/>
      <x:c r="AU181" s="69"/>
      <x:c r="AV181" s="69"/>
      <x:c r="AW181" s="69"/>
      <x:c r="AX181" s="69"/>
      <x:c r="AY181" s="69"/>
      <x:c r="AZ181" s="69"/>
    </x:row>
    <x:row r="182" ht="15" hidden="0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  <x:c r="AA182" s="69"/>
      <x:c r="AB182" s="69"/>
      <x:c r="AC182" s="69"/>
      <x:c r="AD182" s="69"/>
      <x:c r="AE182" s="69"/>
      <x:c r="AF182" s="69"/>
      <x:c r="AG182" s="69"/>
      <x:c r="AH182" s="69"/>
      <x:c r="AI182" s="69"/>
      <x:c r="AJ182" s="69"/>
      <x:c r="AK182" s="69"/>
      <x:c r="AL182" s="69"/>
      <x:c r="AM182" s="69"/>
      <x:c r="AN182" s="69"/>
      <x:c r="AO182" s="69"/>
      <x:c r="AP182" s="69"/>
      <x:c r="AQ182" s="69"/>
      <x:c r="AR182" s="69"/>
      <x:c r="AS182" s="69"/>
      <x:c r="AT182" s="69"/>
      <x:c r="AU182" s="69"/>
      <x:c r="AV182" s="69"/>
      <x:c r="AW182" s="69"/>
      <x:c r="AX182" s="69"/>
      <x:c r="AY182" s="69"/>
      <x:c r="AZ182" s="69"/>
    </x:row>
    <x:row r="183" ht="15" hidden="0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  <x:c r="AA183" s="69"/>
      <x:c r="AB183" s="69"/>
      <x:c r="AC183" s="69"/>
      <x:c r="AD183" s="69"/>
      <x:c r="AE183" s="69"/>
      <x:c r="AF183" s="69"/>
      <x:c r="AG183" s="69"/>
      <x:c r="AH183" s="69"/>
      <x:c r="AI183" s="69"/>
      <x:c r="AJ183" s="69"/>
      <x:c r="AK183" s="69"/>
      <x:c r="AL183" s="69"/>
      <x:c r="AM183" s="69"/>
      <x:c r="AN183" s="69"/>
      <x:c r="AO183" s="69"/>
      <x:c r="AP183" s="69"/>
      <x:c r="AQ183" s="69"/>
      <x:c r="AR183" s="69"/>
      <x:c r="AS183" s="69"/>
      <x:c r="AT183" s="69"/>
      <x:c r="AU183" s="69"/>
      <x:c r="AV183" s="69"/>
      <x:c r="AW183" s="69"/>
      <x:c r="AX183" s="69"/>
      <x:c r="AY183" s="69"/>
      <x:c r="AZ183" s="69"/>
    </x:row>
    <x:row r="184" ht="15" hidden="0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  <x:c r="AA184" s="69"/>
      <x:c r="AB184" s="69"/>
      <x:c r="AC184" s="69"/>
      <x:c r="AD184" s="69"/>
      <x:c r="AE184" s="69"/>
      <x:c r="AF184" s="69"/>
      <x:c r="AG184" s="69"/>
      <x:c r="AH184" s="69"/>
      <x:c r="AI184" s="69"/>
      <x:c r="AJ184" s="69"/>
      <x:c r="AK184" s="69"/>
      <x:c r="AL184" s="69"/>
      <x:c r="AM184" s="69"/>
      <x:c r="AN184" s="69"/>
      <x:c r="AO184" s="69"/>
      <x:c r="AP184" s="69"/>
      <x:c r="AQ184" s="69"/>
      <x:c r="AR184" s="69"/>
      <x:c r="AS184" s="69"/>
      <x:c r="AT184" s="69"/>
      <x:c r="AU184" s="69"/>
      <x:c r="AV184" s="69"/>
      <x:c r="AW184" s="69"/>
      <x:c r="AX184" s="69"/>
      <x:c r="AY184" s="69"/>
      <x:c r="AZ184" s="69"/>
    </x:row>
    <x:row r="185" ht="15" hidden="0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  <x:c r="AA185" s="69"/>
      <x:c r="AB185" s="69"/>
      <x:c r="AC185" s="69"/>
      <x:c r="AD185" s="69"/>
      <x:c r="AE185" s="69"/>
      <x:c r="AF185" s="69"/>
      <x:c r="AG185" s="69"/>
      <x:c r="AH185" s="69"/>
      <x:c r="AI185" s="69"/>
      <x:c r="AJ185" s="69"/>
      <x:c r="AK185" s="69"/>
      <x:c r="AL185" s="69"/>
      <x:c r="AM185" s="69"/>
      <x:c r="AN185" s="69"/>
      <x:c r="AO185" s="69"/>
      <x:c r="AP185" s="69"/>
      <x:c r="AQ185" s="69"/>
      <x:c r="AR185" s="69"/>
      <x:c r="AS185" s="69"/>
      <x:c r="AT185" s="69"/>
      <x:c r="AU185" s="69"/>
      <x:c r="AV185" s="69"/>
      <x:c r="AW185" s="69"/>
      <x:c r="AX185" s="69"/>
      <x:c r="AY185" s="69"/>
      <x:c r="AZ185" s="69"/>
    </x:row>
    <x:row r="186" ht="15" hidden="0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  <x:c r="AA186" s="69"/>
      <x:c r="AB186" s="69"/>
      <x:c r="AC186" s="69"/>
      <x:c r="AD186" s="69"/>
      <x:c r="AE186" s="69"/>
      <x:c r="AF186" s="69"/>
      <x:c r="AG186" s="69"/>
      <x:c r="AH186" s="69"/>
      <x:c r="AI186" s="69"/>
      <x:c r="AJ186" s="69"/>
      <x:c r="AK186" s="69"/>
      <x:c r="AL186" s="69"/>
      <x:c r="AM186" s="69"/>
      <x:c r="AN186" s="69"/>
      <x:c r="AO186" s="69"/>
      <x:c r="AP186" s="69"/>
      <x:c r="AQ186" s="69"/>
      <x:c r="AR186" s="69"/>
      <x:c r="AS186" s="69"/>
      <x:c r="AT186" s="69"/>
      <x:c r="AU186" s="69"/>
      <x:c r="AV186" s="69"/>
      <x:c r="AW186" s="69"/>
      <x:c r="AX186" s="69"/>
      <x:c r="AY186" s="69"/>
      <x:c r="AZ186" s="69"/>
    </x:row>
    <x:row r="187" ht="15" hidden="0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  <x:c r="AA187" s="69"/>
      <x:c r="AB187" s="69"/>
      <x:c r="AC187" s="69"/>
      <x:c r="AD187" s="69"/>
      <x:c r="AE187" s="69"/>
      <x:c r="AF187" s="69"/>
      <x:c r="AG187" s="69"/>
      <x:c r="AH187" s="69"/>
      <x:c r="AI187" s="69"/>
      <x:c r="AJ187" s="69"/>
      <x:c r="AK187" s="69"/>
      <x:c r="AL187" s="69"/>
      <x:c r="AM187" s="69"/>
      <x:c r="AN187" s="69"/>
      <x:c r="AO187" s="69"/>
      <x:c r="AP187" s="69"/>
      <x:c r="AQ187" s="69"/>
      <x:c r="AR187" s="69"/>
      <x:c r="AS187" s="69"/>
      <x:c r="AT187" s="69"/>
      <x:c r="AU187" s="69"/>
      <x:c r="AV187" s="69"/>
      <x:c r="AW187" s="69"/>
      <x:c r="AX187" s="69"/>
      <x:c r="AY187" s="69"/>
      <x:c r="AZ187" s="69"/>
    </x:row>
    <x:row r="188" ht="15" hidden="0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  <x:c r="AA188" s="69"/>
      <x:c r="AB188" s="69"/>
      <x:c r="AC188" s="69"/>
      <x:c r="AD188" s="69"/>
      <x:c r="AE188" s="69"/>
      <x:c r="AF188" s="69"/>
      <x:c r="AG188" s="69"/>
      <x:c r="AH188" s="69"/>
      <x:c r="AI188" s="69"/>
      <x:c r="AJ188" s="69"/>
      <x:c r="AK188" s="69"/>
      <x:c r="AL188" s="69"/>
      <x:c r="AM188" s="69"/>
      <x:c r="AN188" s="69"/>
      <x:c r="AO188" s="69"/>
      <x:c r="AP188" s="69"/>
      <x:c r="AQ188" s="69"/>
      <x:c r="AR188" s="69"/>
      <x:c r="AS188" s="69"/>
      <x:c r="AT188" s="69"/>
      <x:c r="AU188" s="69"/>
      <x:c r="AV188" s="69"/>
      <x:c r="AW188" s="69"/>
      <x:c r="AX188" s="69"/>
      <x:c r="AY188" s="69"/>
      <x:c r="AZ188" s="69"/>
    </x:row>
    <x:row r="189" ht="15" hidden="0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  <x:c r="AA189" s="69"/>
      <x:c r="AB189" s="69"/>
      <x:c r="AC189" s="69"/>
      <x:c r="AD189" s="69"/>
      <x:c r="AE189" s="69"/>
      <x:c r="AF189" s="69"/>
      <x:c r="AG189" s="69"/>
      <x:c r="AH189" s="69"/>
      <x:c r="AI189" s="69"/>
      <x:c r="AJ189" s="69"/>
      <x:c r="AK189" s="69"/>
      <x:c r="AL189" s="69"/>
      <x:c r="AM189" s="69"/>
      <x:c r="AN189" s="69"/>
      <x:c r="AO189" s="69"/>
      <x:c r="AP189" s="69"/>
      <x:c r="AQ189" s="69"/>
      <x:c r="AR189" s="69"/>
      <x:c r="AS189" s="69"/>
      <x:c r="AT189" s="69"/>
      <x:c r="AU189" s="69"/>
      <x:c r="AV189" s="69"/>
      <x:c r="AW189" s="69"/>
      <x:c r="AX189" s="69"/>
      <x:c r="AY189" s="69"/>
      <x:c r="AZ189" s="69"/>
    </x:row>
    <x:row r="190" ht="15" hidden="0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  <x:c r="AA190" s="69"/>
      <x:c r="AB190" s="69"/>
      <x:c r="AC190" s="69"/>
      <x:c r="AD190" s="69"/>
      <x:c r="AE190" s="69"/>
      <x:c r="AF190" s="69"/>
      <x:c r="AG190" s="69"/>
      <x:c r="AH190" s="69"/>
      <x:c r="AI190" s="69"/>
      <x:c r="AJ190" s="69"/>
      <x:c r="AK190" s="69"/>
      <x:c r="AL190" s="69"/>
      <x:c r="AM190" s="69"/>
      <x:c r="AN190" s="69"/>
      <x:c r="AO190" s="69"/>
      <x:c r="AP190" s="69"/>
      <x:c r="AQ190" s="69"/>
      <x:c r="AR190" s="69"/>
      <x:c r="AS190" s="69"/>
      <x:c r="AT190" s="69"/>
      <x:c r="AU190" s="69"/>
      <x:c r="AV190" s="69"/>
      <x:c r="AW190" s="69"/>
      <x:c r="AX190" s="69"/>
      <x:c r="AY190" s="69"/>
      <x:c r="AZ190" s="69"/>
    </x:row>
    <x:row r="191" ht="15" hidden="0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  <x:c r="AA191" s="69"/>
      <x:c r="AB191" s="69"/>
      <x:c r="AC191" s="69"/>
      <x:c r="AD191" s="69"/>
      <x:c r="AE191" s="69"/>
      <x:c r="AF191" s="69"/>
      <x:c r="AG191" s="69"/>
      <x:c r="AH191" s="69"/>
      <x:c r="AI191" s="69"/>
      <x:c r="AJ191" s="69"/>
      <x:c r="AK191" s="69"/>
      <x:c r="AL191" s="69"/>
      <x:c r="AM191" s="69"/>
      <x:c r="AN191" s="69"/>
      <x:c r="AO191" s="69"/>
      <x:c r="AP191" s="69"/>
      <x:c r="AQ191" s="69"/>
      <x:c r="AR191" s="69"/>
      <x:c r="AS191" s="69"/>
      <x:c r="AT191" s="69"/>
      <x:c r="AU191" s="69"/>
      <x:c r="AV191" s="69"/>
      <x:c r="AW191" s="69"/>
      <x:c r="AX191" s="69"/>
      <x:c r="AY191" s="69"/>
      <x:c r="AZ191" s="69"/>
    </x:row>
    <x:row r="192" ht="15" hidden="0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  <x:c r="AA192" s="69"/>
      <x:c r="AB192" s="69"/>
      <x:c r="AC192" s="69"/>
      <x:c r="AD192" s="69"/>
      <x:c r="AE192" s="69"/>
      <x:c r="AF192" s="69"/>
      <x:c r="AG192" s="69"/>
      <x:c r="AH192" s="69"/>
      <x:c r="AI192" s="69"/>
      <x:c r="AJ192" s="69"/>
      <x:c r="AK192" s="69"/>
      <x:c r="AL192" s="69"/>
      <x:c r="AM192" s="69"/>
      <x:c r="AN192" s="69"/>
      <x:c r="AO192" s="69"/>
      <x:c r="AP192" s="69"/>
      <x:c r="AQ192" s="69"/>
      <x:c r="AR192" s="69"/>
      <x:c r="AS192" s="69"/>
      <x:c r="AT192" s="69"/>
      <x:c r="AU192" s="69"/>
      <x:c r="AV192" s="69"/>
      <x:c r="AW192" s="69"/>
      <x:c r="AX192" s="69"/>
      <x:c r="AY192" s="69"/>
      <x:c r="AZ192" s="69"/>
    </x:row>
    <x:row r="193" ht="15" hidden="0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  <x:c r="AA193" s="69"/>
      <x:c r="AB193" s="69"/>
      <x:c r="AC193" s="69"/>
      <x:c r="AD193" s="69"/>
      <x:c r="AE193" s="69"/>
      <x:c r="AF193" s="69"/>
      <x:c r="AG193" s="69"/>
      <x:c r="AH193" s="69"/>
      <x:c r="AI193" s="69"/>
      <x:c r="AJ193" s="69"/>
      <x:c r="AK193" s="69"/>
      <x:c r="AL193" s="69"/>
      <x:c r="AM193" s="69"/>
      <x:c r="AN193" s="69"/>
      <x:c r="AO193" s="69"/>
      <x:c r="AP193" s="69"/>
      <x:c r="AQ193" s="69"/>
      <x:c r="AR193" s="69"/>
      <x:c r="AS193" s="69"/>
      <x:c r="AT193" s="69"/>
      <x:c r="AU193" s="69"/>
      <x:c r="AV193" s="69"/>
      <x:c r="AW193" s="69"/>
      <x:c r="AX193" s="69"/>
      <x:c r="AY193" s="69"/>
      <x:c r="AZ193" s="69"/>
    </x:row>
    <x:row r="194" ht="15" hidden="0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  <x:c r="AA194" s="69"/>
      <x:c r="AB194" s="69"/>
      <x:c r="AC194" s="69"/>
      <x:c r="AD194" s="69"/>
      <x:c r="AE194" s="69"/>
      <x:c r="AF194" s="69"/>
      <x:c r="AG194" s="69"/>
      <x:c r="AH194" s="69"/>
      <x:c r="AI194" s="69"/>
      <x:c r="AJ194" s="69"/>
      <x:c r="AK194" s="69"/>
      <x:c r="AL194" s="69"/>
      <x:c r="AM194" s="69"/>
      <x:c r="AN194" s="69"/>
      <x:c r="AO194" s="69"/>
      <x:c r="AP194" s="69"/>
      <x:c r="AQ194" s="69"/>
      <x:c r="AR194" s="69"/>
      <x:c r="AS194" s="69"/>
      <x:c r="AT194" s="69"/>
      <x:c r="AU194" s="69"/>
      <x:c r="AV194" s="69"/>
      <x:c r="AW194" s="69"/>
      <x:c r="AX194" s="69"/>
      <x:c r="AY194" s="69"/>
      <x:c r="AZ194" s="69"/>
    </x:row>
    <x:row r="195" ht="15" hidden="0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  <x:c r="AA195" s="69"/>
      <x:c r="AB195" s="69"/>
      <x:c r="AC195" s="69"/>
      <x:c r="AD195" s="69"/>
      <x:c r="AE195" s="69"/>
      <x:c r="AF195" s="69"/>
      <x:c r="AG195" s="69"/>
      <x:c r="AH195" s="69"/>
      <x:c r="AI195" s="69"/>
      <x:c r="AJ195" s="69"/>
      <x:c r="AK195" s="69"/>
      <x:c r="AL195" s="69"/>
      <x:c r="AM195" s="69"/>
      <x:c r="AN195" s="69"/>
      <x:c r="AO195" s="69"/>
      <x:c r="AP195" s="69"/>
      <x:c r="AQ195" s="69"/>
      <x:c r="AR195" s="69"/>
      <x:c r="AS195" s="69"/>
      <x:c r="AT195" s="69"/>
      <x:c r="AU195" s="69"/>
      <x:c r="AV195" s="69"/>
      <x:c r="AW195" s="69"/>
      <x:c r="AX195" s="69"/>
      <x:c r="AY195" s="69"/>
      <x:c r="AZ195" s="69"/>
    </x:row>
    <x:row r="196" ht="15" hidden="0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  <x:c r="AA196" s="69"/>
      <x:c r="AB196" s="69"/>
      <x:c r="AC196" s="69"/>
      <x:c r="AD196" s="69"/>
      <x:c r="AE196" s="69"/>
      <x:c r="AF196" s="69"/>
      <x:c r="AG196" s="69"/>
      <x:c r="AH196" s="69"/>
      <x:c r="AI196" s="69"/>
      <x:c r="AJ196" s="69"/>
      <x:c r="AK196" s="69"/>
      <x:c r="AL196" s="69"/>
      <x:c r="AM196" s="69"/>
      <x:c r="AN196" s="69"/>
      <x:c r="AO196" s="69"/>
      <x:c r="AP196" s="69"/>
      <x:c r="AQ196" s="69"/>
      <x:c r="AR196" s="69"/>
      <x:c r="AS196" s="69"/>
      <x:c r="AT196" s="69"/>
      <x:c r="AU196" s="69"/>
      <x:c r="AV196" s="69"/>
      <x:c r="AW196" s="69"/>
      <x:c r="AX196" s="69"/>
      <x:c r="AY196" s="69"/>
      <x:c r="AZ196" s="69"/>
    </x:row>
    <x:row r="197" ht="15" hidden="0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  <x:c r="AA197" s="69"/>
      <x:c r="AB197" s="69"/>
      <x:c r="AC197" s="69"/>
      <x:c r="AD197" s="69"/>
      <x:c r="AE197" s="69"/>
      <x:c r="AF197" s="69"/>
      <x:c r="AG197" s="69"/>
      <x:c r="AH197" s="69"/>
      <x:c r="AI197" s="69"/>
      <x:c r="AJ197" s="69"/>
      <x:c r="AK197" s="69"/>
      <x:c r="AL197" s="69"/>
      <x:c r="AM197" s="69"/>
      <x:c r="AN197" s="69"/>
      <x:c r="AO197" s="69"/>
      <x:c r="AP197" s="69"/>
      <x:c r="AQ197" s="69"/>
      <x:c r="AR197" s="69"/>
      <x:c r="AS197" s="69"/>
      <x:c r="AT197" s="69"/>
      <x:c r="AU197" s="69"/>
      <x:c r="AV197" s="69"/>
      <x:c r="AW197" s="69"/>
      <x:c r="AX197" s="69"/>
      <x:c r="AY197" s="69"/>
      <x:c r="AZ197" s="69"/>
    </x:row>
    <x:row r="198" ht="15" hidden="0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  <x:c r="AA198" s="69"/>
      <x:c r="AB198" s="69"/>
      <x:c r="AC198" s="69"/>
      <x:c r="AD198" s="69"/>
      <x:c r="AE198" s="69"/>
      <x:c r="AF198" s="69"/>
      <x:c r="AG198" s="69"/>
      <x:c r="AH198" s="69"/>
      <x:c r="AI198" s="69"/>
      <x:c r="AJ198" s="69"/>
      <x:c r="AK198" s="69"/>
      <x:c r="AL198" s="69"/>
      <x:c r="AM198" s="69"/>
      <x:c r="AN198" s="69"/>
      <x:c r="AO198" s="69"/>
      <x:c r="AP198" s="69"/>
      <x:c r="AQ198" s="69"/>
      <x:c r="AR198" s="69"/>
      <x:c r="AS198" s="69"/>
      <x:c r="AT198" s="69"/>
      <x:c r="AU198" s="69"/>
      <x:c r="AV198" s="69"/>
      <x:c r="AW198" s="69"/>
      <x:c r="AX198" s="69"/>
      <x:c r="AY198" s="69"/>
      <x:c r="AZ198" s="69"/>
    </x:row>
    <x:row r="199" ht="15" hidden="0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  <x:c r="AA199" s="69"/>
      <x:c r="AB199" s="69"/>
      <x:c r="AC199" s="69"/>
      <x:c r="AD199" s="69"/>
      <x:c r="AE199" s="69"/>
      <x:c r="AF199" s="69"/>
      <x:c r="AG199" s="69"/>
      <x:c r="AH199" s="69"/>
      <x:c r="AI199" s="69"/>
      <x:c r="AJ199" s="69"/>
      <x:c r="AK199" s="69"/>
      <x:c r="AL199" s="69"/>
      <x:c r="AM199" s="69"/>
      <x:c r="AN199" s="69"/>
      <x:c r="AO199" s="69"/>
      <x:c r="AP199" s="69"/>
      <x:c r="AQ199" s="69"/>
      <x:c r="AR199" s="69"/>
      <x:c r="AS199" s="69"/>
      <x:c r="AT199" s="69"/>
      <x:c r="AU199" s="69"/>
      <x:c r="AV199" s="69"/>
      <x:c r="AW199" s="69"/>
      <x:c r="AX199" s="69"/>
      <x:c r="AY199" s="69"/>
      <x:c r="AZ199" s="69"/>
    </x:row>
    <x:row r="200" ht="15" hidden="0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  <x:c r="AA200" s="69"/>
      <x:c r="AB200" s="69"/>
      <x:c r="AC200" s="69"/>
      <x:c r="AD200" s="69"/>
      <x:c r="AE200" s="69"/>
      <x:c r="AF200" s="69"/>
      <x:c r="AG200" s="69"/>
      <x:c r="AH200" s="69"/>
      <x:c r="AI200" s="69"/>
      <x:c r="AJ200" s="69"/>
      <x:c r="AK200" s="69"/>
      <x:c r="AL200" s="69"/>
      <x:c r="AM200" s="69"/>
      <x:c r="AN200" s="69"/>
      <x:c r="AO200" s="69"/>
      <x:c r="AP200" s="69"/>
      <x:c r="AQ200" s="69"/>
      <x:c r="AR200" s="69"/>
      <x:c r="AS200" s="69"/>
      <x:c r="AT200" s="69"/>
      <x:c r="AU200" s="69"/>
      <x:c r="AV200" s="69"/>
      <x:c r="AW200" s="69"/>
      <x:c r="AX200" s="69"/>
      <x:c r="AY200" s="69"/>
      <x:c r="AZ200" s="69"/>
    </x:row>
    <x:row r="201" ht="15" hidden="0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69"/>
      <x:c r="U201" s="69"/>
      <x:c r="V201" s="69"/>
      <x:c r="W201" s="69"/>
      <x:c r="X201" s="69"/>
      <x:c r="Y201" s="69"/>
      <x:c r="Z201" s="69"/>
      <x:c r="AA201" s="69"/>
      <x:c r="AB201" s="69"/>
      <x:c r="AC201" s="69"/>
      <x:c r="AD201" s="69"/>
      <x:c r="AE201" s="69"/>
      <x:c r="AF201" s="69"/>
      <x:c r="AG201" s="69"/>
      <x:c r="AH201" s="69"/>
      <x:c r="AI201" s="69"/>
      <x:c r="AJ201" s="69"/>
      <x:c r="AK201" s="69"/>
      <x:c r="AL201" s="69"/>
      <x:c r="AM201" s="69"/>
      <x:c r="AN201" s="69"/>
      <x:c r="AO201" s="69"/>
      <x:c r="AP201" s="69"/>
      <x:c r="AQ201" s="69"/>
      <x:c r="AR201" s="69"/>
      <x:c r="AS201" s="69"/>
      <x:c r="AT201" s="69"/>
      <x:c r="AU201" s="69"/>
      <x:c r="AV201" s="69"/>
      <x:c r="AW201" s="69"/>
      <x:c r="AX201" s="69"/>
      <x:c r="AY201" s="69"/>
      <x:c r="AZ201" s="69"/>
    </x:row>
    <x:row r="202" ht="15" hidden="0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69"/>
      <x:c r="U202" s="69"/>
      <x:c r="V202" s="69"/>
      <x:c r="W202" s="69"/>
      <x:c r="X202" s="69"/>
      <x:c r="Y202" s="69"/>
      <x:c r="Z202" s="69"/>
      <x:c r="AA202" s="69"/>
      <x:c r="AB202" s="69"/>
      <x:c r="AC202" s="69"/>
      <x:c r="AD202" s="69"/>
      <x:c r="AE202" s="69"/>
      <x:c r="AF202" s="69"/>
      <x:c r="AG202" s="69"/>
      <x:c r="AH202" s="69"/>
      <x:c r="AI202" s="69"/>
      <x:c r="AJ202" s="69"/>
      <x:c r="AK202" s="69"/>
      <x:c r="AL202" s="69"/>
      <x:c r="AM202" s="69"/>
      <x:c r="AN202" s="69"/>
      <x:c r="AO202" s="69"/>
      <x:c r="AP202" s="69"/>
      <x:c r="AQ202" s="69"/>
      <x:c r="AR202" s="69"/>
      <x:c r="AS202" s="69"/>
      <x:c r="AT202" s="69"/>
      <x:c r="AU202" s="69"/>
      <x:c r="AV202" s="69"/>
      <x:c r="AW202" s="69"/>
      <x:c r="AX202" s="69"/>
      <x:c r="AY202" s="69"/>
      <x:c r="AZ202" s="69"/>
    </x:row>
    <x:row r="203" ht="15" hidden="0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69"/>
      <x:c r="U203" s="69"/>
      <x:c r="V203" s="69"/>
      <x:c r="W203" s="69"/>
      <x:c r="X203" s="69"/>
      <x:c r="Y203" s="69"/>
      <x:c r="Z203" s="69"/>
      <x:c r="AA203" s="69"/>
      <x:c r="AB203" s="69"/>
      <x:c r="AC203" s="69"/>
      <x:c r="AD203" s="69"/>
      <x:c r="AE203" s="69"/>
      <x:c r="AF203" s="69"/>
      <x:c r="AG203" s="69"/>
      <x:c r="AH203" s="69"/>
      <x:c r="AI203" s="69"/>
      <x:c r="AJ203" s="69"/>
      <x:c r="AK203" s="69"/>
      <x:c r="AL203" s="69"/>
      <x:c r="AM203" s="69"/>
      <x:c r="AN203" s="69"/>
      <x:c r="AO203" s="69"/>
      <x:c r="AP203" s="69"/>
      <x:c r="AQ203" s="69"/>
      <x:c r="AR203" s="69"/>
      <x:c r="AS203" s="69"/>
      <x:c r="AT203" s="69"/>
      <x:c r="AU203" s="69"/>
      <x:c r="AV203" s="69"/>
      <x:c r="AW203" s="69"/>
      <x:c r="AX203" s="69"/>
      <x:c r="AY203" s="69"/>
      <x:c r="AZ203" s="69"/>
    </x:row>
    <x:row r="204" ht="15" hidden="0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69"/>
      <x:c r="U204" s="69"/>
      <x:c r="V204" s="69"/>
      <x:c r="W204" s="69"/>
      <x:c r="X204" s="69"/>
      <x:c r="Y204" s="69"/>
      <x:c r="Z204" s="69"/>
      <x:c r="AA204" s="69"/>
      <x:c r="AB204" s="69"/>
      <x:c r="AC204" s="69"/>
      <x:c r="AD204" s="69"/>
      <x:c r="AE204" s="69"/>
      <x:c r="AF204" s="69"/>
      <x:c r="AG204" s="69"/>
      <x:c r="AH204" s="69"/>
      <x:c r="AI204" s="69"/>
      <x:c r="AJ204" s="69"/>
      <x:c r="AK204" s="69"/>
      <x:c r="AL204" s="69"/>
      <x:c r="AM204" s="69"/>
      <x:c r="AN204" s="69"/>
      <x:c r="AO204" s="69"/>
      <x:c r="AP204" s="69"/>
      <x:c r="AQ204" s="69"/>
      <x:c r="AR204" s="69"/>
      <x:c r="AS204" s="69"/>
      <x:c r="AT204" s="69"/>
      <x:c r="AU204" s="69"/>
      <x:c r="AV204" s="69"/>
      <x:c r="AW204" s="69"/>
      <x:c r="AX204" s="69"/>
      <x:c r="AY204" s="69"/>
      <x:c r="AZ204" s="69"/>
    </x:row>
    <x:row r="205" ht="15" hidden="0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69"/>
      <x:c r="U205" s="69"/>
      <x:c r="V205" s="69"/>
      <x:c r="W205" s="69"/>
      <x:c r="X205" s="69"/>
      <x:c r="Y205" s="69"/>
      <x:c r="Z205" s="69"/>
      <x:c r="AA205" s="69"/>
      <x:c r="AB205" s="69"/>
      <x:c r="AC205" s="69"/>
      <x:c r="AD205" s="69"/>
      <x:c r="AE205" s="69"/>
      <x:c r="AF205" s="69"/>
      <x:c r="AG205" s="69"/>
      <x:c r="AH205" s="69"/>
      <x:c r="AI205" s="69"/>
      <x:c r="AJ205" s="69"/>
      <x:c r="AK205" s="69"/>
      <x:c r="AL205" s="69"/>
      <x:c r="AM205" s="69"/>
      <x:c r="AN205" s="69"/>
      <x:c r="AO205" s="69"/>
      <x:c r="AP205" s="69"/>
      <x:c r="AQ205" s="69"/>
      <x:c r="AR205" s="69"/>
      <x:c r="AS205" s="69"/>
      <x:c r="AT205" s="69"/>
      <x:c r="AU205" s="69"/>
      <x:c r="AV205" s="69"/>
      <x:c r="AW205" s="69"/>
      <x:c r="AX205" s="69"/>
      <x:c r="AY205" s="69"/>
      <x:c r="AZ205" s="69"/>
    </x:row>
    <x:row r="206" ht="15" hidden="0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69"/>
      <x:c r="U206" s="69"/>
      <x:c r="V206" s="69"/>
      <x:c r="W206" s="69"/>
      <x:c r="X206" s="69"/>
      <x:c r="Y206" s="69"/>
      <x:c r="Z206" s="69"/>
      <x:c r="AA206" s="69"/>
      <x:c r="AB206" s="69"/>
      <x:c r="AC206" s="69"/>
      <x:c r="AD206" s="69"/>
      <x:c r="AE206" s="69"/>
      <x:c r="AF206" s="69"/>
      <x:c r="AG206" s="69"/>
      <x:c r="AH206" s="69"/>
      <x:c r="AI206" s="69"/>
      <x:c r="AJ206" s="69"/>
      <x:c r="AK206" s="69"/>
      <x:c r="AL206" s="69"/>
      <x:c r="AM206" s="69"/>
      <x:c r="AN206" s="69"/>
      <x:c r="AO206" s="69"/>
      <x:c r="AP206" s="69"/>
      <x:c r="AQ206" s="69"/>
      <x:c r="AR206" s="69"/>
      <x:c r="AS206" s="69"/>
      <x:c r="AT206" s="69"/>
      <x:c r="AU206" s="69"/>
      <x:c r="AV206" s="69"/>
      <x:c r="AW206" s="69"/>
      <x:c r="AX206" s="69"/>
      <x:c r="AY206" s="69"/>
      <x:c r="AZ206" s="69"/>
    </x:row>
    <x:row r="207" ht="15" hidden="0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69"/>
      <x:c r="U207" s="69"/>
      <x:c r="V207" s="69"/>
      <x:c r="W207" s="69"/>
      <x:c r="X207" s="69"/>
      <x:c r="Y207" s="69"/>
      <x:c r="Z207" s="69"/>
      <x:c r="AA207" s="69"/>
      <x:c r="AB207" s="69"/>
      <x:c r="AC207" s="69"/>
      <x:c r="AD207" s="69"/>
      <x:c r="AE207" s="69"/>
      <x:c r="AF207" s="69"/>
      <x:c r="AG207" s="69"/>
      <x:c r="AH207" s="69"/>
      <x:c r="AI207" s="69"/>
      <x:c r="AJ207" s="69"/>
      <x:c r="AK207" s="69"/>
      <x:c r="AL207" s="69"/>
      <x:c r="AM207" s="69"/>
      <x:c r="AN207" s="69"/>
      <x:c r="AO207" s="69"/>
      <x:c r="AP207" s="69"/>
      <x:c r="AQ207" s="69"/>
      <x:c r="AR207" s="69"/>
      <x:c r="AS207" s="69"/>
      <x:c r="AT207" s="69"/>
      <x:c r="AU207" s="69"/>
      <x:c r="AV207" s="69"/>
      <x:c r="AW207" s="69"/>
      <x:c r="AX207" s="69"/>
      <x:c r="AY207" s="69"/>
      <x:c r="AZ207" s="69"/>
    </x:row>
    <x:row r="208" ht="15" hidden="0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69"/>
      <x:c r="U208" s="69"/>
      <x:c r="V208" s="69"/>
      <x:c r="W208" s="69"/>
      <x:c r="X208" s="69"/>
      <x:c r="Y208" s="69"/>
      <x:c r="Z208" s="69"/>
      <x:c r="AA208" s="69"/>
      <x:c r="AB208" s="69"/>
      <x:c r="AC208" s="69"/>
      <x:c r="AD208" s="69"/>
      <x:c r="AE208" s="69"/>
      <x:c r="AF208" s="69"/>
      <x:c r="AG208" s="69"/>
      <x:c r="AH208" s="69"/>
      <x:c r="AI208" s="69"/>
      <x:c r="AJ208" s="69"/>
      <x:c r="AK208" s="69"/>
      <x:c r="AL208" s="69"/>
      <x:c r="AM208" s="69"/>
      <x:c r="AN208" s="69"/>
      <x:c r="AO208" s="69"/>
      <x:c r="AP208" s="69"/>
      <x:c r="AQ208" s="69"/>
      <x:c r="AR208" s="69"/>
      <x:c r="AS208" s="69"/>
      <x:c r="AT208" s="69"/>
      <x:c r="AU208" s="69"/>
      <x:c r="AV208" s="69"/>
      <x:c r="AW208" s="69"/>
      <x:c r="AX208" s="69"/>
      <x:c r="AY208" s="69"/>
      <x:c r="AZ208" s="69"/>
    </x:row>
    <x:row r="209" ht="15" hidden="0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69"/>
      <x:c r="U209" s="69"/>
      <x:c r="V209" s="69"/>
      <x:c r="W209" s="69"/>
      <x:c r="X209" s="69"/>
      <x:c r="Y209" s="69"/>
      <x:c r="Z209" s="69"/>
      <x:c r="AA209" s="69"/>
      <x:c r="AB209" s="69"/>
      <x:c r="AC209" s="69"/>
      <x:c r="AD209" s="69"/>
      <x:c r="AE209" s="69"/>
      <x:c r="AF209" s="69"/>
      <x:c r="AG209" s="69"/>
      <x:c r="AH209" s="69"/>
      <x:c r="AI209" s="69"/>
      <x:c r="AJ209" s="69"/>
      <x:c r="AK209" s="69"/>
      <x:c r="AL209" s="69"/>
      <x:c r="AM209" s="69"/>
      <x:c r="AN209" s="69"/>
      <x:c r="AO209" s="69"/>
      <x:c r="AP209" s="69"/>
      <x:c r="AQ209" s="69"/>
      <x:c r="AR209" s="69"/>
      <x:c r="AS209" s="69"/>
      <x:c r="AT209" s="69"/>
      <x:c r="AU209" s="69"/>
      <x:c r="AV209" s="69"/>
      <x:c r="AW209" s="69"/>
      <x:c r="AX209" s="69"/>
      <x:c r="AY209" s="69"/>
      <x:c r="AZ209" s="69"/>
    </x:row>
    <x:row r="210" ht="15" hidden="0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69"/>
      <x:c r="U210" s="69"/>
      <x:c r="V210" s="69"/>
      <x:c r="W210" s="69"/>
      <x:c r="X210" s="69"/>
      <x:c r="Y210" s="69"/>
      <x:c r="Z210" s="69"/>
      <x:c r="AA210" s="69"/>
      <x:c r="AB210" s="69"/>
      <x:c r="AC210" s="69"/>
      <x:c r="AD210" s="69"/>
      <x:c r="AE210" s="69"/>
      <x:c r="AF210" s="69"/>
      <x:c r="AG210" s="69"/>
      <x:c r="AH210" s="69"/>
      <x:c r="AI210" s="69"/>
      <x:c r="AJ210" s="69"/>
      <x:c r="AK210" s="69"/>
      <x:c r="AL210" s="69"/>
      <x:c r="AM210" s="69"/>
      <x:c r="AN210" s="69"/>
      <x:c r="AO210" s="69"/>
      <x:c r="AP210" s="69"/>
      <x:c r="AQ210" s="69"/>
      <x:c r="AR210" s="69"/>
      <x:c r="AS210" s="69"/>
      <x:c r="AT210" s="69"/>
      <x:c r="AU210" s="69"/>
      <x:c r="AV210" s="69"/>
      <x:c r="AW210" s="69"/>
      <x:c r="AX210" s="69"/>
      <x:c r="AY210" s="69"/>
      <x:c r="AZ210" s="69"/>
    </x:row>
    <x:row r="211" ht="15" hidden="0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69"/>
      <x:c r="U211" s="69"/>
      <x:c r="V211" s="69"/>
      <x:c r="W211" s="69"/>
      <x:c r="X211" s="69"/>
      <x:c r="Y211" s="69"/>
      <x:c r="Z211" s="69"/>
      <x:c r="AA211" s="69"/>
      <x:c r="AB211" s="69"/>
      <x:c r="AC211" s="69"/>
      <x:c r="AD211" s="69"/>
      <x:c r="AE211" s="69"/>
      <x:c r="AF211" s="69"/>
      <x:c r="AG211" s="69"/>
      <x:c r="AH211" s="69"/>
      <x:c r="AI211" s="69"/>
      <x:c r="AJ211" s="69"/>
      <x:c r="AK211" s="69"/>
      <x:c r="AL211" s="69"/>
      <x:c r="AM211" s="69"/>
      <x:c r="AN211" s="69"/>
      <x:c r="AO211" s="69"/>
      <x:c r="AP211" s="69"/>
      <x:c r="AQ211" s="69"/>
      <x:c r="AR211" s="69"/>
      <x:c r="AS211" s="69"/>
      <x:c r="AT211" s="69"/>
      <x:c r="AU211" s="69"/>
      <x:c r="AV211" s="69"/>
      <x:c r="AW211" s="69"/>
      <x:c r="AX211" s="69"/>
      <x:c r="AY211" s="69"/>
      <x:c r="AZ211" s="69"/>
    </x:row>
    <x:row r="212" ht="15" hidden="0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69"/>
      <x:c r="U212" s="69"/>
      <x:c r="V212" s="69"/>
      <x:c r="W212" s="69"/>
      <x:c r="X212" s="69"/>
      <x:c r="Y212" s="69"/>
      <x:c r="Z212" s="69"/>
      <x:c r="AA212" s="69"/>
      <x:c r="AB212" s="69"/>
      <x:c r="AC212" s="69"/>
      <x:c r="AD212" s="69"/>
      <x:c r="AE212" s="69"/>
      <x:c r="AF212" s="69"/>
      <x:c r="AG212" s="69"/>
      <x:c r="AH212" s="69"/>
      <x:c r="AI212" s="69"/>
      <x:c r="AJ212" s="69"/>
      <x:c r="AK212" s="69"/>
      <x:c r="AL212" s="69"/>
      <x:c r="AM212" s="69"/>
      <x:c r="AN212" s="69"/>
      <x:c r="AO212" s="69"/>
      <x:c r="AP212" s="69"/>
      <x:c r="AQ212" s="69"/>
      <x:c r="AR212" s="69"/>
      <x:c r="AS212" s="69"/>
      <x:c r="AT212" s="69"/>
      <x:c r="AU212" s="69"/>
      <x:c r="AV212" s="69"/>
      <x:c r="AW212" s="69"/>
      <x:c r="AX212" s="69"/>
      <x:c r="AY212" s="69"/>
      <x:c r="AZ212" s="69"/>
    </x:row>
    <x:row r="213" ht="15" hidden="0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69"/>
      <x:c r="U213" s="69"/>
      <x:c r="V213" s="69"/>
      <x:c r="W213" s="69"/>
      <x:c r="X213" s="69"/>
      <x:c r="Y213" s="69"/>
      <x:c r="Z213" s="69"/>
      <x:c r="AA213" s="69"/>
      <x:c r="AB213" s="69"/>
      <x:c r="AC213" s="69"/>
      <x:c r="AD213" s="69"/>
      <x:c r="AE213" s="69"/>
      <x:c r="AF213" s="69"/>
      <x:c r="AG213" s="69"/>
      <x:c r="AH213" s="69"/>
      <x:c r="AI213" s="69"/>
      <x:c r="AJ213" s="69"/>
      <x:c r="AK213" s="69"/>
      <x:c r="AL213" s="69"/>
      <x:c r="AM213" s="69"/>
      <x:c r="AN213" s="69"/>
      <x:c r="AO213" s="69"/>
      <x:c r="AP213" s="69"/>
      <x:c r="AQ213" s="69"/>
      <x:c r="AR213" s="69"/>
      <x:c r="AS213" s="69"/>
      <x:c r="AT213" s="69"/>
      <x:c r="AU213" s="69"/>
      <x:c r="AV213" s="69"/>
      <x:c r="AW213" s="69"/>
      <x:c r="AX213" s="69"/>
      <x:c r="AY213" s="69"/>
      <x:c r="AZ213" s="69"/>
    </x:row>
    <x:row r="214" ht="15" hidden="0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69"/>
      <x:c r="U214" s="69"/>
      <x:c r="V214" s="69"/>
      <x:c r="W214" s="69"/>
      <x:c r="X214" s="69"/>
      <x:c r="Y214" s="69"/>
      <x:c r="Z214" s="69"/>
      <x:c r="AA214" s="69"/>
      <x:c r="AB214" s="69"/>
      <x:c r="AC214" s="69"/>
      <x:c r="AD214" s="69"/>
      <x:c r="AE214" s="69"/>
      <x:c r="AF214" s="69"/>
      <x:c r="AG214" s="69"/>
      <x:c r="AH214" s="69"/>
      <x:c r="AI214" s="69"/>
      <x:c r="AJ214" s="69"/>
      <x:c r="AK214" s="69"/>
      <x:c r="AL214" s="69"/>
      <x:c r="AM214" s="69"/>
      <x:c r="AN214" s="69"/>
      <x:c r="AO214" s="69"/>
      <x:c r="AP214" s="69"/>
      <x:c r="AQ214" s="69"/>
      <x:c r="AR214" s="69"/>
      <x:c r="AS214" s="69"/>
      <x:c r="AT214" s="69"/>
      <x:c r="AU214" s="69"/>
      <x:c r="AV214" s="69"/>
      <x:c r="AW214" s="69"/>
      <x:c r="AX214" s="69"/>
      <x:c r="AY214" s="69"/>
      <x:c r="AZ214" s="69"/>
    </x:row>
    <x:row r="215" ht="15" hidden="0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69"/>
      <x:c r="U215" s="69"/>
      <x:c r="V215" s="69"/>
      <x:c r="W215" s="69"/>
      <x:c r="X215" s="69"/>
      <x:c r="Y215" s="69"/>
      <x:c r="Z215" s="69"/>
      <x:c r="AA215" s="69"/>
      <x:c r="AB215" s="69"/>
      <x:c r="AC215" s="69"/>
      <x:c r="AD215" s="69"/>
      <x:c r="AE215" s="69"/>
      <x:c r="AF215" s="69"/>
      <x:c r="AG215" s="69"/>
      <x:c r="AH215" s="69"/>
      <x:c r="AI215" s="69"/>
      <x:c r="AJ215" s="69"/>
      <x:c r="AK215" s="69"/>
      <x:c r="AL215" s="69"/>
      <x:c r="AM215" s="69"/>
      <x:c r="AN215" s="69"/>
      <x:c r="AO215" s="69"/>
      <x:c r="AP215" s="69"/>
      <x:c r="AQ215" s="69"/>
      <x:c r="AR215" s="69"/>
      <x:c r="AS215" s="69"/>
      <x:c r="AT215" s="69"/>
      <x:c r="AU215" s="69"/>
      <x:c r="AV215" s="69"/>
      <x:c r="AW215" s="69"/>
      <x:c r="AX215" s="69"/>
      <x:c r="AY215" s="69"/>
      <x:c r="AZ215" s="69"/>
    </x:row>
    <x:row r="216" ht="15" hidden="0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69"/>
      <x:c r="U216" s="69"/>
      <x:c r="V216" s="69"/>
      <x:c r="W216" s="69"/>
      <x:c r="X216" s="69"/>
      <x:c r="Y216" s="69"/>
      <x:c r="Z216" s="69"/>
      <x:c r="AA216" s="69"/>
      <x:c r="AB216" s="69"/>
      <x:c r="AC216" s="69"/>
      <x:c r="AD216" s="69"/>
      <x:c r="AE216" s="69"/>
      <x:c r="AF216" s="69"/>
      <x:c r="AG216" s="69"/>
      <x:c r="AH216" s="69"/>
      <x:c r="AI216" s="69"/>
      <x:c r="AJ216" s="69"/>
      <x:c r="AK216" s="69"/>
      <x:c r="AL216" s="69"/>
      <x:c r="AM216" s="69"/>
      <x:c r="AN216" s="69"/>
      <x:c r="AO216" s="69"/>
      <x:c r="AP216" s="69"/>
      <x:c r="AQ216" s="69"/>
      <x:c r="AR216" s="69"/>
      <x:c r="AS216" s="69"/>
      <x:c r="AT216" s="69"/>
      <x:c r="AU216" s="69"/>
      <x:c r="AV216" s="69"/>
      <x:c r="AW216" s="69"/>
      <x:c r="AX216" s="69"/>
      <x:c r="AY216" s="69"/>
      <x:c r="AZ216" s="69"/>
    </x:row>
    <x:row r="217" ht="15" hidden="0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69"/>
      <x:c r="U217" s="69"/>
      <x:c r="V217" s="69"/>
      <x:c r="W217" s="69"/>
      <x:c r="X217" s="69"/>
      <x:c r="Y217" s="69"/>
      <x:c r="Z217" s="69"/>
      <x:c r="AA217" s="69"/>
      <x:c r="AB217" s="69"/>
      <x:c r="AC217" s="69"/>
      <x:c r="AD217" s="69"/>
      <x:c r="AE217" s="69"/>
      <x:c r="AF217" s="69"/>
      <x:c r="AG217" s="69"/>
      <x:c r="AH217" s="69"/>
      <x:c r="AI217" s="69"/>
      <x:c r="AJ217" s="69"/>
      <x:c r="AK217" s="69"/>
      <x:c r="AL217" s="69"/>
      <x:c r="AM217" s="69"/>
      <x:c r="AN217" s="69"/>
      <x:c r="AO217" s="69"/>
      <x:c r="AP217" s="69"/>
      <x:c r="AQ217" s="69"/>
      <x:c r="AR217" s="69"/>
      <x:c r="AS217" s="69"/>
      <x:c r="AT217" s="69"/>
      <x:c r="AU217" s="69"/>
      <x:c r="AV217" s="69"/>
      <x:c r="AW217" s="69"/>
      <x:c r="AX217" s="69"/>
      <x:c r="AY217" s="69"/>
      <x:c r="AZ217" s="69"/>
    </x:row>
    <x:row r="218" ht="15" hidden="0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69"/>
      <x:c r="U218" s="69"/>
      <x:c r="V218" s="69"/>
      <x:c r="W218" s="69"/>
      <x:c r="X218" s="69"/>
      <x:c r="Y218" s="69"/>
      <x:c r="Z218" s="69"/>
      <x:c r="AA218" s="69"/>
      <x:c r="AB218" s="69"/>
      <x:c r="AC218" s="69"/>
      <x:c r="AD218" s="69"/>
      <x:c r="AE218" s="69"/>
      <x:c r="AF218" s="69"/>
      <x:c r="AG218" s="69"/>
      <x:c r="AH218" s="69"/>
      <x:c r="AI218" s="69"/>
      <x:c r="AJ218" s="69"/>
      <x:c r="AK218" s="69"/>
      <x:c r="AL218" s="69"/>
      <x:c r="AM218" s="69"/>
      <x:c r="AN218" s="69"/>
      <x:c r="AO218" s="69"/>
      <x:c r="AP218" s="69"/>
      <x:c r="AQ218" s="69"/>
      <x:c r="AR218" s="69"/>
      <x:c r="AS218" s="69"/>
      <x:c r="AT218" s="69"/>
      <x:c r="AU218" s="69"/>
      <x:c r="AV218" s="69"/>
      <x:c r="AW218" s="69"/>
      <x:c r="AX218" s="69"/>
      <x:c r="AY218" s="69"/>
      <x:c r="AZ218" s="69"/>
    </x:row>
    <x:row r="219" ht="15" hidden="0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69"/>
      <x:c r="U219" s="69"/>
      <x:c r="V219" s="69"/>
      <x:c r="W219" s="69"/>
      <x:c r="X219" s="69"/>
      <x:c r="Y219" s="69"/>
      <x:c r="Z219" s="69"/>
      <x:c r="AA219" s="69"/>
      <x:c r="AB219" s="69"/>
      <x:c r="AC219" s="69"/>
      <x:c r="AD219" s="69"/>
      <x:c r="AE219" s="69"/>
      <x:c r="AF219" s="69"/>
      <x:c r="AG219" s="69"/>
      <x:c r="AH219" s="69"/>
      <x:c r="AI219" s="69"/>
      <x:c r="AJ219" s="69"/>
      <x:c r="AK219" s="69"/>
      <x:c r="AL219" s="69"/>
      <x:c r="AM219" s="69"/>
      <x:c r="AN219" s="69"/>
      <x:c r="AO219" s="69"/>
      <x:c r="AP219" s="69"/>
      <x:c r="AQ219" s="69"/>
      <x:c r="AR219" s="69"/>
      <x:c r="AS219" s="69"/>
      <x:c r="AT219" s="69"/>
      <x:c r="AU219" s="69"/>
      <x:c r="AV219" s="69"/>
      <x:c r="AW219" s="69"/>
      <x:c r="AX219" s="69"/>
      <x:c r="AY219" s="69"/>
      <x:c r="AZ219" s="69"/>
    </x:row>
    <x:row r="220" ht="15" hidden="0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69"/>
      <x:c r="U220" s="69"/>
      <x:c r="V220" s="69"/>
      <x:c r="W220" s="69"/>
      <x:c r="X220" s="69"/>
      <x:c r="Y220" s="69"/>
      <x:c r="Z220" s="69"/>
      <x:c r="AA220" s="69"/>
      <x:c r="AB220" s="69"/>
      <x:c r="AC220" s="69"/>
      <x:c r="AD220" s="69"/>
      <x:c r="AE220" s="69"/>
      <x:c r="AF220" s="69"/>
      <x:c r="AG220" s="69"/>
      <x:c r="AH220" s="69"/>
      <x:c r="AI220" s="69"/>
      <x:c r="AJ220" s="69"/>
      <x:c r="AK220" s="69"/>
      <x:c r="AL220" s="69"/>
      <x:c r="AM220" s="69"/>
      <x:c r="AN220" s="69"/>
      <x:c r="AO220" s="69"/>
      <x:c r="AP220" s="69"/>
      <x:c r="AQ220" s="69"/>
      <x:c r="AR220" s="69"/>
      <x:c r="AS220" s="69"/>
      <x:c r="AT220" s="69"/>
      <x:c r="AU220" s="69"/>
      <x:c r="AV220" s="69"/>
      <x:c r="AW220" s="69"/>
      <x:c r="AX220" s="69"/>
      <x:c r="AY220" s="69"/>
      <x:c r="AZ220" s="69"/>
    </x:row>
    <x:row r="221" ht="15" hidden="0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69"/>
      <x:c r="U221" s="69"/>
      <x:c r="V221" s="69"/>
      <x:c r="W221" s="69"/>
      <x:c r="X221" s="69"/>
      <x:c r="Y221" s="69"/>
      <x:c r="Z221" s="69"/>
      <x:c r="AA221" s="69"/>
      <x:c r="AB221" s="69"/>
      <x:c r="AC221" s="69"/>
      <x:c r="AD221" s="69"/>
      <x:c r="AE221" s="69"/>
      <x:c r="AF221" s="69"/>
      <x:c r="AG221" s="69"/>
      <x:c r="AH221" s="69"/>
      <x:c r="AI221" s="69"/>
      <x:c r="AJ221" s="69"/>
      <x:c r="AK221" s="69"/>
      <x:c r="AL221" s="69"/>
      <x:c r="AM221" s="69"/>
      <x:c r="AN221" s="69"/>
      <x:c r="AO221" s="69"/>
      <x:c r="AP221" s="69"/>
      <x:c r="AQ221" s="69"/>
      <x:c r="AR221" s="69"/>
      <x:c r="AS221" s="69"/>
      <x:c r="AT221" s="69"/>
      <x:c r="AU221" s="69"/>
      <x:c r="AV221" s="69"/>
      <x:c r="AW221" s="69"/>
      <x:c r="AX221" s="69"/>
      <x:c r="AY221" s="69"/>
      <x:c r="AZ221" s="69"/>
    </x:row>
    <x:row r="222" ht="15" hidden="0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69"/>
      <x:c r="U222" s="69"/>
      <x:c r="V222" s="69"/>
      <x:c r="W222" s="69"/>
      <x:c r="X222" s="69"/>
      <x:c r="Y222" s="69"/>
      <x:c r="Z222" s="69"/>
      <x:c r="AA222" s="69"/>
      <x:c r="AB222" s="69"/>
      <x:c r="AC222" s="69"/>
      <x:c r="AD222" s="69"/>
      <x:c r="AE222" s="69"/>
      <x:c r="AF222" s="69"/>
      <x:c r="AG222" s="69"/>
      <x:c r="AH222" s="69"/>
      <x:c r="AI222" s="69"/>
      <x:c r="AJ222" s="69"/>
      <x:c r="AK222" s="69"/>
      <x:c r="AL222" s="69"/>
      <x:c r="AM222" s="69"/>
      <x:c r="AN222" s="69"/>
      <x:c r="AO222" s="69"/>
      <x:c r="AP222" s="69"/>
      <x:c r="AQ222" s="69"/>
      <x:c r="AR222" s="69"/>
      <x:c r="AS222" s="69"/>
      <x:c r="AT222" s="69"/>
      <x:c r="AU222" s="69"/>
      <x:c r="AV222" s="69"/>
      <x:c r="AW222" s="69"/>
      <x:c r="AX222" s="69"/>
      <x:c r="AY222" s="69"/>
      <x:c r="AZ222" s="69"/>
    </x:row>
    <x:row r="223" ht="15" hidden="0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69"/>
      <x:c r="U223" s="69"/>
      <x:c r="V223" s="69"/>
      <x:c r="W223" s="69"/>
      <x:c r="X223" s="69"/>
      <x:c r="Y223" s="69"/>
      <x:c r="Z223" s="69"/>
      <x:c r="AA223" s="69"/>
      <x:c r="AB223" s="69"/>
      <x:c r="AC223" s="69"/>
      <x:c r="AD223" s="69"/>
      <x:c r="AE223" s="69"/>
      <x:c r="AF223" s="69"/>
      <x:c r="AG223" s="69"/>
      <x:c r="AH223" s="69"/>
      <x:c r="AI223" s="69"/>
      <x:c r="AJ223" s="69"/>
      <x:c r="AK223" s="69"/>
      <x:c r="AL223" s="69"/>
      <x:c r="AM223" s="69"/>
      <x:c r="AN223" s="69"/>
      <x:c r="AO223" s="69"/>
      <x:c r="AP223" s="69"/>
      <x:c r="AQ223" s="69"/>
      <x:c r="AR223" s="69"/>
      <x:c r="AS223" s="69"/>
      <x:c r="AT223" s="69"/>
      <x:c r="AU223" s="69"/>
      <x:c r="AV223" s="69"/>
      <x:c r="AW223" s="69"/>
      <x:c r="AX223" s="69"/>
      <x:c r="AY223" s="69"/>
      <x:c r="AZ223" s="69"/>
    </x:row>
    <x:row r="224" ht="15" hidden="0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69"/>
      <x:c r="U224" s="69"/>
      <x:c r="V224" s="69"/>
      <x:c r="W224" s="69"/>
      <x:c r="X224" s="69"/>
      <x:c r="Y224" s="69"/>
      <x:c r="Z224" s="69"/>
      <x:c r="AA224" s="69"/>
      <x:c r="AB224" s="69"/>
      <x:c r="AC224" s="69"/>
      <x:c r="AD224" s="69"/>
      <x:c r="AE224" s="69"/>
      <x:c r="AF224" s="69"/>
      <x:c r="AG224" s="69"/>
      <x:c r="AH224" s="69"/>
      <x:c r="AI224" s="69"/>
      <x:c r="AJ224" s="69"/>
      <x:c r="AK224" s="69"/>
      <x:c r="AL224" s="69"/>
      <x:c r="AM224" s="69"/>
      <x:c r="AN224" s="69"/>
      <x:c r="AO224" s="69"/>
      <x:c r="AP224" s="69"/>
      <x:c r="AQ224" s="69"/>
      <x:c r="AR224" s="69"/>
      <x:c r="AS224" s="69"/>
      <x:c r="AT224" s="69"/>
      <x:c r="AU224" s="69"/>
      <x:c r="AV224" s="69"/>
      <x:c r="AW224" s="69"/>
      <x:c r="AX224" s="69"/>
      <x:c r="AY224" s="69"/>
      <x:c r="AZ224" s="69"/>
    </x:row>
    <x:row r="225" ht="15" hidden="0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69"/>
      <x:c r="U225" s="69"/>
      <x:c r="V225" s="69"/>
      <x:c r="W225" s="69"/>
      <x:c r="X225" s="69"/>
      <x:c r="Y225" s="69"/>
      <x:c r="Z225" s="69"/>
      <x:c r="AA225" s="69"/>
      <x:c r="AB225" s="69"/>
      <x:c r="AC225" s="69"/>
      <x:c r="AD225" s="69"/>
      <x:c r="AE225" s="69"/>
      <x:c r="AF225" s="69"/>
      <x:c r="AG225" s="69"/>
      <x:c r="AH225" s="69"/>
      <x:c r="AI225" s="69"/>
      <x:c r="AJ225" s="69"/>
      <x:c r="AK225" s="69"/>
      <x:c r="AL225" s="69"/>
      <x:c r="AM225" s="69"/>
      <x:c r="AN225" s="69"/>
      <x:c r="AO225" s="69"/>
      <x:c r="AP225" s="69"/>
      <x:c r="AQ225" s="69"/>
      <x:c r="AR225" s="69"/>
      <x:c r="AS225" s="69"/>
      <x:c r="AT225" s="69"/>
      <x:c r="AU225" s="69"/>
      <x:c r="AV225" s="69"/>
      <x:c r="AW225" s="69"/>
      <x:c r="AX225" s="69"/>
      <x:c r="AY225" s="69"/>
      <x:c r="AZ225" s="69"/>
    </x:row>
    <x:row r="226" ht="15" hidden="0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69"/>
      <x:c r="U226" s="69"/>
      <x:c r="V226" s="69"/>
      <x:c r="W226" s="69"/>
      <x:c r="X226" s="69"/>
      <x:c r="Y226" s="69"/>
      <x:c r="Z226" s="69"/>
      <x:c r="AA226" s="69"/>
      <x:c r="AB226" s="69"/>
      <x:c r="AC226" s="69"/>
      <x:c r="AD226" s="69"/>
      <x:c r="AE226" s="69"/>
      <x:c r="AF226" s="69"/>
      <x:c r="AG226" s="69"/>
      <x:c r="AH226" s="69"/>
      <x:c r="AI226" s="69"/>
      <x:c r="AJ226" s="69"/>
      <x:c r="AK226" s="69"/>
      <x:c r="AL226" s="69"/>
      <x:c r="AM226" s="69"/>
      <x:c r="AN226" s="69"/>
      <x:c r="AO226" s="69"/>
      <x:c r="AP226" s="69"/>
      <x:c r="AQ226" s="69"/>
      <x:c r="AR226" s="69"/>
      <x:c r="AS226" s="69"/>
      <x:c r="AT226" s="69"/>
      <x:c r="AU226" s="69"/>
      <x:c r="AV226" s="69"/>
      <x:c r="AW226" s="69"/>
      <x:c r="AX226" s="69"/>
      <x:c r="AY226" s="69"/>
      <x:c r="AZ226" s="69"/>
    </x:row>
    <x:row r="227" ht="15" hidden="0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69"/>
      <x:c r="U227" s="69"/>
      <x:c r="V227" s="69"/>
      <x:c r="W227" s="69"/>
      <x:c r="X227" s="69"/>
      <x:c r="Y227" s="69"/>
      <x:c r="Z227" s="69"/>
      <x:c r="AA227" s="69"/>
      <x:c r="AB227" s="69"/>
      <x:c r="AC227" s="69"/>
      <x:c r="AD227" s="69"/>
      <x:c r="AE227" s="69"/>
      <x:c r="AF227" s="69"/>
      <x:c r="AG227" s="69"/>
      <x:c r="AH227" s="69"/>
      <x:c r="AI227" s="69"/>
      <x:c r="AJ227" s="69"/>
      <x:c r="AK227" s="69"/>
      <x:c r="AL227" s="69"/>
      <x:c r="AM227" s="69"/>
      <x:c r="AN227" s="69"/>
      <x:c r="AO227" s="69"/>
      <x:c r="AP227" s="69"/>
      <x:c r="AQ227" s="69"/>
      <x:c r="AR227" s="69"/>
      <x:c r="AS227" s="69"/>
      <x:c r="AT227" s="69"/>
      <x:c r="AU227" s="69"/>
      <x:c r="AV227" s="69"/>
      <x:c r="AW227" s="69"/>
      <x:c r="AX227" s="69"/>
      <x:c r="AY227" s="69"/>
      <x:c r="AZ227" s="69"/>
    </x:row>
    <x:row r="228" ht="15" hidden="0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69"/>
      <x:c r="U228" s="69"/>
      <x:c r="V228" s="69"/>
      <x:c r="W228" s="69"/>
      <x:c r="X228" s="69"/>
      <x:c r="Y228" s="69"/>
      <x:c r="Z228" s="69"/>
      <x:c r="AA228" s="69"/>
      <x:c r="AB228" s="69"/>
      <x:c r="AC228" s="69"/>
      <x:c r="AD228" s="69"/>
      <x:c r="AE228" s="69"/>
      <x:c r="AF228" s="69"/>
      <x:c r="AG228" s="69"/>
      <x:c r="AH228" s="69"/>
      <x:c r="AI228" s="69"/>
      <x:c r="AJ228" s="69"/>
      <x:c r="AK228" s="69"/>
      <x:c r="AL228" s="69"/>
      <x:c r="AM228" s="69"/>
      <x:c r="AN228" s="69"/>
      <x:c r="AO228" s="69"/>
      <x:c r="AP228" s="69"/>
      <x:c r="AQ228" s="69"/>
      <x:c r="AR228" s="69"/>
      <x:c r="AS228" s="69"/>
      <x:c r="AT228" s="69"/>
      <x:c r="AU228" s="69"/>
      <x:c r="AV228" s="69"/>
      <x:c r="AW228" s="69"/>
      <x:c r="AX228" s="69"/>
      <x:c r="AY228" s="69"/>
      <x:c r="AZ228" s="69"/>
    </x:row>
    <x:row r="229" ht="15" hidden="0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69"/>
      <x:c r="U229" s="69"/>
      <x:c r="V229" s="69"/>
      <x:c r="W229" s="69"/>
      <x:c r="X229" s="69"/>
      <x:c r="Y229" s="69"/>
      <x:c r="Z229" s="69"/>
      <x:c r="AA229" s="69"/>
      <x:c r="AB229" s="69"/>
      <x:c r="AC229" s="69"/>
      <x:c r="AD229" s="69"/>
      <x:c r="AE229" s="69"/>
      <x:c r="AF229" s="69"/>
      <x:c r="AG229" s="69"/>
      <x:c r="AH229" s="69"/>
      <x:c r="AI229" s="69"/>
      <x:c r="AJ229" s="69"/>
      <x:c r="AK229" s="69"/>
      <x:c r="AL229" s="69"/>
      <x:c r="AM229" s="69"/>
      <x:c r="AN229" s="69"/>
      <x:c r="AO229" s="69"/>
      <x:c r="AP229" s="69"/>
      <x:c r="AQ229" s="69"/>
      <x:c r="AR229" s="69"/>
      <x:c r="AS229" s="69"/>
      <x:c r="AT229" s="69"/>
      <x:c r="AU229" s="69"/>
      <x:c r="AV229" s="69"/>
      <x:c r="AW229" s="69"/>
      <x:c r="AX229" s="69"/>
      <x:c r="AY229" s="69"/>
      <x:c r="AZ229" s="69"/>
    </x:row>
    <x:row r="230" ht="15" hidden="0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69"/>
      <x:c r="U230" s="69"/>
      <x:c r="V230" s="69"/>
      <x:c r="W230" s="69"/>
      <x:c r="X230" s="69"/>
      <x:c r="Y230" s="69"/>
      <x:c r="Z230" s="69"/>
      <x:c r="AA230" s="69"/>
      <x:c r="AB230" s="69"/>
      <x:c r="AC230" s="69"/>
      <x:c r="AD230" s="69"/>
      <x:c r="AE230" s="69"/>
      <x:c r="AF230" s="69"/>
      <x:c r="AG230" s="69"/>
      <x:c r="AH230" s="69"/>
      <x:c r="AI230" s="69"/>
      <x:c r="AJ230" s="69"/>
      <x:c r="AK230" s="69"/>
      <x:c r="AL230" s="69"/>
      <x:c r="AM230" s="69"/>
      <x:c r="AN230" s="69"/>
      <x:c r="AO230" s="69"/>
      <x:c r="AP230" s="69"/>
      <x:c r="AQ230" s="69"/>
      <x:c r="AR230" s="69"/>
      <x:c r="AS230" s="69"/>
      <x:c r="AT230" s="69"/>
      <x:c r="AU230" s="69"/>
      <x:c r="AV230" s="69"/>
      <x:c r="AW230" s="69"/>
      <x:c r="AX230" s="69"/>
      <x:c r="AY230" s="69"/>
      <x:c r="AZ230" s="69"/>
    </x:row>
    <x:row r="231" ht="15" hidden="0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69"/>
      <x:c r="U231" s="69"/>
      <x:c r="V231" s="69"/>
      <x:c r="W231" s="69"/>
      <x:c r="X231" s="69"/>
      <x:c r="Y231" s="69"/>
      <x:c r="Z231" s="69"/>
      <x:c r="AA231" s="69"/>
      <x:c r="AB231" s="69"/>
      <x:c r="AC231" s="69"/>
      <x:c r="AD231" s="69"/>
      <x:c r="AE231" s="69"/>
      <x:c r="AF231" s="69"/>
      <x:c r="AG231" s="69"/>
      <x:c r="AH231" s="69"/>
      <x:c r="AI231" s="69"/>
      <x:c r="AJ231" s="69"/>
      <x:c r="AK231" s="69"/>
      <x:c r="AL231" s="69"/>
      <x:c r="AM231" s="69"/>
      <x:c r="AN231" s="69"/>
      <x:c r="AO231" s="69"/>
      <x:c r="AP231" s="69"/>
      <x:c r="AQ231" s="69"/>
      <x:c r="AR231" s="69"/>
      <x:c r="AS231" s="69"/>
      <x:c r="AT231" s="69"/>
      <x:c r="AU231" s="69"/>
      <x:c r="AV231" s="69"/>
      <x:c r="AW231" s="69"/>
      <x:c r="AX231" s="69"/>
      <x:c r="AY231" s="69"/>
      <x:c r="AZ231" s="69"/>
    </x:row>
    <x:row r="232" ht="15" hidden="0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69"/>
      <x:c r="U232" s="69"/>
      <x:c r="V232" s="69"/>
      <x:c r="W232" s="69"/>
      <x:c r="X232" s="69"/>
      <x:c r="Y232" s="69"/>
      <x:c r="Z232" s="69"/>
      <x:c r="AA232" s="69"/>
      <x:c r="AB232" s="69"/>
      <x:c r="AC232" s="69"/>
      <x:c r="AD232" s="69"/>
      <x:c r="AE232" s="69"/>
      <x:c r="AF232" s="69"/>
      <x:c r="AG232" s="69"/>
      <x:c r="AH232" s="69"/>
      <x:c r="AI232" s="69"/>
      <x:c r="AJ232" s="69"/>
      <x:c r="AK232" s="69"/>
      <x:c r="AL232" s="69"/>
      <x:c r="AM232" s="69"/>
      <x:c r="AN232" s="69"/>
      <x:c r="AO232" s="69"/>
      <x:c r="AP232" s="69"/>
      <x:c r="AQ232" s="69"/>
      <x:c r="AR232" s="69"/>
      <x:c r="AS232" s="69"/>
      <x:c r="AT232" s="69"/>
      <x:c r="AU232" s="69"/>
      <x:c r="AV232" s="69"/>
      <x:c r="AW232" s="69"/>
      <x:c r="AX232" s="69"/>
      <x:c r="AY232" s="69"/>
      <x:c r="AZ232" s="69"/>
    </x:row>
    <x:row r="233" ht="15" hidden="0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69"/>
      <x:c r="U233" s="69"/>
      <x:c r="V233" s="69"/>
      <x:c r="W233" s="69"/>
      <x:c r="X233" s="69"/>
      <x:c r="Y233" s="69"/>
      <x:c r="Z233" s="69"/>
      <x:c r="AA233" s="69"/>
      <x:c r="AB233" s="69"/>
      <x:c r="AC233" s="69"/>
      <x:c r="AD233" s="69"/>
      <x:c r="AE233" s="69"/>
      <x:c r="AF233" s="69"/>
      <x:c r="AG233" s="69"/>
      <x:c r="AH233" s="69"/>
      <x:c r="AI233" s="69"/>
      <x:c r="AJ233" s="69"/>
      <x:c r="AK233" s="69"/>
      <x:c r="AL233" s="69"/>
      <x:c r="AM233" s="69"/>
      <x:c r="AN233" s="69"/>
      <x:c r="AO233" s="69"/>
      <x:c r="AP233" s="69"/>
      <x:c r="AQ233" s="69"/>
      <x:c r="AR233" s="69"/>
      <x:c r="AS233" s="69"/>
      <x:c r="AT233" s="69"/>
      <x:c r="AU233" s="69"/>
      <x:c r="AV233" s="69"/>
      <x:c r="AW233" s="69"/>
      <x:c r="AX233" s="69"/>
      <x:c r="AY233" s="69"/>
      <x:c r="AZ233" s="69"/>
    </x:row>
    <x:row r="234" ht="15" hidden="0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69"/>
      <x:c r="U234" s="69"/>
      <x:c r="V234" s="69"/>
      <x:c r="W234" s="69"/>
      <x:c r="X234" s="69"/>
      <x:c r="Y234" s="69"/>
      <x:c r="Z234" s="69"/>
      <x:c r="AA234" s="69"/>
      <x:c r="AB234" s="69"/>
      <x:c r="AC234" s="69"/>
      <x:c r="AD234" s="69"/>
      <x:c r="AE234" s="69"/>
      <x:c r="AF234" s="69"/>
      <x:c r="AG234" s="69"/>
      <x:c r="AH234" s="69"/>
      <x:c r="AI234" s="69"/>
      <x:c r="AJ234" s="69"/>
      <x:c r="AK234" s="69"/>
      <x:c r="AL234" s="69"/>
      <x:c r="AM234" s="69"/>
      <x:c r="AN234" s="69"/>
      <x:c r="AO234" s="69"/>
      <x:c r="AP234" s="69"/>
      <x:c r="AQ234" s="69"/>
      <x:c r="AR234" s="69"/>
      <x:c r="AS234" s="69"/>
      <x:c r="AT234" s="69"/>
      <x:c r="AU234" s="69"/>
      <x:c r="AV234" s="69"/>
      <x:c r="AW234" s="69"/>
      <x:c r="AX234" s="69"/>
      <x:c r="AY234" s="69"/>
      <x:c r="AZ234" s="69"/>
    </x:row>
    <x:row r="235" ht="15" hidden="0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69"/>
      <x:c r="U235" s="69"/>
      <x:c r="V235" s="69"/>
      <x:c r="W235" s="69"/>
      <x:c r="X235" s="69"/>
      <x:c r="Y235" s="69"/>
      <x:c r="Z235" s="69"/>
      <x:c r="AA235" s="69"/>
      <x:c r="AB235" s="69"/>
      <x:c r="AC235" s="69"/>
      <x:c r="AD235" s="69"/>
      <x:c r="AE235" s="69"/>
      <x:c r="AF235" s="69"/>
      <x:c r="AG235" s="69"/>
      <x:c r="AH235" s="69"/>
      <x:c r="AI235" s="69"/>
      <x:c r="AJ235" s="69"/>
      <x:c r="AK235" s="69"/>
      <x:c r="AL235" s="69"/>
      <x:c r="AM235" s="69"/>
      <x:c r="AN235" s="69"/>
      <x:c r="AO235" s="69"/>
      <x:c r="AP235" s="69"/>
      <x:c r="AQ235" s="69"/>
      <x:c r="AR235" s="69"/>
      <x:c r="AS235" s="69"/>
      <x:c r="AT235" s="69"/>
      <x:c r="AU235" s="69"/>
      <x:c r="AV235" s="69"/>
      <x:c r="AW235" s="69"/>
      <x:c r="AX235" s="69"/>
      <x:c r="AY235" s="69"/>
      <x:c r="AZ235" s="69"/>
    </x:row>
    <x:row r="236" ht="15" hidden="0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69"/>
      <x:c r="U236" s="69"/>
      <x:c r="V236" s="69"/>
      <x:c r="W236" s="69"/>
      <x:c r="X236" s="69"/>
      <x:c r="Y236" s="69"/>
      <x:c r="Z236" s="69"/>
      <x:c r="AA236" s="69"/>
      <x:c r="AB236" s="69"/>
      <x:c r="AC236" s="69"/>
      <x:c r="AD236" s="69"/>
      <x:c r="AE236" s="69"/>
      <x:c r="AF236" s="69"/>
      <x:c r="AG236" s="69"/>
      <x:c r="AH236" s="69"/>
      <x:c r="AI236" s="69"/>
      <x:c r="AJ236" s="69"/>
      <x:c r="AK236" s="69"/>
      <x:c r="AL236" s="69"/>
      <x:c r="AM236" s="69"/>
      <x:c r="AN236" s="69"/>
      <x:c r="AO236" s="69"/>
      <x:c r="AP236" s="69"/>
      <x:c r="AQ236" s="69"/>
      <x:c r="AR236" s="69"/>
      <x:c r="AS236" s="69"/>
      <x:c r="AT236" s="69"/>
      <x:c r="AU236" s="69"/>
      <x:c r="AV236" s="69"/>
      <x:c r="AW236" s="69"/>
      <x:c r="AX236" s="69"/>
      <x:c r="AY236" s="69"/>
      <x:c r="AZ236" s="69"/>
    </x:row>
    <x:row r="237" ht="15" hidden="0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69"/>
      <x:c r="U237" s="69"/>
      <x:c r="V237" s="69"/>
      <x:c r="W237" s="69"/>
      <x:c r="X237" s="69"/>
      <x:c r="Y237" s="69"/>
      <x:c r="Z237" s="69"/>
      <x:c r="AA237" s="69"/>
      <x:c r="AB237" s="69"/>
      <x:c r="AC237" s="69"/>
      <x:c r="AD237" s="69"/>
      <x:c r="AE237" s="69"/>
      <x:c r="AF237" s="69"/>
      <x:c r="AG237" s="69"/>
      <x:c r="AH237" s="69"/>
      <x:c r="AI237" s="69"/>
      <x:c r="AJ237" s="69"/>
      <x:c r="AK237" s="69"/>
      <x:c r="AL237" s="69"/>
      <x:c r="AM237" s="69"/>
      <x:c r="AN237" s="69"/>
      <x:c r="AO237" s="69"/>
      <x:c r="AP237" s="69"/>
      <x:c r="AQ237" s="69"/>
      <x:c r="AR237" s="69"/>
      <x:c r="AS237" s="69"/>
      <x:c r="AT237" s="69"/>
      <x:c r="AU237" s="69"/>
      <x:c r="AV237" s="69"/>
      <x:c r="AW237" s="69"/>
      <x:c r="AX237" s="69"/>
      <x:c r="AY237" s="69"/>
      <x:c r="AZ237" s="69"/>
    </x:row>
    <x:row r="238" ht="15" hidden="0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69"/>
      <x:c r="U238" s="69"/>
      <x:c r="V238" s="69"/>
      <x:c r="W238" s="69"/>
      <x:c r="X238" s="69"/>
      <x:c r="Y238" s="69"/>
      <x:c r="Z238" s="69"/>
      <x:c r="AA238" s="69"/>
      <x:c r="AB238" s="69"/>
      <x:c r="AC238" s="69"/>
      <x:c r="AD238" s="69"/>
      <x:c r="AE238" s="69"/>
      <x:c r="AF238" s="69"/>
      <x:c r="AG238" s="69"/>
      <x:c r="AH238" s="69"/>
      <x:c r="AI238" s="69"/>
      <x:c r="AJ238" s="69"/>
      <x:c r="AK238" s="69"/>
      <x:c r="AL238" s="69"/>
      <x:c r="AM238" s="69"/>
      <x:c r="AN238" s="69"/>
      <x:c r="AO238" s="69"/>
      <x:c r="AP238" s="69"/>
      <x:c r="AQ238" s="69"/>
      <x:c r="AR238" s="69"/>
      <x:c r="AS238" s="69"/>
      <x:c r="AT238" s="69"/>
      <x:c r="AU238" s="69"/>
      <x:c r="AV238" s="69"/>
      <x:c r="AW238" s="69"/>
      <x:c r="AX238" s="69"/>
      <x:c r="AY238" s="69"/>
      <x:c r="AZ238" s="69"/>
    </x:row>
    <x:row r="239" ht="15" hidden="0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69"/>
      <x:c r="U239" s="69"/>
      <x:c r="V239" s="69"/>
      <x:c r="W239" s="69"/>
      <x:c r="X239" s="69"/>
      <x:c r="Y239" s="69"/>
      <x:c r="Z239" s="69"/>
      <x:c r="AA239" s="69"/>
      <x:c r="AB239" s="69"/>
      <x:c r="AC239" s="69"/>
      <x:c r="AD239" s="69"/>
      <x:c r="AE239" s="69"/>
      <x:c r="AF239" s="69"/>
      <x:c r="AG239" s="69"/>
      <x:c r="AH239" s="69"/>
      <x:c r="AI239" s="69"/>
      <x:c r="AJ239" s="69"/>
      <x:c r="AK239" s="69"/>
      <x:c r="AL239" s="69"/>
      <x:c r="AM239" s="69"/>
      <x:c r="AN239" s="69"/>
      <x:c r="AO239" s="69"/>
      <x:c r="AP239" s="69"/>
      <x:c r="AQ239" s="69"/>
      <x:c r="AR239" s="69"/>
      <x:c r="AS239" s="69"/>
      <x:c r="AT239" s="69"/>
      <x:c r="AU239" s="69"/>
      <x:c r="AV239" s="69"/>
      <x:c r="AW239" s="69"/>
      <x:c r="AX239" s="69"/>
      <x:c r="AY239" s="69"/>
      <x:c r="AZ239" s="69"/>
    </x:row>
    <x:row r="240" ht="15" hidden="0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69"/>
      <x:c r="U240" s="69"/>
      <x:c r="V240" s="69"/>
      <x:c r="W240" s="69"/>
      <x:c r="X240" s="69"/>
      <x:c r="Y240" s="69"/>
      <x:c r="Z240" s="69"/>
      <x:c r="AA240" s="69"/>
      <x:c r="AB240" s="69"/>
      <x:c r="AC240" s="69"/>
      <x:c r="AD240" s="69"/>
      <x:c r="AE240" s="69"/>
      <x:c r="AF240" s="69"/>
      <x:c r="AG240" s="69"/>
      <x:c r="AH240" s="69"/>
      <x:c r="AI240" s="69"/>
      <x:c r="AJ240" s="69"/>
      <x:c r="AK240" s="69"/>
      <x:c r="AL240" s="69"/>
      <x:c r="AM240" s="69"/>
      <x:c r="AN240" s="69"/>
      <x:c r="AO240" s="69"/>
      <x:c r="AP240" s="69"/>
      <x:c r="AQ240" s="69"/>
      <x:c r="AR240" s="69"/>
      <x:c r="AS240" s="69"/>
      <x:c r="AT240" s="69"/>
      <x:c r="AU240" s="69"/>
      <x:c r="AV240" s="69"/>
      <x:c r="AW240" s="69"/>
      <x:c r="AX240" s="69"/>
      <x:c r="AY240" s="69"/>
      <x:c r="AZ240" s="69"/>
    </x:row>
    <x:row r="241" ht="15" hidden="0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69"/>
      <x:c r="U241" s="69"/>
      <x:c r="V241" s="69"/>
      <x:c r="W241" s="69"/>
      <x:c r="X241" s="69"/>
      <x:c r="Y241" s="69"/>
      <x:c r="Z241" s="69"/>
      <x:c r="AA241" s="69"/>
      <x:c r="AB241" s="69"/>
      <x:c r="AC241" s="69"/>
      <x:c r="AD241" s="69"/>
      <x:c r="AE241" s="69"/>
      <x:c r="AF241" s="69"/>
      <x:c r="AG241" s="69"/>
      <x:c r="AH241" s="69"/>
      <x:c r="AI241" s="69"/>
      <x:c r="AJ241" s="69"/>
      <x:c r="AK241" s="69"/>
      <x:c r="AL241" s="69"/>
      <x:c r="AM241" s="69"/>
      <x:c r="AN241" s="69"/>
      <x:c r="AO241" s="69"/>
      <x:c r="AP241" s="69"/>
      <x:c r="AQ241" s="69"/>
      <x:c r="AR241" s="69"/>
      <x:c r="AS241" s="69"/>
      <x:c r="AT241" s="69"/>
      <x:c r="AU241" s="69"/>
      <x:c r="AV241" s="69"/>
      <x:c r="AW241" s="69"/>
      <x:c r="AX241" s="69"/>
      <x:c r="AY241" s="69"/>
      <x:c r="AZ241" s="69"/>
    </x:row>
    <x:row r="242" ht="15" hidden="0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69"/>
      <x:c r="U242" s="69"/>
      <x:c r="V242" s="69"/>
      <x:c r="W242" s="69"/>
      <x:c r="X242" s="69"/>
      <x:c r="Y242" s="69"/>
      <x:c r="Z242" s="69"/>
      <x:c r="AA242" s="69"/>
      <x:c r="AB242" s="69"/>
      <x:c r="AC242" s="69"/>
      <x:c r="AD242" s="69"/>
      <x:c r="AE242" s="69"/>
      <x:c r="AF242" s="69"/>
      <x:c r="AG242" s="69"/>
      <x:c r="AH242" s="69"/>
      <x:c r="AI242" s="69"/>
      <x:c r="AJ242" s="69"/>
      <x:c r="AK242" s="69"/>
      <x:c r="AL242" s="69"/>
      <x:c r="AM242" s="69"/>
      <x:c r="AN242" s="69"/>
      <x:c r="AO242" s="69"/>
      <x:c r="AP242" s="69"/>
      <x:c r="AQ242" s="69"/>
      <x:c r="AR242" s="69"/>
      <x:c r="AS242" s="69"/>
      <x:c r="AT242" s="69"/>
      <x:c r="AU242" s="69"/>
      <x:c r="AV242" s="69"/>
      <x:c r="AW242" s="69"/>
      <x:c r="AX242" s="69"/>
      <x:c r="AY242" s="69"/>
      <x:c r="AZ242" s="69"/>
    </x:row>
    <x:row r="243" ht="15" hidden="0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69"/>
      <x:c r="U243" s="69"/>
      <x:c r="V243" s="69"/>
      <x:c r="W243" s="69"/>
      <x:c r="X243" s="69"/>
      <x:c r="Y243" s="69"/>
      <x:c r="Z243" s="69"/>
      <x:c r="AA243" s="69"/>
      <x:c r="AB243" s="69"/>
      <x:c r="AC243" s="69"/>
      <x:c r="AD243" s="69"/>
      <x:c r="AE243" s="69"/>
      <x:c r="AF243" s="69"/>
      <x:c r="AG243" s="69"/>
      <x:c r="AH243" s="69"/>
      <x:c r="AI243" s="69"/>
      <x:c r="AJ243" s="69"/>
      <x:c r="AK243" s="69"/>
      <x:c r="AL243" s="69"/>
      <x:c r="AM243" s="69"/>
      <x:c r="AN243" s="69"/>
      <x:c r="AO243" s="69"/>
      <x:c r="AP243" s="69"/>
      <x:c r="AQ243" s="69"/>
      <x:c r="AR243" s="69"/>
      <x:c r="AS243" s="69"/>
      <x:c r="AT243" s="69"/>
      <x:c r="AU243" s="69"/>
      <x:c r="AV243" s="69"/>
      <x:c r="AW243" s="69"/>
      <x:c r="AX243" s="69"/>
      <x:c r="AY243" s="69"/>
      <x:c r="AZ243" s="69"/>
    </x:row>
    <x:row r="244" ht="15" hidden="0" customHeight="1">
      <x:c r="A244" s="69"/>
      <x:c r="B244" s="69"/>
      <x:c r="C244" s="69"/>
      <x:c r="D244" s="69"/>
      <x:c r="E244" s="69"/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/>
      <x:c r="P244" s="69"/>
      <x:c r="Q244" s="69"/>
      <x:c r="R244" s="69"/>
      <x:c r="S244" s="69"/>
      <x:c r="T244" s="69"/>
      <x:c r="U244" s="69"/>
      <x:c r="V244" s="69"/>
      <x:c r="W244" s="69"/>
      <x:c r="X244" s="69"/>
      <x:c r="Y244" s="69"/>
      <x:c r="Z244" s="69"/>
      <x:c r="AA244" s="69"/>
      <x:c r="AB244" s="69"/>
      <x:c r="AC244" s="69"/>
      <x:c r="AD244" s="69"/>
      <x:c r="AE244" s="69"/>
      <x:c r="AF244" s="69"/>
      <x:c r="AG244" s="69"/>
      <x:c r="AH244" s="69"/>
      <x:c r="AI244" s="69"/>
      <x:c r="AJ244" s="69"/>
      <x:c r="AK244" s="69"/>
      <x:c r="AL244" s="69"/>
      <x:c r="AM244" s="69"/>
      <x:c r="AN244" s="69"/>
      <x:c r="AO244" s="69"/>
      <x:c r="AP244" s="69"/>
      <x:c r="AQ244" s="69"/>
      <x:c r="AR244" s="69"/>
      <x:c r="AS244" s="69"/>
      <x:c r="AT244" s="69"/>
      <x:c r="AU244" s="69"/>
      <x:c r="AV244" s="69"/>
      <x:c r="AW244" s="69"/>
      <x:c r="AX244" s="69"/>
      <x:c r="AY244" s="69"/>
      <x:c r="AZ244" s="69"/>
    </x:row>
    <x:row r="245" ht="15" hidden="0" customHeight="1">
      <x:c r="A245" s="69"/>
      <x:c r="B245" s="69"/>
      <x:c r="C245" s="69"/>
      <x:c r="D245" s="69"/>
      <x:c r="E245" s="69"/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/>
      <x:c r="P245" s="69"/>
      <x:c r="Q245" s="69"/>
      <x:c r="R245" s="69"/>
      <x:c r="S245" s="69"/>
      <x:c r="T245" s="69"/>
      <x:c r="U245" s="69"/>
      <x:c r="V245" s="69"/>
      <x:c r="W245" s="69"/>
      <x:c r="X245" s="69"/>
      <x:c r="Y245" s="69"/>
      <x:c r="Z245" s="69"/>
      <x:c r="AA245" s="69"/>
      <x:c r="AB245" s="69"/>
      <x:c r="AC245" s="69"/>
      <x:c r="AD245" s="69"/>
      <x:c r="AE245" s="69"/>
      <x:c r="AF245" s="69"/>
      <x:c r="AG245" s="69"/>
      <x:c r="AH245" s="69"/>
      <x:c r="AI245" s="69"/>
      <x:c r="AJ245" s="69"/>
      <x:c r="AK245" s="69"/>
      <x:c r="AL245" s="69"/>
      <x:c r="AM245" s="69"/>
      <x:c r="AN245" s="69"/>
      <x:c r="AO245" s="69"/>
      <x:c r="AP245" s="69"/>
      <x:c r="AQ245" s="69"/>
      <x:c r="AR245" s="69"/>
      <x:c r="AS245" s="69"/>
      <x:c r="AT245" s="69"/>
      <x:c r="AU245" s="69"/>
      <x:c r="AV245" s="69"/>
      <x:c r="AW245" s="69"/>
      <x:c r="AX245" s="69"/>
      <x:c r="AY245" s="69"/>
      <x:c r="AZ245" s="69"/>
    </x:row>
    <x:row r="246" ht="15" hidden="0" customHeight="1">
      <x:c r="A246" s="69"/>
      <x:c r="B246" s="69"/>
      <x:c r="C246" s="69"/>
      <x:c r="D246" s="69"/>
      <x:c r="E246" s="69"/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/>
      <x:c r="P246" s="69"/>
      <x:c r="Q246" s="69"/>
      <x:c r="R246" s="69"/>
      <x:c r="S246" s="69"/>
      <x:c r="T246" s="69"/>
      <x:c r="U246" s="69"/>
      <x:c r="V246" s="69"/>
      <x:c r="W246" s="69"/>
      <x:c r="X246" s="69"/>
      <x:c r="Y246" s="69"/>
      <x:c r="Z246" s="69"/>
      <x:c r="AA246" s="69"/>
      <x:c r="AB246" s="69"/>
      <x:c r="AC246" s="69"/>
      <x:c r="AD246" s="69"/>
      <x:c r="AE246" s="69"/>
      <x:c r="AF246" s="69"/>
      <x:c r="AG246" s="69"/>
      <x:c r="AH246" s="69"/>
      <x:c r="AI246" s="69"/>
      <x:c r="AJ246" s="69"/>
      <x:c r="AK246" s="69"/>
      <x:c r="AL246" s="69"/>
      <x:c r="AM246" s="69"/>
      <x:c r="AN246" s="69"/>
      <x:c r="AO246" s="69"/>
      <x:c r="AP246" s="69"/>
      <x:c r="AQ246" s="69"/>
      <x:c r="AR246" s="69"/>
      <x:c r="AS246" s="69"/>
      <x:c r="AT246" s="69"/>
      <x:c r="AU246" s="69"/>
      <x:c r="AV246" s="69"/>
      <x:c r="AW246" s="69"/>
      <x:c r="AX246" s="69"/>
      <x:c r="AY246" s="69"/>
      <x:c r="AZ246" s="69"/>
    </x:row>
    <x:row r="247" ht="15" hidden="0" customHeight="1">
      <x:c r="A247" s="69"/>
      <x:c r="B247" s="69"/>
      <x:c r="C247" s="69"/>
      <x:c r="D247" s="69"/>
      <x:c r="E247" s="69"/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/>
      <x:c r="P247" s="69"/>
      <x:c r="Q247" s="69"/>
      <x:c r="R247" s="69"/>
      <x:c r="S247" s="69"/>
      <x:c r="T247" s="69"/>
      <x:c r="U247" s="69"/>
      <x:c r="V247" s="69"/>
      <x:c r="W247" s="69"/>
      <x:c r="X247" s="69"/>
      <x:c r="Y247" s="69"/>
      <x:c r="Z247" s="69"/>
      <x:c r="AA247" s="69"/>
      <x:c r="AB247" s="69"/>
      <x:c r="AC247" s="69"/>
      <x:c r="AD247" s="69"/>
      <x:c r="AE247" s="69"/>
      <x:c r="AF247" s="69"/>
      <x:c r="AG247" s="69"/>
      <x:c r="AH247" s="69"/>
      <x:c r="AI247" s="69"/>
      <x:c r="AJ247" s="69"/>
      <x:c r="AK247" s="69"/>
      <x:c r="AL247" s="69"/>
      <x:c r="AM247" s="69"/>
      <x:c r="AN247" s="69"/>
      <x:c r="AO247" s="69"/>
      <x:c r="AP247" s="69"/>
      <x:c r="AQ247" s="69"/>
      <x:c r="AR247" s="69"/>
      <x:c r="AS247" s="69"/>
      <x:c r="AT247" s="69"/>
      <x:c r="AU247" s="69"/>
      <x:c r="AV247" s="69"/>
      <x:c r="AW247" s="69"/>
      <x:c r="AX247" s="69"/>
      <x:c r="AY247" s="69"/>
      <x:c r="AZ247" s="69"/>
    </x:row>
    <x:row r="248" ht="15" hidden="0" customHeight="1">
      <x:c r="A248" s="69"/>
      <x:c r="B248" s="69"/>
      <x:c r="C248" s="69"/>
      <x:c r="D248" s="69"/>
      <x:c r="E248" s="69"/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/>
      <x:c r="P248" s="69"/>
      <x:c r="Q248" s="69"/>
      <x:c r="R248" s="69"/>
      <x:c r="S248" s="69"/>
      <x:c r="T248" s="69"/>
      <x:c r="U248" s="69"/>
      <x:c r="V248" s="69"/>
      <x:c r="W248" s="69"/>
      <x:c r="X248" s="69"/>
      <x:c r="Y248" s="69"/>
      <x:c r="Z248" s="69"/>
      <x:c r="AA248" s="69"/>
      <x:c r="AB248" s="69"/>
      <x:c r="AC248" s="69"/>
      <x:c r="AD248" s="69"/>
      <x:c r="AE248" s="69"/>
      <x:c r="AF248" s="69"/>
      <x:c r="AG248" s="69"/>
      <x:c r="AH248" s="69"/>
      <x:c r="AI248" s="69"/>
      <x:c r="AJ248" s="69"/>
      <x:c r="AK248" s="69"/>
      <x:c r="AL248" s="69"/>
      <x:c r="AM248" s="69"/>
      <x:c r="AN248" s="69"/>
      <x:c r="AO248" s="69"/>
      <x:c r="AP248" s="69"/>
      <x:c r="AQ248" s="69"/>
      <x:c r="AR248" s="69"/>
      <x:c r="AS248" s="69"/>
      <x:c r="AT248" s="69"/>
      <x:c r="AU248" s="69"/>
      <x:c r="AV248" s="69"/>
      <x:c r="AW248" s="69"/>
      <x:c r="AX248" s="69"/>
      <x:c r="AY248" s="69"/>
      <x:c r="AZ248" s="69"/>
    </x:row>
    <x:row r="249" ht="15" hidden="0" customHeight="1">
      <x:c r="A249" s="69"/>
      <x:c r="B249" s="69"/>
      <x:c r="C249" s="69"/>
      <x:c r="D249" s="69"/>
      <x:c r="E249" s="69"/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/>
      <x:c r="P249" s="69"/>
      <x:c r="Q249" s="69"/>
      <x:c r="R249" s="69"/>
      <x:c r="S249" s="69"/>
      <x:c r="T249" s="69"/>
      <x:c r="U249" s="69"/>
      <x:c r="V249" s="69"/>
      <x:c r="W249" s="69"/>
      <x:c r="X249" s="69"/>
      <x:c r="Y249" s="69"/>
      <x:c r="Z249" s="69"/>
      <x:c r="AA249" s="69"/>
      <x:c r="AB249" s="69"/>
      <x:c r="AC249" s="69"/>
      <x:c r="AD249" s="69"/>
      <x:c r="AE249" s="69"/>
      <x:c r="AF249" s="69"/>
      <x:c r="AG249" s="69"/>
      <x:c r="AH249" s="69"/>
      <x:c r="AI249" s="69"/>
      <x:c r="AJ249" s="69"/>
      <x:c r="AK249" s="69"/>
      <x:c r="AL249" s="69"/>
      <x:c r="AM249" s="69"/>
      <x:c r="AN249" s="69"/>
      <x:c r="AO249" s="69"/>
      <x:c r="AP249" s="69"/>
      <x:c r="AQ249" s="69"/>
      <x:c r="AR249" s="69"/>
      <x:c r="AS249" s="69"/>
      <x:c r="AT249" s="69"/>
      <x:c r="AU249" s="69"/>
      <x:c r="AV249" s="69"/>
      <x:c r="AW249" s="69"/>
      <x:c r="AX249" s="69"/>
      <x:c r="AY249" s="69"/>
      <x:c r="AZ249" s="69"/>
    </x:row>
    <x:row r="250" ht="15" hidden="0" customHeight="1">
      <x:c r="A250" s="69"/>
      <x:c r="B250" s="69"/>
      <x:c r="C250" s="69"/>
      <x:c r="D250" s="69"/>
      <x:c r="E250" s="69"/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/>
      <x:c r="P250" s="69"/>
      <x:c r="Q250" s="69"/>
      <x:c r="R250" s="69"/>
      <x:c r="S250" s="69"/>
      <x:c r="T250" s="69"/>
      <x:c r="U250" s="69"/>
      <x:c r="V250" s="69"/>
      <x:c r="W250" s="69"/>
      <x:c r="X250" s="69"/>
      <x:c r="Y250" s="69"/>
      <x:c r="Z250" s="69"/>
      <x:c r="AA250" s="69"/>
      <x:c r="AB250" s="69"/>
      <x:c r="AC250" s="69"/>
      <x:c r="AD250" s="69"/>
      <x:c r="AE250" s="69"/>
      <x:c r="AF250" s="69"/>
      <x:c r="AG250" s="69"/>
      <x:c r="AH250" s="69"/>
      <x:c r="AI250" s="69"/>
      <x:c r="AJ250" s="69"/>
      <x:c r="AK250" s="69"/>
      <x:c r="AL250" s="69"/>
      <x:c r="AM250" s="69"/>
      <x:c r="AN250" s="69"/>
      <x:c r="AO250" s="69"/>
      <x:c r="AP250" s="69"/>
      <x:c r="AQ250" s="69"/>
      <x:c r="AR250" s="69"/>
      <x:c r="AS250" s="69"/>
      <x:c r="AT250" s="69"/>
      <x:c r="AU250" s="69"/>
      <x:c r="AV250" s="69"/>
      <x:c r="AW250" s="69"/>
      <x:c r="AX250" s="69"/>
      <x:c r="AY250" s="69"/>
      <x:c r="AZ250" s="69"/>
    </x:row>
    <x:row r="251" ht="15" hidden="0" customHeight="1">
      <x:c r="A251" s="69"/>
      <x:c r="B251" s="69"/>
      <x:c r="C251" s="69"/>
      <x:c r="D251" s="69"/>
      <x:c r="E251" s="69"/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/>
      <x:c r="P251" s="69"/>
      <x:c r="Q251" s="69"/>
      <x:c r="R251" s="69"/>
      <x:c r="S251" s="69"/>
      <x:c r="T251" s="69"/>
      <x:c r="U251" s="69"/>
      <x:c r="V251" s="69"/>
      <x:c r="W251" s="69"/>
      <x:c r="X251" s="69"/>
      <x:c r="Y251" s="69"/>
      <x:c r="Z251" s="69"/>
      <x:c r="AA251" s="69"/>
      <x:c r="AB251" s="69"/>
      <x:c r="AC251" s="69"/>
      <x:c r="AD251" s="69"/>
      <x:c r="AE251" s="69"/>
      <x:c r="AF251" s="69"/>
      <x:c r="AG251" s="69"/>
      <x:c r="AH251" s="69"/>
      <x:c r="AI251" s="69"/>
      <x:c r="AJ251" s="69"/>
      <x:c r="AK251" s="69"/>
      <x:c r="AL251" s="69"/>
      <x:c r="AM251" s="69"/>
      <x:c r="AN251" s="69"/>
      <x:c r="AO251" s="69"/>
      <x:c r="AP251" s="69"/>
      <x:c r="AQ251" s="69"/>
      <x:c r="AR251" s="69"/>
      <x:c r="AS251" s="69"/>
      <x:c r="AT251" s="69"/>
      <x:c r="AU251" s="69"/>
      <x:c r="AV251" s="69"/>
      <x:c r="AW251" s="69"/>
      <x:c r="AX251" s="69"/>
      <x:c r="AY251" s="69"/>
      <x:c r="AZ251" s="69"/>
    </x:row>
    <x:row r="252" ht="15" hidden="0" customHeight="1">
      <x:c r="A252" s="69"/>
      <x:c r="B252" s="69"/>
      <x:c r="C252" s="69"/>
      <x:c r="D252" s="69"/>
      <x:c r="E252" s="69"/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/>
      <x:c r="P252" s="69"/>
      <x:c r="Q252" s="69"/>
      <x:c r="R252" s="69"/>
      <x:c r="S252" s="69"/>
      <x:c r="T252" s="69"/>
      <x:c r="U252" s="69"/>
      <x:c r="V252" s="69"/>
      <x:c r="W252" s="69"/>
      <x:c r="X252" s="69"/>
      <x:c r="Y252" s="69"/>
      <x:c r="Z252" s="69"/>
      <x:c r="AA252" s="69"/>
      <x:c r="AB252" s="69"/>
      <x:c r="AC252" s="69"/>
      <x:c r="AD252" s="69"/>
      <x:c r="AE252" s="69"/>
      <x:c r="AF252" s="69"/>
      <x:c r="AG252" s="69"/>
      <x:c r="AH252" s="69"/>
      <x:c r="AI252" s="69"/>
      <x:c r="AJ252" s="69"/>
      <x:c r="AK252" s="69"/>
      <x:c r="AL252" s="69"/>
      <x:c r="AM252" s="69"/>
      <x:c r="AN252" s="69"/>
      <x:c r="AO252" s="69"/>
      <x:c r="AP252" s="69"/>
      <x:c r="AQ252" s="69"/>
      <x:c r="AR252" s="69"/>
      <x:c r="AS252" s="69"/>
      <x:c r="AT252" s="69"/>
      <x:c r="AU252" s="69"/>
      <x:c r="AV252" s="69"/>
      <x:c r="AW252" s="69"/>
      <x:c r="AX252" s="69"/>
      <x:c r="AY252" s="69"/>
      <x:c r="AZ252" s="69"/>
    </x:row>
    <x:row r="253" ht="15" hidden="0" customHeight="1">
      <x:c r="A253" s="69"/>
      <x:c r="B253" s="69"/>
      <x:c r="C253" s="69"/>
      <x:c r="D253" s="69"/>
      <x:c r="E253" s="69"/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/>
      <x:c r="P253" s="69"/>
      <x:c r="Q253" s="69"/>
      <x:c r="R253" s="69"/>
      <x:c r="S253" s="69"/>
      <x:c r="T253" s="69"/>
      <x:c r="U253" s="69"/>
      <x:c r="V253" s="69"/>
      <x:c r="W253" s="69"/>
      <x:c r="X253" s="69"/>
      <x:c r="Y253" s="69"/>
      <x:c r="Z253" s="69"/>
      <x:c r="AA253" s="69"/>
      <x:c r="AB253" s="69"/>
      <x:c r="AC253" s="69"/>
      <x:c r="AD253" s="69"/>
      <x:c r="AE253" s="69"/>
      <x:c r="AF253" s="69"/>
      <x:c r="AG253" s="69"/>
      <x:c r="AH253" s="69"/>
      <x:c r="AI253" s="69"/>
      <x:c r="AJ253" s="69"/>
      <x:c r="AK253" s="69"/>
      <x:c r="AL253" s="69"/>
      <x:c r="AM253" s="69"/>
      <x:c r="AN253" s="69"/>
      <x:c r="AO253" s="69"/>
      <x:c r="AP253" s="69"/>
      <x:c r="AQ253" s="69"/>
      <x:c r="AR253" s="69"/>
      <x:c r="AS253" s="69"/>
      <x:c r="AT253" s="69"/>
      <x:c r="AU253" s="69"/>
      <x:c r="AV253" s="69"/>
      <x:c r="AW253" s="69"/>
      <x:c r="AX253" s="69"/>
      <x:c r="AY253" s="69"/>
      <x:c r="AZ253" s="69"/>
    </x:row>
    <x:row r="254" ht="15" hidden="0" customHeight="1">
      <x:c r="A254" s="69"/>
      <x:c r="B254" s="69"/>
      <x:c r="C254" s="69"/>
      <x:c r="D254" s="69"/>
      <x:c r="E254" s="69"/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/>
      <x:c r="P254" s="69"/>
      <x:c r="Q254" s="69"/>
      <x:c r="R254" s="69"/>
      <x:c r="S254" s="69"/>
      <x:c r="T254" s="69"/>
      <x:c r="U254" s="69"/>
      <x:c r="V254" s="69"/>
      <x:c r="W254" s="69"/>
      <x:c r="X254" s="69"/>
      <x:c r="Y254" s="69"/>
      <x:c r="Z254" s="69"/>
      <x:c r="AA254" s="69"/>
      <x:c r="AB254" s="69"/>
      <x:c r="AC254" s="69"/>
      <x:c r="AD254" s="69"/>
      <x:c r="AE254" s="69"/>
      <x:c r="AF254" s="69"/>
      <x:c r="AG254" s="69"/>
      <x:c r="AH254" s="69"/>
      <x:c r="AI254" s="69"/>
      <x:c r="AJ254" s="69"/>
      <x:c r="AK254" s="69"/>
      <x:c r="AL254" s="69"/>
      <x:c r="AM254" s="69"/>
      <x:c r="AN254" s="69"/>
      <x:c r="AO254" s="69"/>
      <x:c r="AP254" s="69"/>
      <x:c r="AQ254" s="69"/>
      <x:c r="AR254" s="69"/>
      <x:c r="AS254" s="69"/>
      <x:c r="AT254" s="69"/>
      <x:c r="AU254" s="69"/>
      <x:c r="AV254" s="69"/>
      <x:c r="AW254" s="69"/>
      <x:c r="AX254" s="69"/>
      <x:c r="AY254" s="69"/>
      <x:c r="AZ254" s="69"/>
    </x:row>
    <x:row r="255" ht="15" hidden="0" customHeight="1">
      <x:c r="A255" s="69"/>
      <x:c r="B255" s="69"/>
      <x:c r="C255" s="69"/>
      <x:c r="D255" s="69"/>
      <x:c r="E255" s="69"/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/>
      <x:c r="P255" s="69"/>
      <x:c r="Q255" s="69"/>
      <x:c r="R255" s="69"/>
      <x:c r="S255" s="69"/>
      <x:c r="T255" s="69"/>
      <x:c r="U255" s="69"/>
      <x:c r="V255" s="69"/>
      <x:c r="W255" s="69"/>
      <x:c r="X255" s="69"/>
      <x:c r="Y255" s="69"/>
      <x:c r="Z255" s="69"/>
      <x:c r="AA255" s="69"/>
      <x:c r="AB255" s="69"/>
      <x:c r="AC255" s="69"/>
      <x:c r="AD255" s="69"/>
      <x:c r="AE255" s="69"/>
      <x:c r="AF255" s="69"/>
      <x:c r="AG255" s="69"/>
      <x:c r="AH255" s="69"/>
      <x:c r="AI255" s="69"/>
      <x:c r="AJ255" s="69"/>
      <x:c r="AK255" s="69"/>
      <x:c r="AL255" s="69"/>
      <x:c r="AM255" s="69"/>
      <x:c r="AN255" s="69"/>
      <x:c r="AO255" s="69"/>
      <x:c r="AP255" s="69"/>
      <x:c r="AQ255" s="69"/>
      <x:c r="AR255" s="69"/>
      <x:c r="AS255" s="69"/>
      <x:c r="AT255" s="69"/>
      <x:c r="AU255" s="69"/>
      <x:c r="AV255" s="69"/>
      <x:c r="AW255" s="69"/>
      <x:c r="AX255" s="69"/>
      <x:c r="AY255" s="69"/>
      <x:c r="AZ255" s="69"/>
    </x:row>
    <x:row r="256" ht="15" hidden="0" customHeight="1">
      <x:c r="A256" s="69"/>
      <x:c r="B256" s="69"/>
      <x:c r="C256" s="69"/>
      <x:c r="D256" s="69"/>
      <x:c r="E256" s="69"/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/>
      <x:c r="P256" s="69"/>
      <x:c r="Q256" s="69"/>
      <x:c r="R256" s="69"/>
      <x:c r="S256" s="69"/>
      <x:c r="T256" s="69"/>
      <x:c r="U256" s="69"/>
      <x:c r="V256" s="69"/>
      <x:c r="W256" s="69"/>
      <x:c r="X256" s="69"/>
      <x:c r="Y256" s="69"/>
      <x:c r="Z256" s="69"/>
      <x:c r="AA256" s="69"/>
      <x:c r="AB256" s="69"/>
      <x:c r="AC256" s="69"/>
      <x:c r="AD256" s="69"/>
      <x:c r="AE256" s="69"/>
      <x:c r="AF256" s="69"/>
      <x:c r="AG256" s="69"/>
      <x:c r="AH256" s="69"/>
      <x:c r="AI256" s="69"/>
      <x:c r="AJ256" s="69"/>
      <x:c r="AK256" s="69"/>
      <x:c r="AL256" s="69"/>
      <x:c r="AM256" s="69"/>
      <x:c r="AN256" s="69"/>
      <x:c r="AO256" s="69"/>
      <x:c r="AP256" s="69"/>
      <x:c r="AQ256" s="69"/>
      <x:c r="AR256" s="69"/>
      <x:c r="AS256" s="69"/>
      <x:c r="AT256" s="69"/>
      <x:c r="AU256" s="69"/>
      <x:c r="AV256" s="69"/>
      <x:c r="AW256" s="69"/>
      <x:c r="AX256" s="69"/>
      <x:c r="AY256" s="69"/>
      <x:c r="AZ256" s="69"/>
    </x:row>
    <x:row r="257" ht="15" hidden="0" customHeight="1">
      <x:c r="A257" s="69"/>
      <x:c r="B257" s="69"/>
      <x:c r="C257" s="69"/>
      <x:c r="D257" s="69"/>
      <x:c r="E257" s="69"/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/>
      <x:c r="P257" s="69"/>
      <x:c r="Q257" s="69"/>
      <x:c r="R257" s="69"/>
      <x:c r="S257" s="69"/>
      <x:c r="T257" s="69"/>
      <x:c r="U257" s="69"/>
      <x:c r="V257" s="69"/>
      <x:c r="W257" s="69"/>
      <x:c r="X257" s="69"/>
      <x:c r="Y257" s="69"/>
      <x:c r="Z257" s="69"/>
      <x:c r="AA257" s="69"/>
      <x:c r="AB257" s="69"/>
      <x:c r="AC257" s="69"/>
      <x:c r="AD257" s="69"/>
      <x:c r="AE257" s="69"/>
      <x:c r="AF257" s="69"/>
      <x:c r="AG257" s="69"/>
      <x:c r="AH257" s="69"/>
      <x:c r="AI257" s="69"/>
      <x:c r="AJ257" s="69"/>
      <x:c r="AK257" s="69"/>
      <x:c r="AL257" s="69"/>
      <x:c r="AM257" s="69"/>
      <x:c r="AN257" s="69"/>
      <x:c r="AO257" s="69"/>
      <x:c r="AP257" s="69"/>
      <x:c r="AQ257" s="69"/>
      <x:c r="AR257" s="69"/>
      <x:c r="AS257" s="69"/>
      <x:c r="AT257" s="69"/>
      <x:c r="AU257" s="69"/>
      <x:c r="AV257" s="69"/>
      <x:c r="AW257" s="69"/>
      <x:c r="AX257" s="69"/>
      <x:c r="AY257" s="69"/>
      <x:c r="AZ257" s="69"/>
    </x:row>
    <x:row r="258" ht="15" hidden="0" customHeight="1">
      <x:c r="A258" s="69"/>
      <x:c r="B258" s="69"/>
      <x:c r="C258" s="69"/>
      <x:c r="D258" s="69"/>
      <x:c r="E258" s="69"/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/>
      <x:c r="P258" s="69"/>
      <x:c r="Q258" s="69"/>
      <x:c r="R258" s="69"/>
      <x:c r="S258" s="69"/>
      <x:c r="T258" s="69"/>
      <x:c r="U258" s="69"/>
      <x:c r="V258" s="69"/>
      <x:c r="W258" s="69"/>
      <x:c r="X258" s="69"/>
      <x:c r="Y258" s="69"/>
      <x:c r="Z258" s="69"/>
      <x:c r="AA258" s="69"/>
      <x:c r="AB258" s="69"/>
      <x:c r="AC258" s="69"/>
      <x:c r="AD258" s="69"/>
      <x:c r="AE258" s="69"/>
      <x:c r="AF258" s="69"/>
      <x:c r="AG258" s="69"/>
      <x:c r="AH258" s="69"/>
      <x:c r="AI258" s="69"/>
      <x:c r="AJ258" s="69"/>
      <x:c r="AK258" s="69"/>
      <x:c r="AL258" s="69"/>
      <x:c r="AM258" s="69"/>
      <x:c r="AN258" s="69"/>
      <x:c r="AO258" s="69"/>
      <x:c r="AP258" s="69"/>
      <x:c r="AQ258" s="69"/>
      <x:c r="AR258" s="69"/>
      <x:c r="AS258" s="69"/>
      <x:c r="AT258" s="69"/>
      <x:c r="AU258" s="69"/>
      <x:c r="AV258" s="69"/>
      <x:c r="AW258" s="69"/>
      <x:c r="AX258" s="69"/>
      <x:c r="AY258" s="69"/>
      <x:c r="AZ258" s="69"/>
    </x:row>
    <x:row r="259" ht="15" hidden="0" customHeight="1">
      <x:c r="A259" s="69"/>
      <x:c r="B259" s="69"/>
      <x:c r="C259" s="69"/>
      <x:c r="D259" s="69"/>
      <x:c r="E259" s="69"/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/>
      <x:c r="P259" s="69"/>
      <x:c r="Q259" s="69"/>
      <x:c r="R259" s="69"/>
      <x:c r="S259" s="69"/>
      <x:c r="T259" s="69"/>
      <x:c r="U259" s="69"/>
      <x:c r="V259" s="69"/>
      <x:c r="W259" s="69"/>
      <x:c r="X259" s="69"/>
      <x:c r="Y259" s="69"/>
      <x:c r="Z259" s="69"/>
      <x:c r="AA259" s="69"/>
      <x:c r="AB259" s="69"/>
      <x:c r="AC259" s="69"/>
      <x:c r="AD259" s="69"/>
      <x:c r="AE259" s="69"/>
      <x:c r="AF259" s="69"/>
      <x:c r="AG259" s="69"/>
      <x:c r="AH259" s="69"/>
      <x:c r="AI259" s="69"/>
      <x:c r="AJ259" s="69"/>
      <x:c r="AK259" s="69"/>
      <x:c r="AL259" s="69"/>
      <x:c r="AM259" s="69"/>
      <x:c r="AN259" s="69"/>
      <x:c r="AO259" s="69"/>
      <x:c r="AP259" s="69"/>
      <x:c r="AQ259" s="69"/>
      <x:c r="AR259" s="69"/>
      <x:c r="AS259" s="69"/>
      <x:c r="AT259" s="69"/>
      <x:c r="AU259" s="69"/>
      <x:c r="AV259" s="69"/>
      <x:c r="AW259" s="69"/>
      <x:c r="AX259" s="69"/>
      <x:c r="AY259" s="69"/>
      <x:c r="AZ259" s="69"/>
    </x:row>
    <x:row r="260" ht="15" hidden="0" customHeight="1">
      <x:c r="A260" s="69"/>
      <x:c r="B260" s="69"/>
      <x:c r="C260" s="69"/>
      <x:c r="D260" s="69"/>
      <x:c r="E260" s="69"/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/>
      <x:c r="P260" s="69"/>
      <x:c r="Q260" s="69"/>
      <x:c r="R260" s="69"/>
      <x:c r="S260" s="69"/>
      <x:c r="T260" s="69"/>
      <x:c r="U260" s="69"/>
      <x:c r="V260" s="69"/>
      <x:c r="W260" s="69"/>
      <x:c r="X260" s="69"/>
      <x:c r="Y260" s="69"/>
      <x:c r="Z260" s="69"/>
      <x:c r="AA260" s="69"/>
      <x:c r="AB260" s="69"/>
      <x:c r="AC260" s="69"/>
      <x:c r="AD260" s="69"/>
      <x:c r="AE260" s="69"/>
      <x:c r="AF260" s="69"/>
      <x:c r="AG260" s="69"/>
      <x:c r="AH260" s="69"/>
      <x:c r="AI260" s="69"/>
      <x:c r="AJ260" s="69"/>
      <x:c r="AK260" s="69"/>
      <x:c r="AL260" s="69"/>
      <x:c r="AM260" s="69"/>
      <x:c r="AN260" s="69"/>
      <x:c r="AO260" s="69"/>
      <x:c r="AP260" s="69"/>
      <x:c r="AQ260" s="69"/>
      <x:c r="AR260" s="69"/>
      <x:c r="AS260" s="69"/>
      <x:c r="AT260" s="69"/>
      <x:c r="AU260" s="69"/>
      <x:c r="AV260" s="69"/>
      <x:c r="AW260" s="69"/>
      <x:c r="AX260" s="69"/>
      <x:c r="AY260" s="69"/>
      <x:c r="AZ260" s="69"/>
    </x:row>
    <x:row r="261" ht="15" hidden="0" customHeight="1">
      <x:c r="A261" s="69"/>
      <x:c r="B261" s="69"/>
      <x:c r="C261" s="69"/>
      <x:c r="D261" s="69"/>
      <x:c r="E261" s="69"/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/>
      <x:c r="P261" s="69"/>
      <x:c r="Q261" s="69"/>
      <x:c r="R261" s="69"/>
      <x:c r="S261" s="69"/>
      <x:c r="T261" s="69"/>
      <x:c r="U261" s="69"/>
      <x:c r="V261" s="69"/>
      <x:c r="W261" s="69"/>
      <x:c r="X261" s="69"/>
      <x:c r="Y261" s="69"/>
      <x:c r="Z261" s="69"/>
      <x:c r="AA261" s="69"/>
      <x:c r="AB261" s="69"/>
      <x:c r="AC261" s="69"/>
      <x:c r="AD261" s="69"/>
      <x:c r="AE261" s="69"/>
      <x:c r="AF261" s="69"/>
      <x:c r="AG261" s="69"/>
      <x:c r="AH261" s="69"/>
      <x:c r="AI261" s="69"/>
      <x:c r="AJ261" s="69"/>
      <x:c r="AK261" s="69"/>
      <x:c r="AL261" s="69"/>
      <x:c r="AM261" s="69"/>
      <x:c r="AN261" s="69"/>
      <x:c r="AO261" s="69"/>
      <x:c r="AP261" s="69"/>
      <x:c r="AQ261" s="69"/>
      <x:c r="AR261" s="69"/>
      <x:c r="AS261" s="69"/>
      <x:c r="AT261" s="69"/>
      <x:c r="AU261" s="69"/>
      <x:c r="AV261" s="69"/>
      <x:c r="AW261" s="69"/>
      <x:c r="AX261" s="69"/>
      <x:c r="AY261" s="69"/>
      <x:c r="AZ261" s="69"/>
    </x:row>
    <x:row r="262" ht="15" hidden="0" customHeight="1">
      <x:c r="A262" s="69"/>
      <x:c r="B262" s="69"/>
      <x:c r="C262" s="69"/>
      <x:c r="D262" s="69"/>
      <x:c r="E262" s="69"/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/>
      <x:c r="P262" s="69"/>
      <x:c r="Q262" s="69"/>
      <x:c r="R262" s="69"/>
      <x:c r="S262" s="69"/>
      <x:c r="T262" s="69"/>
      <x:c r="U262" s="69"/>
      <x:c r="V262" s="69"/>
      <x:c r="W262" s="69"/>
      <x:c r="X262" s="69"/>
      <x:c r="Y262" s="69"/>
      <x:c r="Z262" s="69"/>
      <x:c r="AA262" s="69"/>
      <x:c r="AB262" s="69"/>
      <x:c r="AC262" s="69"/>
      <x:c r="AD262" s="69"/>
      <x:c r="AE262" s="69"/>
      <x:c r="AF262" s="69"/>
      <x:c r="AG262" s="69"/>
      <x:c r="AH262" s="69"/>
      <x:c r="AI262" s="69"/>
      <x:c r="AJ262" s="69"/>
      <x:c r="AK262" s="69"/>
      <x:c r="AL262" s="69"/>
      <x:c r="AM262" s="69"/>
      <x:c r="AN262" s="69"/>
      <x:c r="AO262" s="69"/>
      <x:c r="AP262" s="69"/>
      <x:c r="AQ262" s="69"/>
      <x:c r="AR262" s="69"/>
      <x:c r="AS262" s="69"/>
      <x:c r="AT262" s="69"/>
      <x:c r="AU262" s="69"/>
      <x:c r="AV262" s="69"/>
      <x:c r="AW262" s="69"/>
      <x:c r="AX262" s="69"/>
      <x:c r="AY262" s="69"/>
      <x:c r="AZ262" s="69"/>
    </x:row>
    <x:row r="263" ht="15" hidden="0" customHeight="1">
      <x:c r="A263" s="69"/>
      <x:c r="B263" s="69"/>
      <x:c r="C263" s="69"/>
      <x:c r="D263" s="69"/>
      <x:c r="E263" s="69"/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/>
      <x:c r="P263" s="69"/>
      <x:c r="Q263" s="69"/>
      <x:c r="R263" s="69"/>
      <x:c r="S263" s="69"/>
      <x:c r="T263" s="69"/>
      <x:c r="U263" s="69"/>
      <x:c r="V263" s="69"/>
      <x:c r="W263" s="69"/>
      <x:c r="X263" s="69"/>
      <x:c r="Y263" s="69"/>
      <x:c r="Z263" s="69"/>
      <x:c r="AA263" s="69"/>
      <x:c r="AB263" s="69"/>
      <x:c r="AC263" s="69"/>
      <x:c r="AD263" s="69"/>
      <x:c r="AE263" s="69"/>
      <x:c r="AF263" s="69"/>
      <x:c r="AG263" s="69"/>
      <x:c r="AH263" s="69"/>
      <x:c r="AI263" s="69"/>
      <x:c r="AJ263" s="69"/>
      <x:c r="AK263" s="69"/>
      <x:c r="AL263" s="69"/>
      <x:c r="AM263" s="69"/>
      <x:c r="AN263" s="69"/>
      <x:c r="AO263" s="69"/>
      <x:c r="AP263" s="69"/>
      <x:c r="AQ263" s="69"/>
      <x:c r="AR263" s="69"/>
      <x:c r="AS263" s="69"/>
      <x:c r="AT263" s="69"/>
      <x:c r="AU263" s="69"/>
      <x:c r="AV263" s="69"/>
      <x:c r="AW263" s="69"/>
      <x:c r="AX263" s="69"/>
      <x:c r="AY263" s="69"/>
      <x:c r="AZ263" s="69"/>
    </x:row>
    <x:row r="264" ht="15" hidden="0" customHeight="1">
      <x:c r="A264" s="69"/>
      <x:c r="B264" s="69"/>
      <x:c r="C264" s="69"/>
      <x:c r="D264" s="69"/>
      <x:c r="E264" s="69"/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/>
      <x:c r="P264" s="69"/>
      <x:c r="Q264" s="69"/>
      <x:c r="R264" s="69"/>
      <x:c r="S264" s="69"/>
      <x:c r="T264" s="69"/>
      <x:c r="U264" s="69"/>
      <x:c r="V264" s="69"/>
      <x:c r="W264" s="69"/>
      <x:c r="X264" s="69"/>
      <x:c r="Y264" s="69"/>
      <x:c r="Z264" s="69"/>
      <x:c r="AA264" s="69"/>
      <x:c r="AB264" s="69"/>
      <x:c r="AC264" s="69"/>
      <x:c r="AD264" s="69"/>
      <x:c r="AE264" s="69"/>
      <x:c r="AF264" s="69"/>
      <x:c r="AG264" s="69"/>
      <x:c r="AH264" s="69"/>
      <x:c r="AI264" s="69"/>
      <x:c r="AJ264" s="69"/>
      <x:c r="AK264" s="69"/>
      <x:c r="AL264" s="69"/>
      <x:c r="AM264" s="69"/>
      <x:c r="AN264" s="69"/>
      <x:c r="AO264" s="69"/>
      <x:c r="AP264" s="69"/>
      <x:c r="AQ264" s="69"/>
      <x:c r="AR264" s="69"/>
      <x:c r="AS264" s="69"/>
      <x:c r="AT264" s="69"/>
      <x:c r="AU264" s="69"/>
      <x:c r="AV264" s="69"/>
      <x:c r="AW264" s="69"/>
      <x:c r="AX264" s="69"/>
      <x:c r="AY264" s="69"/>
      <x:c r="AZ264" s="69"/>
    </x:row>
    <x:row r="265" ht="15" hidden="0" customHeight="1">
      <x:c r="A265" s="69"/>
      <x:c r="B265" s="69"/>
      <x:c r="C265" s="69"/>
      <x:c r="D265" s="69"/>
      <x:c r="E265" s="69"/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/>
      <x:c r="P265" s="69"/>
      <x:c r="Q265" s="69"/>
      <x:c r="R265" s="69"/>
      <x:c r="S265" s="69"/>
      <x:c r="T265" s="69"/>
      <x:c r="U265" s="69"/>
      <x:c r="V265" s="69"/>
      <x:c r="W265" s="69"/>
      <x:c r="X265" s="69"/>
      <x:c r="Y265" s="69"/>
      <x:c r="Z265" s="69"/>
      <x:c r="AA265" s="69"/>
      <x:c r="AB265" s="69"/>
      <x:c r="AC265" s="69"/>
      <x:c r="AD265" s="69"/>
      <x:c r="AE265" s="69"/>
      <x:c r="AF265" s="69"/>
      <x:c r="AG265" s="69"/>
      <x:c r="AH265" s="69"/>
      <x:c r="AI265" s="69"/>
      <x:c r="AJ265" s="69"/>
      <x:c r="AK265" s="69"/>
      <x:c r="AL265" s="69"/>
      <x:c r="AM265" s="69"/>
      <x:c r="AN265" s="69"/>
      <x:c r="AO265" s="69"/>
      <x:c r="AP265" s="69"/>
      <x:c r="AQ265" s="69"/>
      <x:c r="AR265" s="69"/>
      <x:c r="AS265" s="69"/>
      <x:c r="AT265" s="69"/>
      <x:c r="AU265" s="69"/>
      <x:c r="AV265" s="69"/>
      <x:c r="AW265" s="69"/>
      <x:c r="AX265" s="69"/>
      <x:c r="AY265" s="69"/>
      <x:c r="AZ265" s="69"/>
    </x:row>
    <x:row r="266" ht="15" hidden="0" customHeight="1">
      <x:c r="A266" s="69"/>
      <x:c r="B266" s="69"/>
      <x:c r="C266" s="69"/>
      <x:c r="D266" s="69"/>
      <x:c r="E266" s="69"/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/>
      <x:c r="P266" s="69"/>
      <x:c r="Q266" s="69"/>
      <x:c r="R266" s="69"/>
      <x:c r="S266" s="69"/>
      <x:c r="T266" s="69"/>
      <x:c r="U266" s="69"/>
      <x:c r="V266" s="69"/>
      <x:c r="W266" s="69"/>
      <x:c r="X266" s="69"/>
      <x:c r="Y266" s="69"/>
      <x:c r="Z266" s="69"/>
      <x:c r="AA266" s="69"/>
      <x:c r="AB266" s="69"/>
      <x:c r="AC266" s="69"/>
      <x:c r="AD266" s="69"/>
      <x:c r="AE266" s="69"/>
      <x:c r="AF266" s="69"/>
      <x:c r="AG266" s="69"/>
      <x:c r="AH266" s="69"/>
      <x:c r="AI266" s="69"/>
      <x:c r="AJ266" s="69"/>
      <x:c r="AK266" s="69"/>
      <x:c r="AL266" s="69"/>
      <x:c r="AM266" s="69"/>
      <x:c r="AN266" s="69"/>
      <x:c r="AO266" s="69"/>
      <x:c r="AP266" s="69"/>
      <x:c r="AQ266" s="69"/>
      <x:c r="AR266" s="69"/>
      <x:c r="AS266" s="69"/>
      <x:c r="AT266" s="69"/>
      <x:c r="AU266" s="69"/>
      <x:c r="AV266" s="69"/>
      <x:c r="AW266" s="69"/>
      <x:c r="AX266" s="69"/>
      <x:c r="AY266" s="69"/>
      <x:c r="AZ266" s="69"/>
    </x:row>
    <x:row r="267" ht="15" hidden="0" customHeight="1">
      <x:c r="A267" s="69"/>
      <x:c r="B267" s="69"/>
      <x:c r="C267" s="69"/>
      <x:c r="D267" s="69"/>
      <x:c r="E267" s="69"/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/>
      <x:c r="P267" s="69"/>
      <x:c r="Q267" s="69"/>
      <x:c r="R267" s="69"/>
      <x:c r="S267" s="69"/>
      <x:c r="T267" s="69"/>
      <x:c r="U267" s="69"/>
      <x:c r="V267" s="69"/>
      <x:c r="W267" s="69"/>
      <x:c r="X267" s="69"/>
      <x:c r="Y267" s="69"/>
      <x:c r="Z267" s="69"/>
      <x:c r="AA267" s="69"/>
      <x:c r="AB267" s="69"/>
      <x:c r="AC267" s="69"/>
      <x:c r="AD267" s="69"/>
      <x:c r="AE267" s="69"/>
      <x:c r="AF267" s="69"/>
      <x:c r="AG267" s="69"/>
      <x:c r="AH267" s="69"/>
      <x:c r="AI267" s="69"/>
      <x:c r="AJ267" s="69"/>
      <x:c r="AK267" s="69"/>
      <x:c r="AL267" s="69"/>
      <x:c r="AM267" s="69"/>
      <x:c r="AN267" s="69"/>
      <x:c r="AO267" s="69"/>
      <x:c r="AP267" s="69"/>
      <x:c r="AQ267" s="69"/>
      <x:c r="AR267" s="69"/>
      <x:c r="AS267" s="69"/>
      <x:c r="AT267" s="69"/>
      <x:c r="AU267" s="69"/>
      <x:c r="AV267" s="69"/>
      <x:c r="AW267" s="69"/>
      <x:c r="AX267" s="69"/>
      <x:c r="AY267" s="69"/>
      <x:c r="AZ267" s="69"/>
    </x:row>
    <x:row r="268" ht="15" hidden="0" customHeight="1">
      <x:c r="A268" s="69"/>
      <x:c r="B268" s="69"/>
      <x:c r="C268" s="69"/>
      <x:c r="D268" s="69"/>
      <x:c r="E268" s="69"/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/>
      <x:c r="P268" s="69"/>
      <x:c r="Q268" s="69"/>
      <x:c r="R268" s="69"/>
      <x:c r="S268" s="69"/>
      <x:c r="T268" s="69"/>
      <x:c r="U268" s="69"/>
      <x:c r="V268" s="69"/>
      <x:c r="W268" s="69"/>
      <x:c r="X268" s="69"/>
      <x:c r="Y268" s="69"/>
      <x:c r="Z268" s="69"/>
      <x:c r="AA268" s="69"/>
      <x:c r="AB268" s="69"/>
      <x:c r="AC268" s="69"/>
      <x:c r="AD268" s="69"/>
      <x:c r="AE268" s="69"/>
      <x:c r="AF268" s="69"/>
      <x:c r="AG268" s="69"/>
      <x:c r="AH268" s="69"/>
      <x:c r="AI268" s="69"/>
      <x:c r="AJ268" s="69"/>
      <x:c r="AK268" s="69"/>
      <x:c r="AL268" s="69"/>
      <x:c r="AM268" s="69"/>
      <x:c r="AN268" s="69"/>
      <x:c r="AO268" s="69"/>
      <x:c r="AP268" s="69"/>
      <x:c r="AQ268" s="69"/>
      <x:c r="AR268" s="69"/>
      <x:c r="AS268" s="69"/>
      <x:c r="AT268" s="69"/>
      <x:c r="AU268" s="69"/>
      <x:c r="AV268" s="69"/>
      <x:c r="AW268" s="69"/>
      <x:c r="AX268" s="69"/>
      <x:c r="AY268" s="69"/>
      <x:c r="AZ268" s="69"/>
    </x:row>
    <x:row r="269" ht="15" hidden="0" customHeight="1">
      <x:c r="A269" s="69"/>
      <x:c r="B269" s="69"/>
      <x:c r="C269" s="69"/>
      <x:c r="D269" s="69"/>
      <x:c r="E269" s="69"/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/>
      <x:c r="P269" s="69"/>
      <x:c r="Q269" s="69"/>
      <x:c r="R269" s="69"/>
      <x:c r="S269" s="69"/>
      <x:c r="T269" s="69"/>
      <x:c r="U269" s="69"/>
      <x:c r="V269" s="69"/>
      <x:c r="W269" s="69"/>
      <x:c r="X269" s="69"/>
      <x:c r="Y269" s="69"/>
      <x:c r="Z269" s="69"/>
      <x:c r="AA269" s="69"/>
      <x:c r="AB269" s="69"/>
      <x:c r="AC269" s="69"/>
      <x:c r="AD269" s="69"/>
      <x:c r="AE269" s="69"/>
      <x:c r="AF269" s="69"/>
      <x:c r="AG269" s="69"/>
      <x:c r="AH269" s="69"/>
      <x:c r="AI269" s="69"/>
      <x:c r="AJ269" s="69"/>
      <x:c r="AK269" s="69"/>
      <x:c r="AL269" s="69"/>
      <x:c r="AM269" s="69"/>
      <x:c r="AN269" s="69"/>
      <x:c r="AO269" s="69"/>
      <x:c r="AP269" s="69"/>
      <x:c r="AQ269" s="69"/>
      <x:c r="AR269" s="69"/>
      <x:c r="AS269" s="69"/>
      <x:c r="AT269" s="69"/>
      <x:c r="AU269" s="69"/>
      <x:c r="AV269" s="69"/>
      <x:c r="AW269" s="69"/>
      <x:c r="AX269" s="69"/>
      <x:c r="AY269" s="69"/>
      <x:c r="AZ269" s="69"/>
    </x:row>
    <x:row r="270" ht="15" hidden="0" customHeight="1">
      <x:c r="A270" s="69"/>
      <x:c r="B270" s="69"/>
      <x:c r="C270" s="69"/>
      <x:c r="D270" s="69"/>
      <x:c r="E270" s="69"/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/>
      <x:c r="P270" s="69"/>
      <x:c r="Q270" s="69"/>
      <x:c r="R270" s="69"/>
      <x:c r="S270" s="69"/>
      <x:c r="T270" s="69"/>
      <x:c r="U270" s="69"/>
      <x:c r="V270" s="69"/>
      <x:c r="W270" s="69"/>
      <x:c r="X270" s="69"/>
      <x:c r="Y270" s="69"/>
      <x:c r="Z270" s="69"/>
      <x:c r="AA270" s="69"/>
      <x:c r="AB270" s="69"/>
      <x:c r="AC270" s="69"/>
      <x:c r="AD270" s="69"/>
      <x:c r="AE270" s="69"/>
      <x:c r="AF270" s="69"/>
      <x:c r="AG270" s="69"/>
      <x:c r="AH270" s="69"/>
      <x:c r="AI270" s="69"/>
      <x:c r="AJ270" s="69"/>
      <x:c r="AK270" s="69"/>
      <x:c r="AL270" s="69"/>
      <x:c r="AM270" s="69"/>
      <x:c r="AN270" s="69"/>
      <x:c r="AO270" s="69"/>
      <x:c r="AP270" s="69"/>
      <x:c r="AQ270" s="69"/>
      <x:c r="AR270" s="69"/>
      <x:c r="AS270" s="69"/>
      <x:c r="AT270" s="69"/>
      <x:c r="AU270" s="69"/>
      <x:c r="AV270" s="69"/>
      <x:c r="AW270" s="69"/>
      <x:c r="AX270" s="69"/>
      <x:c r="AY270" s="69"/>
      <x:c r="AZ270" s="69"/>
    </x:row>
    <x:row r="271" ht="15" hidden="0" customHeight="1">
      <x:c r="A271" s="69"/>
      <x:c r="B271" s="69"/>
      <x:c r="C271" s="69"/>
      <x:c r="D271" s="69"/>
      <x:c r="E271" s="69"/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/>
      <x:c r="P271" s="69"/>
      <x:c r="Q271" s="69"/>
      <x:c r="R271" s="69"/>
      <x:c r="S271" s="69"/>
      <x:c r="T271" s="69"/>
      <x:c r="U271" s="69"/>
      <x:c r="V271" s="69"/>
      <x:c r="W271" s="69"/>
      <x:c r="X271" s="69"/>
      <x:c r="Y271" s="69"/>
      <x:c r="Z271" s="69"/>
      <x:c r="AA271" s="69"/>
      <x:c r="AB271" s="69"/>
      <x:c r="AC271" s="69"/>
      <x:c r="AD271" s="69"/>
      <x:c r="AE271" s="69"/>
      <x:c r="AF271" s="69"/>
      <x:c r="AG271" s="69"/>
      <x:c r="AH271" s="69"/>
      <x:c r="AI271" s="69"/>
      <x:c r="AJ271" s="69"/>
      <x:c r="AK271" s="69"/>
      <x:c r="AL271" s="69"/>
      <x:c r="AM271" s="69"/>
      <x:c r="AN271" s="69"/>
      <x:c r="AO271" s="69"/>
      <x:c r="AP271" s="69"/>
      <x:c r="AQ271" s="69"/>
      <x:c r="AR271" s="69"/>
      <x:c r="AS271" s="69"/>
      <x:c r="AT271" s="69"/>
      <x:c r="AU271" s="69"/>
      <x:c r="AV271" s="69"/>
      <x:c r="AW271" s="69"/>
      <x:c r="AX271" s="69"/>
      <x:c r="AY271" s="69"/>
      <x:c r="AZ271" s="69"/>
    </x:row>
    <x:row r="272" ht="15" hidden="0" customHeight="1">
      <x:c r="A272" s="69"/>
      <x:c r="B272" s="69"/>
      <x:c r="C272" s="69"/>
      <x:c r="D272" s="69"/>
      <x:c r="E272" s="69"/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/>
      <x:c r="P272" s="69"/>
      <x:c r="Q272" s="69"/>
      <x:c r="R272" s="69"/>
      <x:c r="S272" s="69"/>
      <x:c r="T272" s="69"/>
      <x:c r="U272" s="69"/>
      <x:c r="V272" s="69"/>
      <x:c r="W272" s="69"/>
      <x:c r="X272" s="69"/>
      <x:c r="Y272" s="69"/>
      <x:c r="Z272" s="69"/>
      <x:c r="AA272" s="69"/>
      <x:c r="AB272" s="69"/>
      <x:c r="AC272" s="69"/>
      <x:c r="AD272" s="69"/>
      <x:c r="AE272" s="69"/>
      <x:c r="AF272" s="69"/>
      <x:c r="AG272" s="69"/>
      <x:c r="AH272" s="69"/>
      <x:c r="AI272" s="69"/>
      <x:c r="AJ272" s="69"/>
      <x:c r="AK272" s="69"/>
      <x:c r="AL272" s="69"/>
      <x:c r="AM272" s="69"/>
      <x:c r="AN272" s="69"/>
      <x:c r="AO272" s="69"/>
      <x:c r="AP272" s="69"/>
      <x:c r="AQ272" s="69"/>
      <x:c r="AR272" s="69"/>
      <x:c r="AS272" s="69"/>
      <x:c r="AT272" s="69"/>
      <x:c r="AU272" s="69"/>
      <x:c r="AV272" s="69"/>
      <x:c r="AW272" s="69"/>
      <x:c r="AX272" s="69"/>
      <x:c r="AY272" s="69"/>
      <x:c r="AZ272" s="69"/>
    </x:row>
    <x:row r="273" ht="15" hidden="0" customHeight="1">
      <x:c r="A273" s="69"/>
      <x:c r="B273" s="69"/>
      <x:c r="C273" s="69"/>
      <x:c r="D273" s="69"/>
      <x:c r="E273" s="69"/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/>
      <x:c r="P273" s="69"/>
      <x:c r="Q273" s="69"/>
      <x:c r="R273" s="69"/>
      <x:c r="S273" s="69"/>
      <x:c r="T273" s="69"/>
      <x:c r="U273" s="69"/>
      <x:c r="V273" s="69"/>
      <x:c r="W273" s="69"/>
      <x:c r="X273" s="69"/>
      <x:c r="Y273" s="69"/>
      <x:c r="Z273" s="69"/>
      <x:c r="AA273" s="69"/>
      <x:c r="AB273" s="69"/>
      <x:c r="AC273" s="69"/>
      <x:c r="AD273" s="69"/>
      <x:c r="AE273" s="69"/>
      <x:c r="AF273" s="69"/>
      <x:c r="AG273" s="69"/>
      <x:c r="AH273" s="69"/>
      <x:c r="AI273" s="69"/>
      <x:c r="AJ273" s="69"/>
      <x:c r="AK273" s="69"/>
      <x:c r="AL273" s="69"/>
      <x:c r="AM273" s="69"/>
      <x:c r="AN273" s="69"/>
      <x:c r="AO273" s="69"/>
      <x:c r="AP273" s="69"/>
      <x:c r="AQ273" s="69"/>
      <x:c r="AR273" s="69"/>
      <x:c r="AS273" s="69"/>
      <x:c r="AT273" s="69"/>
      <x:c r="AU273" s="69"/>
      <x:c r="AV273" s="69"/>
      <x:c r="AW273" s="69"/>
      <x:c r="AX273" s="69"/>
      <x:c r="AY273" s="69"/>
      <x:c r="AZ273" s="69"/>
    </x:row>
    <x:row r="274" ht="15" hidden="0" customHeight="1">
      <x:c r="A274" s="69"/>
      <x:c r="B274" s="69"/>
      <x:c r="C274" s="69"/>
      <x:c r="D274" s="69"/>
      <x:c r="E274" s="69"/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/>
      <x:c r="P274" s="69"/>
      <x:c r="Q274" s="69"/>
      <x:c r="R274" s="69"/>
      <x:c r="S274" s="69"/>
      <x:c r="T274" s="69"/>
      <x:c r="U274" s="69"/>
      <x:c r="V274" s="69"/>
      <x:c r="W274" s="69"/>
      <x:c r="X274" s="69"/>
      <x:c r="Y274" s="69"/>
      <x:c r="Z274" s="69"/>
      <x:c r="AA274" s="69"/>
      <x:c r="AB274" s="69"/>
      <x:c r="AC274" s="69"/>
      <x:c r="AD274" s="69"/>
      <x:c r="AE274" s="69"/>
      <x:c r="AF274" s="69"/>
      <x:c r="AG274" s="69"/>
      <x:c r="AH274" s="69"/>
      <x:c r="AI274" s="69"/>
      <x:c r="AJ274" s="69"/>
      <x:c r="AK274" s="69"/>
      <x:c r="AL274" s="69"/>
      <x:c r="AM274" s="69"/>
      <x:c r="AN274" s="69"/>
      <x:c r="AO274" s="69"/>
      <x:c r="AP274" s="69"/>
      <x:c r="AQ274" s="69"/>
      <x:c r="AR274" s="69"/>
      <x:c r="AS274" s="69"/>
      <x:c r="AT274" s="69"/>
      <x:c r="AU274" s="69"/>
      <x:c r="AV274" s="69"/>
      <x:c r="AW274" s="69"/>
      <x:c r="AX274" s="69"/>
      <x:c r="AY274" s="69"/>
      <x:c r="AZ274" s="69"/>
    </x:row>
    <x:row r="275" ht="15" hidden="0" customHeight="1">
      <x:c r="A275" s="69"/>
      <x:c r="B275" s="69"/>
      <x:c r="C275" s="69"/>
      <x:c r="D275" s="69"/>
      <x:c r="E275" s="69"/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/>
      <x:c r="P275" s="69"/>
      <x:c r="Q275" s="69"/>
      <x:c r="R275" s="69"/>
      <x:c r="S275" s="69"/>
      <x:c r="T275" s="69"/>
      <x:c r="U275" s="69"/>
      <x:c r="V275" s="69"/>
      <x:c r="W275" s="69"/>
      <x:c r="X275" s="69"/>
      <x:c r="Y275" s="69"/>
      <x:c r="Z275" s="69"/>
      <x:c r="AA275" s="69"/>
      <x:c r="AB275" s="69"/>
      <x:c r="AC275" s="69"/>
      <x:c r="AD275" s="69"/>
      <x:c r="AE275" s="69"/>
      <x:c r="AF275" s="69"/>
      <x:c r="AG275" s="69"/>
      <x:c r="AH275" s="69"/>
      <x:c r="AI275" s="69"/>
      <x:c r="AJ275" s="69"/>
      <x:c r="AK275" s="69"/>
      <x:c r="AL275" s="69"/>
      <x:c r="AM275" s="69"/>
      <x:c r="AN275" s="69"/>
      <x:c r="AO275" s="69"/>
      <x:c r="AP275" s="69"/>
      <x:c r="AQ275" s="69"/>
      <x:c r="AR275" s="69"/>
      <x:c r="AS275" s="69"/>
      <x:c r="AT275" s="69"/>
      <x:c r="AU275" s="69"/>
      <x:c r="AV275" s="69"/>
      <x:c r="AW275" s="69"/>
      <x:c r="AX275" s="69"/>
      <x:c r="AY275" s="69"/>
      <x:c r="AZ275" s="69"/>
    </x:row>
    <x:row r="276" ht="15" hidden="0" customHeight="1">
      <x:c r="A276" s="69"/>
      <x:c r="B276" s="69"/>
      <x:c r="C276" s="69"/>
      <x:c r="D276" s="69"/>
      <x:c r="E276" s="69"/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/>
      <x:c r="P276" s="69"/>
      <x:c r="Q276" s="69"/>
      <x:c r="R276" s="69"/>
      <x:c r="S276" s="69"/>
      <x:c r="T276" s="69"/>
      <x:c r="U276" s="69"/>
      <x:c r="V276" s="69"/>
      <x:c r="W276" s="69"/>
      <x:c r="X276" s="69"/>
      <x:c r="Y276" s="69"/>
      <x:c r="Z276" s="69"/>
      <x:c r="AA276" s="69"/>
      <x:c r="AB276" s="69"/>
      <x:c r="AC276" s="69"/>
      <x:c r="AD276" s="69"/>
      <x:c r="AE276" s="69"/>
      <x:c r="AF276" s="69"/>
      <x:c r="AG276" s="69"/>
      <x:c r="AH276" s="69"/>
      <x:c r="AI276" s="69"/>
      <x:c r="AJ276" s="69"/>
      <x:c r="AK276" s="69"/>
      <x:c r="AL276" s="69"/>
      <x:c r="AM276" s="69"/>
      <x:c r="AN276" s="69"/>
      <x:c r="AO276" s="69"/>
      <x:c r="AP276" s="69"/>
      <x:c r="AQ276" s="69"/>
      <x:c r="AR276" s="69"/>
      <x:c r="AS276" s="69"/>
      <x:c r="AT276" s="69"/>
      <x:c r="AU276" s="69"/>
      <x:c r="AV276" s="69"/>
      <x:c r="AW276" s="69"/>
      <x:c r="AX276" s="69"/>
      <x:c r="AY276" s="69"/>
      <x:c r="AZ276" s="69"/>
    </x:row>
    <x:row r="277" ht="15" hidden="0" customHeight="1">
      <x:c r="A277" s="69"/>
      <x:c r="B277" s="69"/>
      <x:c r="C277" s="69"/>
      <x:c r="D277" s="69"/>
      <x:c r="E277" s="69"/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/>
      <x:c r="P277" s="69"/>
      <x:c r="Q277" s="69"/>
      <x:c r="R277" s="69"/>
      <x:c r="S277" s="69"/>
      <x:c r="T277" s="69"/>
      <x:c r="U277" s="69"/>
      <x:c r="V277" s="69"/>
      <x:c r="W277" s="69"/>
      <x:c r="X277" s="69"/>
      <x:c r="Y277" s="69"/>
      <x:c r="Z277" s="69"/>
      <x:c r="AA277" s="69"/>
      <x:c r="AB277" s="69"/>
      <x:c r="AC277" s="69"/>
      <x:c r="AD277" s="69"/>
      <x:c r="AE277" s="69"/>
      <x:c r="AF277" s="69"/>
      <x:c r="AG277" s="69"/>
      <x:c r="AH277" s="69"/>
      <x:c r="AI277" s="69"/>
      <x:c r="AJ277" s="69"/>
      <x:c r="AK277" s="69"/>
      <x:c r="AL277" s="69"/>
      <x:c r="AM277" s="69"/>
      <x:c r="AN277" s="69"/>
      <x:c r="AO277" s="69"/>
      <x:c r="AP277" s="69"/>
      <x:c r="AQ277" s="69"/>
      <x:c r="AR277" s="69"/>
      <x:c r="AS277" s="69"/>
      <x:c r="AT277" s="69"/>
      <x:c r="AU277" s="69"/>
      <x:c r="AV277" s="69"/>
      <x:c r="AW277" s="69"/>
      <x:c r="AX277" s="69"/>
      <x:c r="AY277" s="69"/>
      <x:c r="AZ277" s="69"/>
    </x:row>
    <x:row r="278" ht="15" hidden="0" customHeight="1">
      <x:c r="A278" s="69"/>
      <x:c r="B278" s="69"/>
      <x:c r="C278" s="69"/>
      <x:c r="D278" s="69"/>
      <x:c r="E278" s="69"/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/>
      <x:c r="P278" s="69"/>
      <x:c r="Q278" s="69"/>
      <x:c r="R278" s="69"/>
      <x:c r="S278" s="69"/>
      <x:c r="T278" s="69"/>
      <x:c r="U278" s="69"/>
      <x:c r="V278" s="69"/>
      <x:c r="W278" s="69"/>
      <x:c r="X278" s="69"/>
      <x:c r="Y278" s="69"/>
      <x:c r="Z278" s="69"/>
      <x:c r="AA278" s="69"/>
      <x:c r="AB278" s="69"/>
      <x:c r="AC278" s="69"/>
      <x:c r="AD278" s="69"/>
      <x:c r="AE278" s="69"/>
      <x:c r="AF278" s="69"/>
      <x:c r="AG278" s="69"/>
      <x:c r="AH278" s="69"/>
      <x:c r="AI278" s="69"/>
      <x:c r="AJ278" s="69"/>
      <x:c r="AK278" s="69"/>
      <x:c r="AL278" s="69"/>
      <x:c r="AM278" s="69"/>
      <x:c r="AN278" s="69"/>
      <x:c r="AO278" s="69"/>
      <x:c r="AP278" s="69"/>
      <x:c r="AQ278" s="69"/>
      <x:c r="AR278" s="69"/>
      <x:c r="AS278" s="69"/>
      <x:c r="AT278" s="69"/>
      <x:c r="AU278" s="69"/>
      <x:c r="AV278" s="69"/>
      <x:c r="AW278" s="69"/>
      <x:c r="AX278" s="69"/>
      <x:c r="AY278" s="69"/>
      <x:c r="AZ278" s="69"/>
    </x:row>
    <x:row r="279" ht="15" hidden="0" customHeight="1">
      <x:c r="A279" s="69"/>
      <x:c r="B279" s="69"/>
      <x:c r="C279" s="69"/>
      <x:c r="D279" s="69"/>
      <x:c r="E279" s="69"/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/>
      <x:c r="P279" s="69"/>
      <x:c r="Q279" s="69"/>
      <x:c r="R279" s="69"/>
      <x:c r="S279" s="69"/>
      <x:c r="T279" s="69"/>
      <x:c r="U279" s="69"/>
      <x:c r="V279" s="69"/>
      <x:c r="W279" s="69"/>
      <x:c r="X279" s="69"/>
      <x:c r="Y279" s="69"/>
      <x:c r="Z279" s="69"/>
      <x:c r="AA279" s="69"/>
      <x:c r="AB279" s="69"/>
      <x:c r="AC279" s="69"/>
      <x:c r="AD279" s="69"/>
      <x:c r="AE279" s="69"/>
      <x:c r="AF279" s="69"/>
      <x:c r="AG279" s="69"/>
      <x:c r="AH279" s="69"/>
      <x:c r="AI279" s="69"/>
      <x:c r="AJ279" s="69"/>
      <x:c r="AK279" s="69"/>
      <x:c r="AL279" s="69"/>
      <x:c r="AM279" s="69"/>
      <x:c r="AN279" s="69"/>
      <x:c r="AO279" s="69"/>
      <x:c r="AP279" s="69"/>
      <x:c r="AQ279" s="69"/>
      <x:c r="AR279" s="69"/>
      <x:c r="AS279" s="69"/>
      <x:c r="AT279" s="69"/>
      <x:c r="AU279" s="69"/>
      <x:c r="AV279" s="69"/>
      <x:c r="AW279" s="69"/>
      <x:c r="AX279" s="69"/>
      <x:c r="AY279" s="69"/>
      <x:c r="AZ279" s="69"/>
    </x:row>
    <x:row r="280" ht="15" hidden="0" customHeight="1">
      <x:c r="A280" s="69"/>
      <x:c r="B280" s="69"/>
      <x:c r="C280" s="69"/>
      <x:c r="D280" s="69"/>
      <x:c r="E280" s="69"/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/>
      <x:c r="P280" s="69"/>
      <x:c r="Q280" s="69"/>
      <x:c r="R280" s="69"/>
      <x:c r="S280" s="69"/>
      <x:c r="T280" s="69"/>
      <x:c r="U280" s="69"/>
      <x:c r="V280" s="69"/>
      <x:c r="W280" s="69"/>
      <x:c r="X280" s="69"/>
      <x:c r="Y280" s="69"/>
      <x:c r="Z280" s="69"/>
      <x:c r="AA280" s="69"/>
      <x:c r="AB280" s="69"/>
      <x:c r="AC280" s="69"/>
      <x:c r="AD280" s="69"/>
      <x:c r="AE280" s="69"/>
      <x:c r="AF280" s="69"/>
      <x:c r="AG280" s="69"/>
      <x:c r="AH280" s="69"/>
      <x:c r="AI280" s="69"/>
      <x:c r="AJ280" s="69"/>
      <x:c r="AK280" s="69"/>
      <x:c r="AL280" s="69"/>
      <x:c r="AM280" s="69"/>
      <x:c r="AN280" s="69"/>
      <x:c r="AO280" s="69"/>
      <x:c r="AP280" s="69"/>
      <x:c r="AQ280" s="69"/>
      <x:c r="AR280" s="69"/>
      <x:c r="AS280" s="69"/>
      <x:c r="AT280" s="69"/>
      <x:c r="AU280" s="69"/>
      <x:c r="AV280" s="69"/>
      <x:c r="AW280" s="69"/>
      <x:c r="AX280" s="69"/>
      <x:c r="AY280" s="69"/>
      <x:c r="AZ280" s="69"/>
    </x:row>
    <x:row r="281" ht="15" hidden="0" customHeight="1">
      <x:c r="A281" s="69"/>
      <x:c r="B281" s="69"/>
      <x:c r="C281" s="69"/>
      <x:c r="D281" s="69"/>
      <x:c r="E281" s="69"/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/>
      <x:c r="P281" s="69"/>
      <x:c r="Q281" s="69"/>
      <x:c r="R281" s="69"/>
      <x:c r="S281" s="69"/>
      <x:c r="T281" s="69"/>
      <x:c r="U281" s="69"/>
      <x:c r="V281" s="69"/>
      <x:c r="W281" s="69"/>
      <x:c r="X281" s="69"/>
      <x:c r="Y281" s="69"/>
      <x:c r="Z281" s="69"/>
      <x:c r="AA281" s="69"/>
      <x:c r="AB281" s="69"/>
      <x:c r="AC281" s="69"/>
      <x:c r="AD281" s="69"/>
      <x:c r="AE281" s="69"/>
      <x:c r="AF281" s="69"/>
      <x:c r="AG281" s="69"/>
      <x:c r="AH281" s="69"/>
      <x:c r="AI281" s="69"/>
      <x:c r="AJ281" s="69"/>
      <x:c r="AK281" s="69"/>
      <x:c r="AL281" s="69"/>
      <x:c r="AM281" s="69"/>
      <x:c r="AN281" s="69"/>
      <x:c r="AO281" s="69"/>
      <x:c r="AP281" s="69"/>
      <x:c r="AQ281" s="69"/>
      <x:c r="AR281" s="69"/>
      <x:c r="AS281" s="69"/>
      <x:c r="AT281" s="69"/>
      <x:c r="AU281" s="69"/>
      <x:c r="AV281" s="69"/>
      <x:c r="AW281" s="69"/>
      <x:c r="AX281" s="69"/>
      <x:c r="AY281" s="69"/>
      <x:c r="AZ281" s="69"/>
    </x:row>
    <x:row r="282" ht="15" hidden="0" customHeight="1">
      <x:c r="A282" s="69"/>
      <x:c r="B282" s="69"/>
      <x:c r="C282" s="69"/>
      <x:c r="D282" s="69"/>
      <x:c r="E282" s="69"/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/>
      <x:c r="P282" s="69"/>
      <x:c r="Q282" s="69"/>
      <x:c r="R282" s="69"/>
      <x:c r="S282" s="69"/>
      <x:c r="T282" s="69"/>
      <x:c r="U282" s="69"/>
      <x:c r="V282" s="69"/>
      <x:c r="W282" s="69"/>
      <x:c r="X282" s="69"/>
      <x:c r="Y282" s="69"/>
      <x:c r="Z282" s="69"/>
      <x:c r="AA282" s="69"/>
      <x:c r="AB282" s="69"/>
      <x:c r="AC282" s="69"/>
      <x:c r="AD282" s="69"/>
      <x:c r="AE282" s="69"/>
      <x:c r="AF282" s="69"/>
      <x:c r="AG282" s="69"/>
      <x:c r="AH282" s="69"/>
      <x:c r="AI282" s="69"/>
      <x:c r="AJ282" s="69"/>
      <x:c r="AK282" s="69"/>
      <x:c r="AL282" s="69"/>
      <x:c r="AM282" s="69"/>
      <x:c r="AN282" s="69"/>
      <x:c r="AO282" s="69"/>
      <x:c r="AP282" s="69"/>
      <x:c r="AQ282" s="69"/>
      <x:c r="AR282" s="69"/>
      <x:c r="AS282" s="69"/>
      <x:c r="AT282" s="69"/>
      <x:c r="AU282" s="69"/>
      <x:c r="AV282" s="69"/>
      <x:c r="AW282" s="69"/>
      <x:c r="AX282" s="69"/>
      <x:c r="AY282" s="69"/>
      <x:c r="AZ282" s="69"/>
    </x:row>
    <x:row r="283" ht="15" hidden="0" customHeight="1">
      <x:c r="A283" s="69"/>
      <x:c r="B283" s="69"/>
      <x:c r="C283" s="69"/>
      <x:c r="D283" s="69"/>
      <x:c r="E283" s="69"/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/>
      <x:c r="P283" s="69"/>
      <x:c r="Q283" s="69"/>
      <x:c r="R283" s="69"/>
      <x:c r="S283" s="69"/>
      <x:c r="T283" s="69"/>
      <x:c r="U283" s="69"/>
      <x:c r="V283" s="69"/>
      <x:c r="W283" s="69"/>
      <x:c r="X283" s="69"/>
      <x:c r="Y283" s="69"/>
      <x:c r="Z283" s="69"/>
      <x:c r="AA283" s="69"/>
      <x:c r="AB283" s="69"/>
      <x:c r="AC283" s="69"/>
      <x:c r="AD283" s="69"/>
      <x:c r="AE283" s="69"/>
      <x:c r="AF283" s="69"/>
      <x:c r="AG283" s="69"/>
      <x:c r="AH283" s="69"/>
      <x:c r="AI283" s="69"/>
      <x:c r="AJ283" s="69"/>
      <x:c r="AK283" s="69"/>
      <x:c r="AL283" s="69"/>
      <x:c r="AM283" s="69"/>
      <x:c r="AN283" s="69"/>
      <x:c r="AO283" s="69"/>
      <x:c r="AP283" s="69"/>
      <x:c r="AQ283" s="69"/>
      <x:c r="AR283" s="69"/>
      <x:c r="AS283" s="69"/>
      <x:c r="AT283" s="69"/>
      <x:c r="AU283" s="69"/>
      <x:c r="AV283" s="69"/>
      <x:c r="AW283" s="69"/>
      <x:c r="AX283" s="69"/>
      <x:c r="AY283" s="69"/>
      <x:c r="AZ283" s="69"/>
    </x:row>
    <x:row r="284" ht="15" hidden="0" customHeight="1">
      <x:c r="A284" s="69"/>
      <x:c r="B284" s="69"/>
      <x:c r="C284" s="69"/>
      <x:c r="D284" s="69"/>
      <x:c r="E284" s="69"/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/>
      <x:c r="P284" s="69"/>
      <x:c r="Q284" s="69"/>
      <x:c r="R284" s="69"/>
      <x:c r="S284" s="69"/>
      <x:c r="T284" s="69"/>
      <x:c r="U284" s="69"/>
      <x:c r="V284" s="69"/>
      <x:c r="W284" s="69"/>
      <x:c r="X284" s="69"/>
      <x:c r="Y284" s="69"/>
      <x:c r="Z284" s="69"/>
      <x:c r="AA284" s="69"/>
      <x:c r="AB284" s="69"/>
      <x:c r="AC284" s="69"/>
      <x:c r="AD284" s="69"/>
      <x:c r="AE284" s="69"/>
      <x:c r="AF284" s="69"/>
      <x:c r="AG284" s="69"/>
      <x:c r="AH284" s="69"/>
      <x:c r="AI284" s="69"/>
      <x:c r="AJ284" s="69"/>
      <x:c r="AK284" s="69"/>
      <x:c r="AL284" s="69"/>
      <x:c r="AM284" s="69"/>
      <x:c r="AN284" s="69"/>
      <x:c r="AO284" s="69"/>
      <x:c r="AP284" s="69"/>
      <x:c r="AQ284" s="69"/>
      <x:c r="AR284" s="69"/>
      <x:c r="AS284" s="69"/>
      <x:c r="AT284" s="69"/>
      <x:c r="AU284" s="69"/>
      <x:c r="AV284" s="69"/>
      <x:c r="AW284" s="69"/>
      <x:c r="AX284" s="69"/>
      <x:c r="AY284" s="69"/>
      <x:c r="AZ284" s="69"/>
    </x:row>
    <x:row r="285" ht="15" hidden="0" customHeight="1">
      <x:c r="A285" s="69"/>
      <x:c r="B285" s="69"/>
      <x:c r="C285" s="69"/>
      <x:c r="D285" s="69"/>
      <x:c r="E285" s="69"/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/>
      <x:c r="P285" s="69"/>
      <x:c r="Q285" s="69"/>
      <x:c r="R285" s="69"/>
      <x:c r="S285" s="69"/>
      <x:c r="T285" s="69"/>
      <x:c r="U285" s="69"/>
      <x:c r="V285" s="69"/>
      <x:c r="W285" s="69"/>
      <x:c r="X285" s="69"/>
      <x:c r="Y285" s="69"/>
      <x:c r="Z285" s="69"/>
      <x:c r="AA285" s="69"/>
      <x:c r="AB285" s="69"/>
      <x:c r="AC285" s="69"/>
      <x:c r="AD285" s="69"/>
      <x:c r="AE285" s="69"/>
      <x:c r="AF285" s="69"/>
      <x:c r="AG285" s="69"/>
      <x:c r="AH285" s="69"/>
      <x:c r="AI285" s="69"/>
      <x:c r="AJ285" s="69"/>
      <x:c r="AK285" s="69"/>
      <x:c r="AL285" s="69"/>
      <x:c r="AM285" s="69"/>
      <x:c r="AN285" s="69"/>
      <x:c r="AO285" s="69"/>
      <x:c r="AP285" s="69"/>
      <x:c r="AQ285" s="69"/>
      <x:c r="AR285" s="69"/>
      <x:c r="AS285" s="69"/>
      <x:c r="AT285" s="69"/>
      <x:c r="AU285" s="69"/>
      <x:c r="AV285" s="69"/>
      <x:c r="AW285" s="69"/>
      <x:c r="AX285" s="69"/>
      <x:c r="AY285" s="69"/>
      <x:c r="AZ285" s="69"/>
    </x:row>
    <x:row r="286" ht="15" hidden="0" customHeight="1">
      <x:c r="A286" s="69"/>
      <x:c r="B286" s="69"/>
      <x:c r="C286" s="69"/>
      <x:c r="D286" s="69"/>
      <x:c r="E286" s="69"/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/>
      <x:c r="P286" s="69"/>
      <x:c r="Q286" s="69"/>
      <x:c r="R286" s="69"/>
      <x:c r="S286" s="69"/>
      <x:c r="T286" s="69"/>
      <x:c r="U286" s="69"/>
      <x:c r="V286" s="69"/>
      <x:c r="W286" s="69"/>
      <x:c r="X286" s="69"/>
      <x:c r="Y286" s="69"/>
      <x:c r="Z286" s="69"/>
      <x:c r="AA286" s="69"/>
      <x:c r="AB286" s="69"/>
      <x:c r="AC286" s="69"/>
      <x:c r="AD286" s="69"/>
      <x:c r="AE286" s="69"/>
      <x:c r="AF286" s="69"/>
      <x:c r="AG286" s="69"/>
      <x:c r="AH286" s="69"/>
      <x:c r="AI286" s="69"/>
      <x:c r="AJ286" s="69"/>
      <x:c r="AK286" s="69"/>
      <x:c r="AL286" s="69"/>
      <x:c r="AM286" s="69"/>
      <x:c r="AN286" s="69"/>
      <x:c r="AO286" s="69"/>
      <x:c r="AP286" s="69"/>
      <x:c r="AQ286" s="69"/>
      <x:c r="AR286" s="69"/>
      <x:c r="AS286" s="69"/>
      <x:c r="AT286" s="69"/>
      <x:c r="AU286" s="69"/>
      <x:c r="AV286" s="69"/>
      <x:c r="AW286" s="69"/>
      <x:c r="AX286" s="69"/>
      <x:c r="AY286" s="69"/>
      <x:c r="AZ286" s="69"/>
    </x:row>
    <x:row r="287" ht="15" hidden="0" customHeight="1">
      <x:c r="A287" s="69"/>
      <x:c r="B287" s="69"/>
      <x:c r="C287" s="69"/>
      <x:c r="D287" s="69"/>
      <x:c r="E287" s="69"/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/>
      <x:c r="P287" s="69"/>
      <x:c r="Q287" s="69"/>
      <x:c r="R287" s="69"/>
      <x:c r="S287" s="69"/>
      <x:c r="T287" s="69"/>
      <x:c r="U287" s="69"/>
      <x:c r="V287" s="69"/>
      <x:c r="W287" s="69"/>
      <x:c r="X287" s="69"/>
      <x:c r="Y287" s="69"/>
      <x:c r="Z287" s="69"/>
      <x:c r="AA287" s="69"/>
      <x:c r="AB287" s="69"/>
      <x:c r="AC287" s="69"/>
      <x:c r="AD287" s="69"/>
      <x:c r="AE287" s="69"/>
      <x:c r="AF287" s="69"/>
      <x:c r="AG287" s="69"/>
      <x:c r="AH287" s="69"/>
      <x:c r="AI287" s="69"/>
      <x:c r="AJ287" s="69"/>
      <x:c r="AK287" s="69"/>
      <x:c r="AL287" s="69"/>
      <x:c r="AM287" s="69"/>
      <x:c r="AN287" s="69"/>
      <x:c r="AO287" s="69"/>
      <x:c r="AP287" s="69"/>
      <x:c r="AQ287" s="69"/>
      <x:c r="AR287" s="69"/>
      <x:c r="AS287" s="69"/>
      <x:c r="AT287" s="69"/>
      <x:c r="AU287" s="69"/>
      <x:c r="AV287" s="69"/>
      <x:c r="AW287" s="69"/>
      <x:c r="AX287" s="69"/>
      <x:c r="AY287" s="69"/>
      <x:c r="AZ287" s="69"/>
    </x:row>
    <x:row r="288" ht="15" hidden="0" customHeight="1">
      <x:c r="A288" s="69"/>
      <x:c r="B288" s="69"/>
      <x:c r="C288" s="69"/>
      <x:c r="D288" s="69"/>
      <x:c r="E288" s="69"/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/>
      <x:c r="P288" s="69"/>
      <x:c r="Q288" s="69"/>
      <x:c r="R288" s="69"/>
      <x:c r="S288" s="69"/>
      <x:c r="T288" s="69"/>
      <x:c r="U288" s="69"/>
      <x:c r="V288" s="69"/>
      <x:c r="W288" s="69"/>
      <x:c r="X288" s="69"/>
      <x:c r="Y288" s="69"/>
      <x:c r="Z288" s="69"/>
      <x:c r="AA288" s="69"/>
      <x:c r="AB288" s="69"/>
      <x:c r="AC288" s="69"/>
      <x:c r="AD288" s="69"/>
      <x:c r="AE288" s="69"/>
      <x:c r="AF288" s="69"/>
      <x:c r="AG288" s="69"/>
      <x:c r="AH288" s="69"/>
      <x:c r="AI288" s="69"/>
      <x:c r="AJ288" s="69"/>
      <x:c r="AK288" s="69"/>
      <x:c r="AL288" s="69"/>
      <x:c r="AM288" s="69"/>
      <x:c r="AN288" s="69"/>
      <x:c r="AO288" s="69"/>
      <x:c r="AP288" s="69"/>
      <x:c r="AQ288" s="69"/>
      <x:c r="AR288" s="69"/>
      <x:c r="AS288" s="69"/>
      <x:c r="AT288" s="69"/>
      <x:c r="AU288" s="69"/>
      <x:c r="AV288" s="69"/>
      <x:c r="AW288" s="69"/>
      <x:c r="AX288" s="69"/>
      <x:c r="AY288" s="69"/>
      <x:c r="AZ288" s="69"/>
    </x:row>
    <x:row r="289" ht="15" hidden="0" customHeight="1">
      <x:c r="A289" s="69"/>
      <x:c r="B289" s="69"/>
      <x:c r="C289" s="69"/>
      <x:c r="D289" s="69"/>
      <x:c r="E289" s="69"/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/>
      <x:c r="P289" s="69"/>
      <x:c r="Q289" s="69"/>
      <x:c r="R289" s="69"/>
      <x:c r="S289" s="69"/>
      <x:c r="T289" s="69"/>
      <x:c r="U289" s="69"/>
      <x:c r="V289" s="69"/>
      <x:c r="W289" s="69"/>
      <x:c r="X289" s="69"/>
      <x:c r="Y289" s="69"/>
      <x:c r="Z289" s="69"/>
      <x:c r="AA289" s="69"/>
      <x:c r="AB289" s="69"/>
      <x:c r="AC289" s="69"/>
      <x:c r="AD289" s="69"/>
      <x:c r="AE289" s="69"/>
      <x:c r="AF289" s="69"/>
      <x:c r="AG289" s="69"/>
      <x:c r="AH289" s="69"/>
      <x:c r="AI289" s="69"/>
      <x:c r="AJ289" s="69"/>
      <x:c r="AK289" s="69"/>
      <x:c r="AL289" s="69"/>
      <x:c r="AM289" s="69"/>
      <x:c r="AN289" s="69"/>
      <x:c r="AO289" s="69"/>
      <x:c r="AP289" s="69"/>
      <x:c r="AQ289" s="69"/>
      <x:c r="AR289" s="69"/>
      <x:c r="AS289" s="69"/>
      <x:c r="AT289" s="69"/>
      <x:c r="AU289" s="69"/>
      <x:c r="AV289" s="69"/>
      <x:c r="AW289" s="69"/>
      <x:c r="AX289" s="69"/>
      <x:c r="AY289" s="69"/>
      <x:c r="AZ289" s="69"/>
    </x:row>
    <x:row r="290" ht="15" hidden="0" customHeight="1">
      <x:c r="A290" s="69"/>
      <x:c r="B290" s="69"/>
      <x:c r="C290" s="69"/>
      <x:c r="D290" s="69"/>
      <x:c r="E290" s="69"/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/>
      <x:c r="P290" s="69"/>
      <x:c r="Q290" s="69"/>
      <x:c r="R290" s="69"/>
      <x:c r="S290" s="69"/>
      <x:c r="T290" s="69"/>
      <x:c r="U290" s="69"/>
      <x:c r="V290" s="69"/>
      <x:c r="W290" s="69"/>
      <x:c r="X290" s="69"/>
      <x:c r="Y290" s="69"/>
      <x:c r="Z290" s="69"/>
      <x:c r="AA290" s="69"/>
      <x:c r="AB290" s="69"/>
      <x:c r="AC290" s="69"/>
      <x:c r="AD290" s="69"/>
      <x:c r="AE290" s="69"/>
      <x:c r="AF290" s="69"/>
      <x:c r="AG290" s="69"/>
      <x:c r="AH290" s="69"/>
      <x:c r="AI290" s="69"/>
      <x:c r="AJ290" s="69"/>
      <x:c r="AK290" s="69"/>
      <x:c r="AL290" s="69"/>
      <x:c r="AM290" s="69"/>
      <x:c r="AN290" s="69"/>
      <x:c r="AO290" s="69"/>
      <x:c r="AP290" s="69"/>
      <x:c r="AQ290" s="69"/>
      <x:c r="AR290" s="69"/>
      <x:c r="AS290" s="69"/>
      <x:c r="AT290" s="69"/>
      <x:c r="AU290" s="69"/>
      <x:c r="AV290" s="69"/>
      <x:c r="AW290" s="69"/>
      <x:c r="AX290" s="69"/>
      <x:c r="AY290" s="69"/>
      <x:c r="AZ290" s="69"/>
    </x:row>
    <x:row r="291" ht="15" hidden="0" customHeight="1">
      <x:c r="A291" s="69"/>
      <x:c r="B291" s="69"/>
      <x:c r="C291" s="69"/>
      <x:c r="D291" s="69"/>
      <x:c r="E291" s="69"/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/>
      <x:c r="P291" s="69"/>
      <x:c r="Q291" s="69"/>
      <x:c r="R291" s="69"/>
      <x:c r="S291" s="69"/>
      <x:c r="T291" s="69"/>
      <x:c r="U291" s="69"/>
      <x:c r="V291" s="69"/>
      <x:c r="W291" s="69"/>
      <x:c r="X291" s="69"/>
      <x:c r="Y291" s="69"/>
      <x:c r="Z291" s="69"/>
      <x:c r="AA291" s="69"/>
      <x:c r="AB291" s="69"/>
      <x:c r="AC291" s="69"/>
      <x:c r="AD291" s="69"/>
      <x:c r="AE291" s="69"/>
      <x:c r="AF291" s="69"/>
      <x:c r="AG291" s="69"/>
      <x:c r="AH291" s="69"/>
      <x:c r="AI291" s="69"/>
      <x:c r="AJ291" s="69"/>
      <x:c r="AK291" s="69"/>
      <x:c r="AL291" s="69"/>
      <x:c r="AM291" s="69"/>
      <x:c r="AN291" s="69"/>
      <x:c r="AO291" s="69"/>
      <x:c r="AP291" s="69"/>
      <x:c r="AQ291" s="69"/>
      <x:c r="AR291" s="69"/>
      <x:c r="AS291" s="69"/>
      <x:c r="AT291" s="69"/>
      <x:c r="AU291" s="69"/>
      <x:c r="AV291" s="69"/>
      <x:c r="AW291" s="69"/>
      <x:c r="AX291" s="69"/>
      <x:c r="AY291" s="69"/>
      <x:c r="AZ291" s="69"/>
    </x:row>
    <x:row r="292" ht="15" hidden="0" customHeight="1">
      <x:c r="A292" s="69"/>
      <x:c r="B292" s="69"/>
      <x:c r="C292" s="69"/>
      <x:c r="D292" s="69"/>
      <x:c r="E292" s="69"/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/>
      <x:c r="P292" s="69"/>
      <x:c r="Q292" s="69"/>
      <x:c r="R292" s="69"/>
      <x:c r="S292" s="69"/>
      <x:c r="T292" s="69"/>
      <x:c r="U292" s="69"/>
      <x:c r="V292" s="69"/>
      <x:c r="W292" s="69"/>
      <x:c r="X292" s="69"/>
      <x:c r="Y292" s="69"/>
      <x:c r="Z292" s="69"/>
      <x:c r="AA292" s="69"/>
      <x:c r="AB292" s="69"/>
      <x:c r="AC292" s="69"/>
      <x:c r="AD292" s="69"/>
      <x:c r="AE292" s="69"/>
      <x:c r="AF292" s="69"/>
      <x:c r="AG292" s="69"/>
      <x:c r="AH292" s="69"/>
      <x:c r="AI292" s="69"/>
      <x:c r="AJ292" s="69"/>
      <x:c r="AK292" s="69"/>
      <x:c r="AL292" s="69"/>
      <x:c r="AM292" s="69"/>
      <x:c r="AN292" s="69"/>
      <x:c r="AO292" s="69"/>
      <x:c r="AP292" s="69"/>
      <x:c r="AQ292" s="69"/>
      <x:c r="AR292" s="69"/>
      <x:c r="AS292" s="69"/>
      <x:c r="AT292" s="69"/>
      <x:c r="AU292" s="69"/>
      <x:c r="AV292" s="69"/>
      <x:c r="AW292" s="69"/>
      <x:c r="AX292" s="69"/>
      <x:c r="AY292" s="69"/>
      <x:c r="AZ292" s="69"/>
    </x:row>
    <x:row r="293" ht="15" hidden="0" customHeight="1">
      <x:c r="A293" s="69"/>
      <x:c r="B293" s="69"/>
      <x:c r="C293" s="69"/>
      <x:c r="D293" s="69"/>
      <x:c r="E293" s="69"/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/>
      <x:c r="P293" s="69"/>
      <x:c r="Q293" s="69"/>
      <x:c r="R293" s="69"/>
      <x:c r="S293" s="69"/>
      <x:c r="T293" s="69"/>
      <x:c r="U293" s="69"/>
      <x:c r="V293" s="69"/>
      <x:c r="W293" s="69"/>
      <x:c r="X293" s="69"/>
      <x:c r="Y293" s="69"/>
      <x:c r="Z293" s="69"/>
      <x:c r="AA293" s="69"/>
      <x:c r="AB293" s="69"/>
      <x:c r="AC293" s="69"/>
      <x:c r="AD293" s="69"/>
      <x:c r="AE293" s="69"/>
      <x:c r="AF293" s="69"/>
      <x:c r="AG293" s="69"/>
      <x:c r="AH293" s="69"/>
      <x:c r="AI293" s="69"/>
      <x:c r="AJ293" s="69"/>
      <x:c r="AK293" s="69"/>
      <x:c r="AL293" s="69"/>
      <x:c r="AM293" s="69"/>
      <x:c r="AN293" s="69"/>
      <x:c r="AO293" s="69"/>
      <x:c r="AP293" s="69"/>
      <x:c r="AQ293" s="69"/>
      <x:c r="AR293" s="69"/>
      <x:c r="AS293" s="69"/>
      <x:c r="AT293" s="69"/>
      <x:c r="AU293" s="69"/>
      <x:c r="AV293" s="69"/>
      <x:c r="AW293" s="69"/>
      <x:c r="AX293" s="69"/>
      <x:c r="AY293" s="69"/>
      <x:c r="AZ293" s="69"/>
    </x:row>
    <x:row r="294" ht="15" hidden="0" customHeight="1">
      <x:c r="A294" s="69"/>
      <x:c r="B294" s="69"/>
      <x:c r="C294" s="69"/>
      <x:c r="D294" s="69"/>
      <x:c r="E294" s="69"/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/>
      <x:c r="P294" s="69"/>
      <x:c r="Q294" s="69"/>
      <x:c r="R294" s="69"/>
      <x:c r="S294" s="69"/>
      <x:c r="T294" s="69"/>
      <x:c r="U294" s="69"/>
      <x:c r="V294" s="69"/>
      <x:c r="W294" s="69"/>
      <x:c r="X294" s="69"/>
      <x:c r="Y294" s="69"/>
      <x:c r="Z294" s="69"/>
      <x:c r="AA294" s="69"/>
      <x:c r="AB294" s="69"/>
      <x:c r="AC294" s="69"/>
      <x:c r="AD294" s="69"/>
      <x:c r="AE294" s="69"/>
      <x:c r="AF294" s="69"/>
      <x:c r="AG294" s="69"/>
      <x:c r="AH294" s="69"/>
      <x:c r="AI294" s="69"/>
      <x:c r="AJ294" s="69"/>
      <x:c r="AK294" s="69"/>
      <x:c r="AL294" s="69"/>
      <x:c r="AM294" s="69"/>
      <x:c r="AN294" s="69"/>
      <x:c r="AO294" s="69"/>
      <x:c r="AP294" s="69"/>
      <x:c r="AQ294" s="69"/>
      <x:c r="AR294" s="69"/>
      <x:c r="AS294" s="69"/>
      <x:c r="AT294" s="69"/>
      <x:c r="AU294" s="69"/>
      <x:c r="AV294" s="69"/>
      <x:c r="AW294" s="69"/>
      <x:c r="AX294" s="69"/>
      <x:c r="AY294" s="69"/>
      <x:c r="AZ294" s="69"/>
    </x:row>
    <x:row r="295" ht="15" hidden="0" customHeight="1">
      <x:c r="A295" s="69"/>
      <x:c r="B295" s="69"/>
      <x:c r="C295" s="69"/>
      <x:c r="D295" s="69"/>
      <x:c r="E295" s="69"/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/>
      <x:c r="P295" s="69"/>
      <x:c r="Q295" s="69"/>
      <x:c r="R295" s="69"/>
      <x:c r="S295" s="69"/>
      <x:c r="T295" s="69"/>
      <x:c r="U295" s="69"/>
      <x:c r="V295" s="69"/>
      <x:c r="W295" s="69"/>
      <x:c r="X295" s="69"/>
      <x:c r="Y295" s="69"/>
      <x:c r="Z295" s="69"/>
      <x:c r="AA295" s="69"/>
      <x:c r="AB295" s="69"/>
      <x:c r="AC295" s="69"/>
      <x:c r="AD295" s="69"/>
      <x:c r="AE295" s="69"/>
      <x:c r="AF295" s="69"/>
      <x:c r="AG295" s="69"/>
      <x:c r="AH295" s="69"/>
      <x:c r="AI295" s="69"/>
      <x:c r="AJ295" s="69"/>
      <x:c r="AK295" s="69"/>
      <x:c r="AL295" s="69"/>
      <x:c r="AM295" s="69"/>
      <x:c r="AN295" s="69"/>
      <x:c r="AO295" s="69"/>
      <x:c r="AP295" s="69"/>
      <x:c r="AQ295" s="69"/>
      <x:c r="AR295" s="69"/>
      <x:c r="AS295" s="69"/>
      <x:c r="AT295" s="69"/>
      <x:c r="AU295" s="69"/>
      <x:c r="AV295" s="69"/>
      <x:c r="AW295" s="69"/>
      <x:c r="AX295" s="69"/>
      <x:c r="AY295" s="69"/>
      <x:c r="AZ295" s="69"/>
    </x:row>
    <x:row r="296" ht="15" hidden="0" customHeight="1">
      <x:c r="A296" s="69"/>
      <x:c r="B296" s="69"/>
      <x:c r="C296" s="69"/>
      <x:c r="D296" s="69"/>
      <x:c r="E296" s="69"/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/>
      <x:c r="P296" s="69"/>
      <x:c r="Q296" s="69"/>
      <x:c r="R296" s="69"/>
      <x:c r="S296" s="69"/>
      <x:c r="T296" s="69"/>
      <x:c r="U296" s="69"/>
      <x:c r="V296" s="69"/>
      <x:c r="W296" s="69"/>
      <x:c r="X296" s="69"/>
      <x:c r="Y296" s="69"/>
      <x:c r="Z296" s="69"/>
      <x:c r="AA296" s="69"/>
      <x:c r="AB296" s="69"/>
      <x:c r="AC296" s="69"/>
      <x:c r="AD296" s="69"/>
      <x:c r="AE296" s="69"/>
      <x:c r="AF296" s="69"/>
      <x:c r="AG296" s="69"/>
      <x:c r="AH296" s="69"/>
      <x:c r="AI296" s="69"/>
      <x:c r="AJ296" s="69"/>
      <x:c r="AK296" s="69"/>
      <x:c r="AL296" s="69"/>
      <x:c r="AM296" s="69"/>
      <x:c r="AN296" s="69"/>
      <x:c r="AO296" s="69"/>
      <x:c r="AP296" s="69"/>
      <x:c r="AQ296" s="69"/>
      <x:c r="AR296" s="69"/>
      <x:c r="AS296" s="69"/>
      <x:c r="AT296" s="69"/>
      <x:c r="AU296" s="69"/>
      <x:c r="AV296" s="69"/>
      <x:c r="AW296" s="69"/>
      <x:c r="AX296" s="69"/>
      <x:c r="AY296" s="69"/>
      <x:c r="AZ296" s="69"/>
    </x:row>
    <x:row r="297" ht="15" hidden="0" customHeight="1">
      <x:c r="A297" s="69"/>
      <x:c r="B297" s="69"/>
      <x:c r="C297" s="69"/>
      <x:c r="D297" s="69"/>
      <x:c r="E297" s="69"/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/>
      <x:c r="P297" s="69"/>
      <x:c r="Q297" s="69"/>
      <x:c r="R297" s="69"/>
      <x:c r="S297" s="69"/>
      <x:c r="T297" s="69"/>
      <x:c r="U297" s="69"/>
      <x:c r="V297" s="69"/>
      <x:c r="W297" s="69"/>
      <x:c r="X297" s="69"/>
      <x:c r="Y297" s="69"/>
      <x:c r="Z297" s="69"/>
      <x:c r="AA297" s="69"/>
      <x:c r="AB297" s="69"/>
      <x:c r="AC297" s="69"/>
      <x:c r="AD297" s="69"/>
      <x:c r="AE297" s="69"/>
      <x:c r="AF297" s="69"/>
      <x:c r="AG297" s="69"/>
      <x:c r="AH297" s="69"/>
      <x:c r="AI297" s="69"/>
      <x:c r="AJ297" s="69"/>
      <x:c r="AK297" s="69"/>
      <x:c r="AL297" s="69"/>
      <x:c r="AM297" s="69"/>
      <x:c r="AN297" s="69"/>
      <x:c r="AO297" s="69"/>
      <x:c r="AP297" s="69"/>
      <x:c r="AQ297" s="69"/>
      <x:c r="AR297" s="69"/>
      <x:c r="AS297" s="69"/>
      <x:c r="AT297" s="69"/>
      <x:c r="AU297" s="69"/>
      <x:c r="AV297" s="69"/>
      <x:c r="AW297" s="69"/>
      <x:c r="AX297" s="69"/>
      <x:c r="AY297" s="69"/>
      <x:c r="AZ297" s="69"/>
    </x:row>
    <x:row r="298" ht="15" hidden="0" customHeight="1">
      <x:c r="A298" s="69"/>
      <x:c r="B298" s="69"/>
      <x:c r="C298" s="69"/>
      <x:c r="D298" s="69"/>
      <x:c r="E298" s="69"/>
      <x:c r="F298" s="69"/>
      <x:c r="G298" s="69"/>
      <x:c r="H298" s="69"/>
      <x:c r="I298" s="69"/>
      <x:c r="J298" s="69"/>
      <x:c r="K298" s="69"/>
      <x:c r="L298" s="69"/>
      <x:c r="M298" s="69"/>
      <x:c r="N298" s="69"/>
      <x:c r="O298" s="69"/>
      <x:c r="P298" s="69"/>
      <x:c r="Q298" s="69"/>
      <x:c r="R298" s="69"/>
      <x:c r="S298" s="69"/>
      <x:c r="T298" s="69"/>
      <x:c r="U298" s="69"/>
      <x:c r="V298" s="69"/>
      <x:c r="W298" s="69"/>
      <x:c r="X298" s="69"/>
      <x:c r="Y298" s="69"/>
      <x:c r="Z298" s="69"/>
      <x:c r="AA298" s="69"/>
      <x:c r="AB298" s="69"/>
      <x:c r="AC298" s="69"/>
      <x:c r="AD298" s="69"/>
      <x:c r="AE298" s="69"/>
      <x:c r="AF298" s="69"/>
      <x:c r="AG298" s="69"/>
      <x:c r="AH298" s="69"/>
      <x:c r="AI298" s="69"/>
      <x:c r="AJ298" s="69"/>
      <x:c r="AK298" s="69"/>
      <x:c r="AL298" s="69"/>
      <x:c r="AM298" s="69"/>
      <x:c r="AN298" s="69"/>
      <x:c r="AO298" s="69"/>
      <x:c r="AP298" s="69"/>
      <x:c r="AQ298" s="69"/>
      <x:c r="AR298" s="69"/>
      <x:c r="AS298" s="69"/>
      <x:c r="AT298" s="69"/>
      <x:c r="AU298" s="69"/>
      <x:c r="AV298" s="69"/>
      <x:c r="AW298" s="69"/>
      <x:c r="AX298" s="69"/>
      <x:c r="AY298" s="69"/>
      <x:c r="AZ298" s="69"/>
    </x:row>
    <x:row r="299" ht="15" hidden="0" customHeight="1">
      <x:c r="A299" s="69"/>
      <x:c r="B299" s="69"/>
      <x:c r="C299" s="69"/>
      <x:c r="D299" s="69"/>
      <x:c r="E299" s="69"/>
      <x:c r="F299" s="69"/>
      <x:c r="G299" s="69"/>
      <x:c r="H299" s="69"/>
      <x:c r="I299" s="69"/>
      <x:c r="J299" s="69"/>
      <x:c r="K299" s="69"/>
      <x:c r="L299" s="69"/>
      <x:c r="M299" s="69"/>
      <x:c r="N299" s="69"/>
      <x:c r="O299" s="69"/>
      <x:c r="P299" s="69"/>
      <x:c r="Q299" s="69"/>
      <x:c r="R299" s="69"/>
      <x:c r="S299" s="69"/>
      <x:c r="T299" s="69"/>
      <x:c r="U299" s="69"/>
      <x:c r="V299" s="69"/>
      <x:c r="W299" s="69"/>
      <x:c r="X299" s="69"/>
      <x:c r="Y299" s="69"/>
      <x:c r="Z299" s="69"/>
      <x:c r="AA299" s="69"/>
      <x:c r="AB299" s="69"/>
      <x:c r="AC299" s="69"/>
      <x:c r="AD299" s="69"/>
      <x:c r="AE299" s="69"/>
      <x:c r="AF299" s="69"/>
      <x:c r="AG299" s="69"/>
      <x:c r="AH299" s="69"/>
      <x:c r="AI299" s="69"/>
      <x:c r="AJ299" s="69"/>
      <x:c r="AK299" s="69"/>
      <x:c r="AL299" s="69"/>
      <x:c r="AM299" s="69"/>
      <x:c r="AN299" s="69"/>
      <x:c r="AO299" s="69"/>
      <x:c r="AP299" s="69"/>
      <x:c r="AQ299" s="69"/>
      <x:c r="AR299" s="69"/>
      <x:c r="AS299" s="69"/>
      <x:c r="AT299" s="69"/>
      <x:c r="AU299" s="69"/>
      <x:c r="AV299" s="69"/>
      <x:c r="AW299" s="69"/>
      <x:c r="AX299" s="69"/>
      <x:c r="AY299" s="69"/>
      <x:c r="AZ299" s="69"/>
    </x:row>
    <x:row r="300" ht="15" hidden="0" customHeight="1">
      <x:c r="A300" s="69"/>
      <x:c r="B300" s="69"/>
      <x:c r="C300" s="69"/>
      <x:c r="D300" s="69"/>
      <x:c r="E300" s="69"/>
      <x:c r="F300" s="69"/>
      <x:c r="G300" s="69"/>
      <x:c r="H300" s="69"/>
      <x:c r="I300" s="69"/>
      <x:c r="J300" s="69"/>
      <x:c r="K300" s="69"/>
      <x:c r="L300" s="69"/>
      <x:c r="M300" s="69"/>
      <x:c r="N300" s="69"/>
      <x:c r="O300" s="69"/>
      <x:c r="P300" s="69"/>
      <x:c r="Q300" s="69"/>
      <x:c r="R300" s="69"/>
      <x:c r="S300" s="69"/>
      <x:c r="T300" s="69"/>
      <x:c r="U300" s="69"/>
      <x:c r="V300" s="69"/>
      <x:c r="W300" s="69"/>
      <x:c r="X300" s="69"/>
      <x:c r="Y300" s="69"/>
      <x:c r="Z300" s="69"/>
      <x:c r="AA300" s="69"/>
      <x:c r="AB300" s="69"/>
      <x:c r="AC300" s="69"/>
      <x:c r="AD300" s="69"/>
      <x:c r="AE300" s="69"/>
      <x:c r="AF300" s="69"/>
      <x:c r="AG300" s="69"/>
      <x:c r="AH300" s="69"/>
      <x:c r="AI300" s="69"/>
      <x:c r="AJ300" s="69"/>
      <x:c r="AK300" s="69"/>
      <x:c r="AL300" s="69"/>
      <x:c r="AM300" s="69"/>
      <x:c r="AN300" s="69"/>
      <x:c r="AO300" s="69"/>
      <x:c r="AP300" s="69"/>
      <x:c r="AQ300" s="69"/>
      <x:c r="AR300" s="69"/>
      <x:c r="AS300" s="69"/>
      <x:c r="AT300" s="69"/>
      <x:c r="AU300" s="69"/>
      <x:c r="AV300" s="69"/>
      <x:c r="AW300" s="69"/>
      <x:c r="AX300" s="69"/>
      <x:c r="AY300" s="69"/>
      <x:c r="AZ300" s="69"/>
    </x:row>
  </x:sheetData>
  <x:conditionalFormatting sqref="AH2:AH20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Z2:Z201">
    <x:cfRule type="expression" dxfId="7" priority="2">
      <x:formula>Z2="BLOQUEADA"</x:formula>
    </x:cfRule>
    <x:cfRule type="expression" dxfId="8" priority="3">
      <x:formula>Z2="REVISIÓN"</x:formula>
    </x:cfRule>
    <x:cfRule type="expression" dxfId="9" priority="4">
      <x:formula>Z2="ELEGIBLE"</x:formula>
    </x:cfRule>
  </x:conditionalFormatting>
  <x:dataValidations count="5">
    <x:dataValidation type="list" sqref="G2:G201">
      <x:formula1>"Sí,No"</x:formula1>
    </x:dataValidation>
    <x:dataValidation type="list" sqref="H2:H201">
      <x:formula1>"Sí,No"</x:formula1>
    </x:dataValidation>
    <x:dataValidation type="list" sqref="I2:I201">
      <x:formula1>"Correcta,Ambigua,Microtarea,Demasiado amplia,Responsabilidad genérica"</x:formula1>
    </x:dataValidation>
    <x:dataValidation type="list" sqref="J2:J201">
      <x:formula1>"No,Posible,Duplicado evidente"</x:formula1>
    </x:dataValidation>
    <x:dataValidation type="list" sqref="K2:X201">
      <x:formula1>"0,1,2,3"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80" t="str">
        <x:v>Campo</x:v>
      </x:c>
      <x:c r="B1" s="80" t="str">
        <x:v>Contenido</x:v>
      </x:c>
    </x:row>
    <x:row r="2">
      <x:c r="A2" s="81" t="str">
        <x:v>Versión agregada</x:v>
      </x:c>
      <x:c r="B2" s="81" t="str">
        <x:v>v1.2 operacional — Selección bajo incertidumbre + política para menos de 8 actividades + contexto Estado A/WorkMap/Significado + ejecución Runtime en Significado</x:v>
      </x:c>
    </x:row>
    <x:row r="3">
      <x:c r="A3" s="81" t="str">
        <x:v>Regla de intervención</x:v>
      </x:c>
      <x:c r="B3" s="81" t="str">
        <x:v>No se elimina contenido v1.0/v1.1; no se resume contenido original; se agregan hojas *_v1_2, filas y columnas; solo se alinea redacción donde el ajuste narrativo lo exige.</x:v>
      </x:c>
    </x:row>
    <x:row r="4">
      <x:c r="A4" s="81" t="str">
        <x:v>Cambio conceptual 1</x:v>
      </x:c>
      <x:c r="B4" s="81" t="str">
        <x:v>Si hay &lt;=8 actividades elegibles, no se aplica ranking competitivo: se evalúan todas las elegibles, después de limpieza semántica, control de duplicados, macro/micro actividad y cobertura del rol.</x:v>
      </x:c>
    </x:row>
    <x:row r="5">
      <x:c r="A5" s="81" t="str">
        <x:v>Cambio conceptual 2</x:v>
      </x:c>
      <x:c r="B5" s="81" t="str">
        <x:v>Más información no siempre es mejor. Mejor es información trazable, confirmada, contextualizada y útil para conformance/consistency futura.</x:v>
      </x:c>
    </x:row>
    <x:row r="6">
      <x:c r="A6" s="81" t="str">
        <x:v>Cambio conceptual 3</x:v>
      </x:c>
      <x:c r="B6" s="81" t="str">
        <x:v>La pantalla Significado de tu Trabajo ya ejecuta Runtime 40/20. No es selector visible ni pantalla previa: recibe actividades primarias seleccionadas y corre 40 base + hasta 20 causales por actividad.</x:v>
      </x:c>
    </x:row>
    <x:row r="7">
      <x:c r="A7" s="81" t="str">
        <x:v>Cambio conceptual 4</x:v>
      </x:c>
      <x:c r="B7" s="81" t="str">
        <x:v>Estado A, WorkMap y Significado forman un PreRuntime Context Bundle. Ese bundle contextualiza y prellena, pero no reemplaza evidencia capturada por Runtime.</x:v>
      </x:c>
    </x:row>
    <x:row r="8">
      <x:c r="A8" s="81" t="str">
        <x:v>Cambio conceptual 5</x:v>
      </x:c>
      <x:c r="B8" s="81" t="str">
        <x:v>La selección pre-Runtime es priorización o inclusión controlada bajo incertidumbre, no diagnóstico, no conformance, no consistencia y no diagramación.</x:v>
      </x:c>
    </x:row>
    <x:row r="9">
      <x:c r="A9" s="81" t="str">
        <x:v>Cambio metodológico</x:v>
      </x:c>
      <x:c r="B9" s="81" t="str">
        <x:v>Se agrega Selection Mode: competitive_selection cuando actividades elegibles &gt; 8; non_competitive_inclusion cuando 1–8 actividades elegibles; reentry_required cuando no hay actividades elegibles.</x:v>
      </x:c>
    </x:row>
    <x:row r="10">
      <x:c r="A10" s="81" t="str">
        <x:v>Riesgo corregido</x:v>
      </x:c>
      <x:c r="B10" s="81" t="str">
        <x:v>Evitar llenar artificialmente 8 cupos, evitar correr Runtime en duplicados, evitar ejecutar sobre responsabilidades genéricas o tareas demasiado micro.</x:v>
      </x:c>
    </x:row>
    <x:row r="11">
      <x:c r="A11" s="81" t="str">
        <x:v>Salida nueva</x:v>
      </x:c>
      <x:c r="B11" s="81" t="str">
        <x:v>Lista de actividades primarias seleccionadas + contexto completo no primario + modo de selección + cobertura de rol + estado epistemológico del contexto.</x:v>
      </x:c>
    </x:row>
    <x:row r="12">
      <x:c r="A12" s="81" t="str">
        <x:v>Nombre de versión exportada</x:v>
      </x:c>
      <x:c r="B12" s="81" t="str">
        <x:v>PrimaryActivitySelectionPolicy_EVE_MMABP_v1_2_Operacional.xlsx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80" t="str">
        <x:v>Regla / Caso</x:v>
      </x:c>
      <x:c r="B1" s="80" t="str">
        <x:v>Condición</x:v>
      </x:c>
      <x:c r="C1" s="80" t="str">
        <x:v>Acción EVE</x:v>
      </x:c>
      <x:c r="D1" s="80" t="str">
        <x:v>Qué NO debe ocurrir</x:v>
      </x:c>
      <x:c r="E1" s="80" t="str">
        <x:v>Salida técnica</x:v>
      </x:c>
    </x:row>
    <x:row r="2">
      <x:c r="A2" s="81" t="str">
        <x:v>Regla madre</x:v>
      </x:c>
      <x:c r="B2" s="81" t="str">
        <x:v>eligible_activity_count &lt;= 8</x:v>
      </x:c>
      <x:c r="C2" s="81" t="str">
        <x:v>Seleccionar todas las actividades elegibles después de gates mínimos y limpieza semántica.</x:v>
      </x:c>
      <x:c r="D2" s="81" t="str">
        <x:v>No llenar cupos artificialmente; no forzar ranking competitivo.</x:v>
      </x:c>
      <x:c r="E2" s="81" t="str">
        <x:v>selection_mode = non_competitive_inclusion</x:v>
      </x:c>
    </x:row>
    <x:row r="3">
      <x:c r="A3" s="81" t="str">
        <x:v>Cero actividades elegibles</x:v>
      </x:c>
      <x:c r="B3" s="81" t="str">
        <x:v>eligible_activity_count = 0</x:v>
      </x:c>
      <x:c r="C3" s="81" t="str">
        <x:v>Bloquear ejecución de Runtime y reentrar a WorkMap.</x:v>
      </x:c>
      <x:c r="D3" s="81" t="str">
        <x:v>No inventar actividades; no usar responsabilidades como actividades.</x:v>
      </x:c>
      <x:c r="E3" s="81" t="str">
        <x:v>reentry_required = WorkMap</x:v>
      </x:c>
    </x:row>
    <x:row r="4">
      <x:c r="A4" s="81" t="str">
        <x:v>1 a 3 actividades elegibles</x:v>
      </x:c>
      <x:c r="B4" s="81" t="str">
        <x:v>1 &lt;= eligible_activity_count &lt;= 3</x:v>
      </x:c>
      <x:c r="C4" s="81" t="str">
        <x:v>Ejecutar todas, pero activar control de cobertura del rol.</x:v>
      </x:c>
      <x:c r="D4" s="81" t="str">
        <x:v>No asumir que el rol queda suficientemente cubierto.</x:v>
      </x:c>
      <x:c r="E4" s="81" t="str">
        <x:v>role_coverage_flag = review</x:v>
      </x:c>
    </x:row>
    <x:row r="5">
      <x:c r="A5" s="81" t="str">
        <x:v>4 a 7 actividades elegibles</x:v>
      </x:c>
      <x:c r="B5" s="81" t="str">
        <x:v>4 &lt;= eligible_activity_count &lt;= 7</x:v>
      </x:c>
      <x:c r="C5" s="81" t="str">
        <x:v>Ejecutar todas si pasan gates mínimos.</x:v>
      </x:c>
      <x:c r="D5" s="81" t="str">
        <x:v>No excluir por bajo score relativo si son elegibles.</x:v>
      </x:c>
      <x:c r="E5" s="81" t="str">
        <x:v>selected_for_runtime = all_eligible</x:v>
      </x:c>
    </x:row>
    <x:row r="6">
      <x:c r="A6" s="81" t="str">
        <x:v>8 actividades elegibles</x:v>
      </x:c>
      <x:c r="B6" s="81" t="str">
        <x:v>eligible_activity_count = 8</x:v>
      </x:c>
      <x:c r="C6" s="81" t="str">
        <x:v>Ejecutar las 8.</x:v>
      </x:c>
      <x:c r="D6" s="81" t="str">
        <x:v>No aplicar slot exploratorio extra.</x:v>
      </x:c>
      <x:c r="E6" s="81" t="str">
        <x:v>selected_for_runtime = 8</x:v>
      </x:c>
    </x:row>
    <x:row r="7">
      <x:c r="A7" s="81" t="str">
        <x:v>Más de 8 actividades elegibles</x:v>
      </x:c>
      <x:c r="B7" s="81" t="str">
        <x:v>eligible_activity_count &gt; 8</x:v>
      </x:c>
      <x:c r="C7" s="81" t="str">
        <x:v>Aplicar Potencial de Señal Arquitectónica + balance + slot exploratorio.</x:v>
      </x:c>
      <x:c r="D7" s="81" t="str">
        <x:v>No pedir al usuario que elija diagnósticamente las 8.</x:v>
      </x:c>
      <x:c r="E7" s="81" t="str">
        <x:v>selection_mode = competitive_selection</x:v>
      </x:c>
    </x:row>
    <x:row r="8">
      <x:c r="A8" s="81" t="str">
        <x:v>Duplicados o alias</x:v>
      </x:c>
      <x:c r="B8" s="81" t="str">
        <x:v>Dos o más actividades parecen equivalentes</x:v>
      </x:c>
      <x:c r="C8" s="81" t="str">
        <x:v>Consolidar o pedir microconfirmación; seleccionar la formulación más rica.</x:v>
      </x:c>
      <x:c r="D8" s="81" t="str">
        <x:v>No ejecutar Runtime 40/20 repetido sobre duplicados.</x:v>
      </x:c>
      <x:c r="E8" s="81" t="str">
        <x:v>duplicate_alias_status = consolidated/review</x:v>
      </x:c>
    </x:row>
    <x:row r="9">
      <x:c r="A9" s="81" t="str">
        <x:v>Actividad demasiado macro</x:v>
      </x:c>
      <x:c r="B9" s="81" t="str">
        <x:v>La actividad parece responsabilidad, proceso completo o mandato amplio</x:v>
      </x:c>
      <x:c r="C9" s="81" t="str">
        <x:v>Pedir desglose breve antes de Runtime.</x:v>
      </x:c>
      <x:c r="D9" s="81" t="str">
        <x:v>No ejecutar Runtime sobre 'gestionar operaciones' sin delimitar actividad.</x:v>
      </x:c>
      <x:c r="E9" s="81" t="str">
        <x:v>granularity_status = too_macro; reentry/microclarification</x:v>
      </x:c>
    </x:row>
    <x:row r="10">
      <x:c r="A10" s="81" t="str">
        <x:v>Actividad demasiado micro</x:v>
      </x:c>
      <x:c r="B10" s="81" t="str">
        <x:v>La actividad parece tarea técnica aislada que no sostiene Runtime</x:v>
      </x:c>
      <x:c r="C10" s="81" t="str">
        <x:v>Absorber como tarea dentro de otra actividad o pedir agrupación.</x:v>
      </x:c>
      <x:c r="D10" s="81" t="str">
        <x:v>No gastar 40/20 en 'abrir Excel' o tarea instrumental.</x:v>
      </x:c>
      <x:c r="E10" s="81" t="str">
        <x:v>granularity_status = too_micro</x:v>
      </x:c>
    </x:row>
    <x:row r="11">
      <x:c r="A11" s="81" t="str">
        <x:v>Actividad contextual</x:v>
      </x:c>
      <x:c r="B11" s="81" t="str">
        <x:v>Texto describe contexto, no trabajo ejecutable</x:v>
      </x:c>
      <x:c r="C11" s="81" t="str">
        <x:v>Conservar como contexto y pedir actividad concreta si faltan elegibles.</x:v>
      </x:c>
      <x:c r="D11" s="81" t="str">
        <x:v>No promover contexto a actividad primaria.</x:v>
      </x:c>
      <x:c r="E11" s="81" t="str">
        <x:v>context_only = true</x:v>
      </x:c>
    </x:row>
    <x:row r="12">
      <x:c r="A12" s="81" t="str">
        <x:v>Menos de 8 por mala captura</x:v>
      </x:c>
      <x:c r="B12" s="81" t="str">
        <x:v>Estado A sugiere rol amplio, pero WorkMap trae muy pocas actividades</x:v>
      </x:c>
      <x:c r="C12" s="81" t="str">
        <x:v>Activar workmap_coverage_gap y microconfirmación.</x:v>
      </x:c>
      <x:c r="D12" s="81" t="str">
        <x:v>No inventar actividades para completar cupo.</x:v>
      </x:c>
      <x:c r="E12" s="81" t="str">
        <x:v>workmap_coverage_gap = true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80" t="str">
        <x:v>Pantalla / Motor</x:v>
      </x:c>
      <x:c r="B1" s="80" t="str">
        <x:v>Momento</x:v>
      </x:c>
      <x:c r="C1" s="80" t="str">
        <x:v>Función</x:v>
      </x:c>
      <x:c r="D1" s="80" t="str">
        <x:v>Qué produce</x:v>
      </x:c>
      <x:c r="E1" s="80" t="str">
        <x:v>Qué NO produce</x:v>
      </x:c>
    </x:row>
    <x:row r="2">
      <x:c r="A2" s="81" t="str">
        <x:v>Estado A</x:v>
      </x:c>
      <x:c r="B2" s="81" t="str">
        <x:v>Inicio de plataforma</x:v>
      </x:c>
      <x:c r="C2" s="81" t="str">
        <x:v>Captura rol funcional, nivel de decisión, alcance de autoridad, tipo de decisiones y frontera del rol.</x:v>
      </x:c>
      <x:c r="D2" s="81" t="str">
        <x:v>RoleContext, decision_level, authority_scope, functional_role_context</x:v>
      </x:c>
      <x:c r="E2" s="81" t="str">
        <x:v>No selecciona actividades; no diagnostica; no modela PM/MoC/PF/OLC.</x:v>
      </x:c>
    </x:row>
    <x:row r="3">
      <x:c r="A3" s="81" t="str">
        <x:v>WorkMap</x:v>
      </x:c>
      <x:c r="B3" s="81" t="str">
        <x:v>Después de Estado A</x:v>
      </x:c>
      <x:c r="C3" s="81" t="str">
        <x:v>Captura áreas, responsabilidades y actividades; conserva texto literal y trazabilidad área → responsabilidad → actividad.</x:v>
      </x:c>
      <x:c r="D3" s="81" t="str">
        <x:v>WorkMapInventory, responsibilityId, activityId, activity_text, savedWithWarnings</x:v>
      </x:c>
      <x:c r="E3" s="81" t="str">
        <x:v>No ejecuta Runtime; no confirma evidencia estructural profunda.</x:v>
      </x:c>
    </x:row>
    <x:row r="4">
      <x:c r="A4" s="81" t="str">
        <x:v>Selector interno EVE</x:v>
      </x:c>
      <x:c r="B4" s="81" t="str">
        <x:v>Entre WorkMap y Significado</x:v>
      </x:c>
      <x:c r="C4" s="81" t="str">
        <x:v>Evalúa actividades bajo incertidumbre. Si hay &lt;=8 elegibles selecciona todas; si hay &gt;8 prioriza máximo 8.</x:v>
      </x:c>
      <x:c r="D4" s="81" t="str">
        <x:v>PrimaryActivitySelectionBundle, NonPrimaryContext, selection_mode</x:v>
      </x:c>
      <x:c r="E4" s="81" t="str">
        <x:v>No es una pantalla delegada al usuario; no diagnostica.</x:v>
      </x:c>
    </x:row>
    <x:row r="5">
      <x:c r="A5" s="81" t="str">
        <x:v>Significado de tu Trabajo</x:v>
      </x:c>
      <x:c r="B5" s="81" t="str">
        <x:v>Después del selector</x:v>
      </x:c>
      <x:c r="C5" s="81" t="str">
        <x:v>Ejecuta Runtime 40/20 sobre cada actividad primaria seleccionada. El usuario ve una actividad primaria y contesta interacciones base/causales.</x:v>
      </x:c>
      <x:c r="D5" s="81" t="str">
        <x:v>RuntimeEvidence por actividad, captured/confirmed evidence, gaps, readiness</x:v>
      </x:c>
      <x:c r="E5" s="81" t="str">
        <x:v>No debe ser selector diagnóstico; no produce VSM/AHE cerrado; no monetiza.</x:v>
      </x:c>
    </x:row>
    <x:row r="6">
      <x:c r="A6" s="81" t="str">
        <x:v>Producción Paralela</x:v>
      </x:c>
      <x:c r="B6" s="81" t="str">
        <x:v>Después de Runtime</x:v>
      </x:c>
      <x:c r="C6" s="81" t="str">
        <x:v>Consume evidencia gobernada y prepara registros PM/MoC/PF/OLC, MMABP-IR y readiness.</x:v>
      </x:c>
      <x:c r="D6" s="81" t="str">
        <x:v>Structural candidates, PM/MoC/PF/OLC registries, consistency checks</x:v>
      </x:c>
      <x:c r="E6" s="81" t="str">
        <x:v>No modifica catálogo ni pregunta al usuario en Significado.</x:v>
      </x:c>
    </x:row>
    <x:row r="7">
      <x:c r="A7" s="81" t="str">
        <x:v>Capas posteriores</x:v>
      </x:c>
      <x:c r="B7" s="81" t="str">
        <x:v>Después de Producción Paralela</x:v>
      </x:c>
      <x:c r="C7" s="81" t="str">
        <x:v>Transducción, agregación, diagnóstico y narrativa experta.</x:v>
      </x:c>
      <x:c r="D7" s="81" t="str">
        <x:v>Hipótesis VSM/AHE, película causal, recomendación</x:v>
      </x:c>
      <x:c r="E7" s="81" t="str">
        <x:v>No inventa evidencia cruda.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80" t="str">
        <x:v>Fuente</x:v>
      </x:c>
      <x:c r="B1" s="80" t="str">
        <x:v>Dato / Campo</x:v>
      </x:c>
      <x:c r="C1" s="80" t="str">
        <x:v>Estado epistemológico inicial</x:v>
      </x:c>
      <x:c r="D1" s="80" t="str">
        <x:v>Uso en selector</x:v>
      </x:c>
      <x:c r="E1" s="80" t="str">
        <x:v>Uso en Runtime Significado</x:v>
      </x:c>
      <x:c r="F1" s="80" t="str">
        <x:v>Uso posterior PM/MoC/PF/OLC</x:v>
      </x:c>
      <x:c r="G1" s="80" t="str">
        <x:v>Regla de contaminación</x:v>
      </x:c>
    </x:row>
    <x:row r="2">
      <x:c r="A2" s="81" t="str">
        <x:v>Estado A</x:v>
      </x:c>
      <x:c r="B2" s="81" t="str">
        <x:v>functional_role</x:v>
      </x:c>
      <x:c r="C2" s="81" t="str">
        <x:v>captured_user_evidence</x:v>
      </x:c>
      <x:c r="D2" s="81" t="str">
        <x:v>Delimita perspectiva del usuario y rol que produce WorkMap.</x:v>
      </x:c>
      <x:c r="E2" s="81" t="str">
        <x:v>Contextualiza wording: 'en tu rol de...'</x:v>
      </x:c>
      <x:c r="F2" s="81" t="str">
        <x:v>Actor funcional, frontera, posible role en MoC.</x:v>
      </x:c>
      <x:c r="G2" s="81" t="str">
        <x:v>Puede ser evidencia capturada si fue respondida/confirmada por usuario.</x:v>
      </x:c>
    </x:row>
    <x:row r="3">
      <x:c r="A3" s="81" t="str">
        <x:v>Estado A</x:v>
      </x:c>
      <x:c r="B3" s="81" t="str">
        <x:v>decision_level</x:v>
      </x:c>
      <x:c r="C3" s="81" t="str">
        <x:v>captured_user_evidence</x:v>
      </x:c>
      <x:c r="D3" s="81" t="str">
        <x:v>Ayuda a detectar tensión entre actividad y autoridad.</x:v>
      </x:c>
      <x:c r="E3" s="81" t="str">
        <x:v>Calibra preguntas de discrecionalidad, escalamiento y autorización.</x:v>
      </x:c>
      <x:c r="F3" s="81" t="str">
        <x:v>PF: autoridad de tarea/handoff; OLC: quién puede causar transición.</x:v>
      </x:c>
      <x:c r="G3" s="81" t="str">
        <x:v>No convierte autoridad inferida en hecho de proceso sin Runtime.</x:v>
      </x:c>
    </x:row>
    <x:row r="4">
      <x:c r="A4" s="81" t="str">
        <x:v>Estado A</x:v>
      </x:c>
      <x:c r="B4" s="81" t="str">
        <x:v>authority_scope</x:v>
      </x:c>
      <x:c r="C4" s="81" t="str">
        <x:v>captured_user_evidence/confirmed</x:v>
      </x:c>
      <x:c r="D4" s="81" t="str">
        <x:v>Detecta actividad fuera de frontera del rol.</x:v>
      </x:c>
      <x:c r="E4" s="81" t="str">
        <x:v>Prellena o microconfirma escalamiento, aprobación, control.</x:v>
      </x:c>
      <x:c r="F4" s="81" t="str">
        <x:v>PM/PF: frontera actor/proceso; MoC: role contextual.</x:v>
      </x:c>
      <x:c r="G4" s="81" t="str">
        <x:v>Si contradice WorkMap, marcar contradiction_flag, no corregir en silencio.</x:v>
      </x:c>
    </x:row>
    <x:row r="5">
      <x:c r="A5" s="81" t="str">
        <x:v>WorkMap</x:v>
      </x:c>
      <x:c r="B5" s="81" t="str">
        <x:v>area</x:v>
      </x:c>
      <x:c r="C5" s="81" t="str">
        <x:v>captured_user_evidence</x:v>
      </x:c>
      <x:c r="D5" s="81" t="str">
        <x:v>Agrupa actividades y balancea cobertura.</x:v>
      </x:c>
      <x:c r="E5" s="81" t="str">
        <x:v>Contextualiza actividad dentro de área.</x:v>
      </x:c>
      <x:c r="F5" s="81" t="str">
        <x:v>PM: proceso/área de contexto; PF: no usar como swimlane.</x:v>
      </x:c>
      <x:c r="G5" s="81" t="str">
        <x:v>Área no debe convertirse en swimlane PF.</x:v>
      </x:c>
    </x:row>
    <x:row r="6">
      <x:c r="A6" s="81" t="str">
        <x:v>WorkMap</x:v>
      </x:c>
      <x:c r="B6" s="81" t="str">
        <x:v>responsibility</x:v>
      </x:c>
      <x:c r="C6" s="81" t="str">
        <x:v>captured_user_evidence</x:v>
      </x:c>
      <x:c r="D6" s="81" t="str">
        <x:v>Marco funcional donde vive actividad.</x:v>
      </x:c>
      <x:c r="E6" s="81" t="str">
        <x:v>Prellena 'dentro de tu responsabilidad de...'</x:v>
      </x:c>
      <x:c r="F6" s="81" t="str">
        <x:v>PM: proceso contenedor/hito; PF: contexto, no tarea.</x:v>
      </x:c>
      <x:c r="G6" s="81" t="str">
        <x:v>Responsabilidad no debe sustituir actividad primaria.</x:v>
      </x:c>
    </x:row>
    <x:row r="7">
      <x:c r="A7" s="81" t="str">
        <x:v>WorkMap</x:v>
      </x:c>
      <x:c r="B7" s="81" t="str">
        <x:v>activity_label</x:v>
      </x:c>
      <x:c r="C7" s="81" t="str">
        <x:v>captured_user_evidence</x:v>
      </x:c>
      <x:c r="D7" s="81" t="str">
        <x:v>Candidata primaria.</x:v>
      </x:c>
      <x:c r="E7" s="81" t="str">
        <x:v>Se muestra como actividad seleccionada.</x:v>
      </x:c>
      <x:c r="F7" s="81" t="str">
        <x:v>Punto de entrada para Runtime, no diagrama por sí mismo.</x:v>
      </x:c>
      <x:c r="G7" s="81" t="str">
        <x:v>Debe confirmarse si hay ambigüedad.</x:v>
      </x:c>
    </x:row>
    <x:row r="8">
      <x:c r="A8" s="81" t="str">
        <x:v>WorkMap</x:v>
      </x:c>
      <x:c r="B8" s="81" t="str">
        <x:v>activity_description</x:v>
      </x:c>
      <x:c r="C8" s="81" t="str">
        <x:v>captured_user_evidence/inferred_from_text</x:v>
      </x:c>
      <x:c r="D8" s="81" t="str">
        <x:v>Señales débiles de objeto, transformación, handoff, fricción.</x:v>
      </x:c>
      <x:c r="E8" s="81" t="str">
        <x:v>Ayuda a prellenar o formular probes.</x:v>
      </x:c>
      <x:c r="F8" s="81" t="str">
        <x:v>No se proyecta directo a PM/MoC/PF/OLC sin Runtime.</x:v>
      </x:c>
      <x:c r="G8" s="81" t="str">
        <x:v>Inferencia semántica no es captured_user_evidence.</x:v>
      </x:c>
    </x:row>
    <x:row r="9">
      <x:c r="A9" s="81" t="str">
        <x:v>WorkMap</x:v>
      </x:c>
      <x:c r="B9" s="81" t="str">
        <x:v>savedWithWarnings</x:v>
      </x:c>
      <x:c r="C9" s="81" t="str">
        <x:v>system_flag</x:v>
      </x:c>
      <x:c r="D9" s="81" t="str">
        <x:v>Señal de baja calidad o cobertura incompleta.</x:v>
      </x:c>
      <x:c r="E9" s="81" t="str">
        <x:v>Puede activar microconfirmación antes de iniciar Runtime.</x:v>
      </x:c>
      <x:c r="F9" s="81" t="str">
        <x:v>Readiness/gap contextual.</x:v>
      </x:c>
      <x:c r="G9" s="81" t="str">
        <x:v>No diagnostica; solo advertencia de calidad.</x:v>
      </x:c>
    </x:row>
    <x:row r="10">
      <x:c r="A10" s="81" t="str">
        <x:v>Significado</x:v>
      </x:c>
      <x:c r="B10" s="81" t="str">
        <x:v>runtime_activity_context</x:v>
      </x:c>
      <x:c r="C10" s="81" t="str">
        <x:v>derived_internal + confirmed if shown</x:v>
      </x:c>
      <x:c r="D10" s="81" t="str">
        <x:v>No selecciona; recibe selección.</x:v>
      </x:c>
      <x:c r="E10" s="81" t="str">
        <x:v>Organiza pantalla y progreso por actividad primaria.</x:v>
      </x:c>
      <x:c r="F10" s="81" t="str">
        <x:v>Agrupa evidencia por actividad y evita mezcla entre actividades.</x:v>
      </x:c>
      <x:c r="G10" s="81" t="str">
        <x:v>Confirmación visible no debe confundirse con diagnóstico.</x:v>
      </x:c>
    </x:row>
    <x:row r="11">
      <x:c r="A11" s="81" t="str">
        <x:v>Significado</x:v>
      </x:c>
      <x:c r="B11" s="81" t="str">
        <x:v>user_answers_runtime</x:v>
      </x:c>
      <x:c r="C11" s="81" t="str">
        <x:v>captured_user_evidence</x:v>
      </x:c>
      <x:c r="D11" s="81" t="str">
        <x:v>No aplica para selección inicial.</x:v>
      </x:c>
      <x:c r="E11" s="81" t="str">
        <x:v>Fuente principal de evidencia estructural.</x:v>
      </x:c>
      <x:c r="F11" s="81" t="str">
        <x:v>Alimenta PM/MoC/PF/OLC registries.</x:v>
      </x:c>
      <x:c r="G11" s="81" t="str">
        <x:v>Debe preservar respuesta literal, variable canónica y proveniencia.</x:v>
      </x:c>
    </x:row>
    <x:row r="12">
      <x:c r="A12" s="81" t="str">
        <x:v>Actividades no primarias</x:v>
      </x:c>
      <x:c r="B12" s="81" t="str">
        <x:v>non_primary_context</x:v>
      </x:c>
      <x:c r="C12" s="81" t="str">
        <x:v>context_only</x:v>
      </x:c>
      <x:c r="D12" s="81" t="str">
        <x:v>Balancea selección y preserva WorkMap completo.</x:v>
      </x:c>
      <x:c r="E12" s="81" t="str">
        <x:v>Puede contextualizar preguntas si está relacionado.</x:v>
      </x:c>
      <x:c r="F12" s="81" t="str">
        <x:v>Contexto de rol y empresa; potencial reentry/backlog.</x:v>
      </x:c>
      <x:c r="G12" s="81" t="str">
        <x:v>No se modela como hecho estructural profundo sin Runtime.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80" t="str">
        <x:v>Estado epistemológico</x:v>
      </x:c>
      <x:c r="B1" s="80" t="str">
        <x:v>Definición</x:v>
      </x:c>
      <x:c r="C1" s="80" t="str">
        <x:v>Puede prellenar UI</x:v>
      </x:c>
      <x:c r="D1" s="80" t="str">
        <x:v>Puede contar como evidencia estructural</x:v>
      </x:c>
      <x:c r="E1" s="80" t="str">
        <x:v>Requiere confirmación</x:v>
      </x:c>
      <x:c r="F1" s="80" t="str">
        <x:v>Ejemplo</x:v>
      </x:c>
    </x:row>
    <x:row r="2">
      <x:c r="A2" s="81" t="str">
        <x:v>captured_user_evidence</x:v>
      </x:c>
      <x:c r="B2" s="81" t="str">
        <x:v>Lo dijo o confirmó explícitamente el usuario.</x:v>
      </x:c>
      <x:c r="C2" s="81" t="str">
        <x:v>Sí</x:v>
      </x:c>
      <x:c r="D2" s="81" t="str">
        <x:v>Sí, con trazabilidad.</x:v>
      </x:c>
      <x:c r="E2" s="81" t="str">
        <x:v>No, ya fue capturado; puede requerir reconfirmación si contradice otro dato.</x:v>
      </x:c>
      <x:c r="F2" s="81" t="str">
        <x:v>Actividad escrita por usuario en WorkMap.</x:v>
      </x:c>
    </x:row>
    <x:row r="3">
      <x:c r="A3" s="81" t="str">
        <x:v>inferred_from_workmap</x:v>
      </x:c>
      <x:c r="B3" s="81" t="str">
        <x:v>Deducción débil desde texto, área, responsabilidad o relación WorkMap.</x:v>
      </x:c>
      <x:c r="C3" s="81" t="str">
        <x:v>Sí, como sugerencia.</x:v>
      </x:c>
      <x:c r="D3" s="81" t="str">
        <x:v>No, salvo confirmación posterior.</x:v>
      </x:c>
      <x:c r="E3" s="81" t="str">
        <x:v>Sí si afectará variable canónica.</x:v>
      </x:c>
      <x:c r="F3" s="81" t="str">
        <x:v>Inferir que 'pedido' podría ser objeto de negocio.</x:v>
      </x:c>
    </x:row>
    <x:row r="4">
      <x:c r="A4" s="81" t="str">
        <x:v>confirmed_in_runtime</x:v>
      </x:c>
      <x:c r="B4" s="81" t="str">
        <x:v>Dato previamente inferido o contextual que fue confirmado durante Runtime.</x:v>
      </x:c>
      <x:c r="C4" s="81" t="str">
        <x:v>Sí</x:v>
      </x:c>
      <x:c r="D4" s="81" t="str">
        <x:v>Sí.</x:v>
      </x:c>
      <x:c r="E4" s="81" t="str">
        <x:v>Ya confirmado.</x:v>
      </x:c>
      <x:c r="F4" s="81" t="str">
        <x:v>El usuario confirma que 'pedido' es el objeto trabajado.</x:v>
      </x:c>
    </x:row>
    <x:row r="5">
      <x:c r="A5" s="81" t="str">
        <x:v>derived_internal</x:v>
      </x:c>
      <x:c r="B5" s="81" t="str">
        <x:v>Dato calculado por regla interna desde variables confirmadas.</x:v>
      </x:c>
      <x:c r="C5" s="81" t="str">
        <x:v>No siempre</x:v>
      </x:c>
      <x:c r="D5" s="81" t="str">
        <x:v>Sí solo si la regla está documentada.</x:v>
      </x:c>
      <x:c r="E5" s="81" t="str">
        <x:v>No si deriva de hechos confirmados; sí si tiene baja confianza.</x:v>
      </x:c>
      <x:c r="F5" s="81" t="str">
        <x:v>selection_mode derivado de conteo de elegibles.</x:v>
      </x:c>
    </x:row>
    <x:row r="6">
      <x:c r="A6" s="81" t="str">
        <x:v>context_only</x:v>
      </x:c>
      <x:c r="B6" s="81" t="str">
        <x:v>Información útil para formular o ubicar, pero no suficiente para modelar.</x:v>
      </x:c>
      <x:c r="C6" s="81" t="str">
        <x:v>Sí</x:v>
      </x:c>
      <x:c r="D6" s="81" t="str">
        <x:v>No.</x:v>
      </x:c>
      <x:c r="E6" s="81" t="str">
        <x:v>Sí si se quiere promover a evidencia.</x:v>
      </x:c>
      <x:c r="F6" s="81" t="str">
        <x:v>Actividad no primaria del WorkMap.</x:v>
      </x:c>
    </x:row>
    <x:row r="7">
      <x:c r="A7" s="81" t="str">
        <x:v>gap</x:v>
      </x:c>
      <x:c r="B7" s="81" t="str">
        <x:v>Dato necesario ausente.</x:v>
      </x:c>
      <x:c r="C7" s="81" t="str">
        <x:v>No</x:v>
      </x:c>
      <x:c r="D7" s="81" t="str">
        <x:v>No.</x:v>
      </x:c>
      <x:c r="E7" s="81" t="str">
        <x:v>Sí / reentry.</x:v>
      </x:c>
      <x:c r="F7" s="81" t="str">
        <x:v>No hay actividad elegible.</x:v>
      </x:c>
    </x:row>
    <x:row r="8">
      <x:c r="A8" s="81" t="str">
        <x:v>contradiction_flag</x:v>
      </x:c>
      <x:c r="B8" s="81" t="str">
        <x:v>Tensión entre fuentes o respuestas.</x:v>
      </x:c>
      <x:c r="C8" s="81" t="str">
        <x:v>No como hecho</x:v>
      </x:c>
      <x:c r="D8" s="81" t="str">
        <x:v>No hasta resolver.</x:v>
      </x:c>
      <x:c r="E8" s="81" t="str">
        <x:v>Sí.</x:v>
      </x:c>
      <x:c r="F8" s="81" t="str">
        <x:v>Estado A dice baja autoridad; WorkMap dice 'aprobar presupuesto'.</x:v>
      </x:c>
    </x:row>
    <x:row r="9">
      <x:c r="A9" s="81" t="str">
        <x:v>manual_review_required</x:v>
      </x:c>
      <x:c r="B9" s="81" t="str">
        <x:v>El runtime no puede resolver de forma segura.</x:v>
      </x:c>
      <x:c r="C9" s="81" t="str">
        <x:v>No</x:v>
      </x:c>
      <x:c r="D9" s="81" t="str">
        <x:v>No.</x:v>
      </x:c>
      <x:c r="E9" s="81" t="str">
        <x:v>Revisión humana o reentry.</x:v>
      </x:c>
      <x:c r="F9" s="81" t="str">
        <x:v>Actividad ambigua que puede ser macroproceso o responsabilidad.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80" t="str">
        <x:v>Gate</x:v>
      </x:c>
      <x:c r="B1" s="80" t="str">
        <x:v>Nombre</x:v>
      </x:c>
      <x:c r="C1" s="80" t="str">
        <x:v>Condición</x:v>
      </x:c>
      <x:c r="D1" s="80" t="str">
        <x:v>Acción</x:v>
      </x:c>
      <x:c r="E1" s="80" t="str">
        <x:v>Es bloqueo duro</x:v>
      </x:c>
      <x:c r="F1" s="80" t="str">
        <x:v>Justificación</x:v>
      </x:c>
    </x:row>
    <x:row r="2">
      <x:c r="A2" s="81" t="str">
        <x:v>AQG-01</x:v>
      </x:c>
      <x:c r="B2" s="81" t="str">
        <x:v>Non empty activity</x:v>
      </x:c>
      <x:c r="C2" s="81" t="str">
        <x:v>activity_label/activity_description no vacío</x:v>
      </x:c>
      <x:c r="D2" s="81" t="str">
        <x:v>Permitir evaluación si hay texto mínimo.</x:v>
      </x:c>
      <x:c r="E2" s="81" t="str">
        <x:v>Sí</x:v>
      </x:c>
      <x:c r="F2" s="81" t="str">
        <x:v>Sin texto no hay unidad de trabajo.</x:v>
      </x:c>
    </x:row>
    <x:row r="3">
      <x:c r="A3" s="81" t="str">
        <x:v>AQG-02</x:v>
      </x:c>
      <x:c r="B3" s="81" t="str">
        <x:v>Belongs to role/workmap trace</x:v>
      </x:c>
      <x:c r="C3" s="81" t="str">
        <x:v>activity_id y responsibility_id vinculados a WorkMap/Estado A</x:v>
      </x:c>
      <x:c r="D3" s="81" t="str">
        <x:v>Permitir si hay trazabilidad o activar microconfirmación.</x:v>
      </x:c>
      <x:c r="E3" s="81" t="str">
        <x:v>Sí/Review</x:v>
      </x:c>
      <x:c r="F3" s="81" t="str">
        <x:v>Sin trazabilidad, la actividad flota.</x:v>
      </x:c>
    </x:row>
    <x:row r="4">
      <x:c r="A4" s="81" t="str">
        <x:v>AQG-03</x:v>
      </x:c>
      <x:c r="B4" s="81" t="str">
        <x:v>Work activity not abstract value</x:v>
      </x:c>
      <x:c r="C4" s="81" t="str">
        <x:v>Debe describir acción de trabajo, no valor genérico ('ser responsable')</x:v>
      </x:c>
      <x:c r="D4" s="81" t="str">
        <x:v>Pedir concreción o excluir.</x:v>
      </x:c>
      <x:c r="E4" s="81" t="str">
        <x:v>Sí</x:v>
      </x:c>
      <x:c r="F4" s="81" t="str">
        <x:v>Runtime necesita actividad observable.</x:v>
      </x:c>
    </x:row>
    <x:row r="5">
      <x:c r="A5" s="81" t="str">
        <x:v>AQG-04</x:v>
      </x:c>
      <x:c r="B5" s="81" t="str">
        <x:v>Duplicate/alias resolution</x:v>
      </x:c>
      <x:c r="C5" s="81" t="str">
        <x:v>Actividad similar a otra candidata</x:v>
      </x:c>
      <x:c r="D5" s="81" t="str">
        <x:v>Consolidar, fusionar o elegir formulación más rica.</x:v>
      </x:c>
      <x:c r="E5" s="81" t="str">
        <x:v>Sí si duplicado confirmado</x:v>
      </x:c>
      <x:c r="F5" s="81" t="str">
        <x:v>Evita fatiga y respuestas redundantes.</x:v>
      </x:c>
    </x:row>
    <x:row r="6">
      <x:c r="A6" s="81" t="str">
        <x:v>AQG-05</x:v>
      </x:c>
      <x:c r="B6" s="81" t="str">
        <x:v>Macro activity check</x:v>
      </x:c>
      <x:c r="C6" s="81" t="str">
        <x:v>Actividad demasiado amplia o proceso completo</x:v>
      </x:c>
      <x:c r="D6" s="81" t="str">
        <x:v>Pedir desglose o marcar reentry.</x:v>
      </x:c>
      <x:c r="E6" s="81" t="str">
        <x:v>Review/Bloqueo</x:v>
      </x:c>
      <x:c r="F6" s="81" t="str">
        <x:v>Runtime 40/20 requiere actividad delimitable.</x:v>
      </x:c>
    </x:row>
    <x:row r="7">
      <x:c r="A7" s="81" t="str">
        <x:v>AQG-06</x:v>
      </x:c>
      <x:c r="B7" s="81" t="str">
        <x:v>Micro task check</x:v>
      </x:c>
      <x:c r="C7" s="81" t="str">
        <x:v>Actividad demasiado instrumental o mínima</x:v>
      </x:c>
      <x:c r="D7" s="81" t="str">
        <x:v>Absorber en actividad mayor o agrupar.</x:v>
      </x:c>
      <x:c r="E7" s="81" t="str">
        <x:v>Review/Bloqueo</x:v>
      </x:c>
      <x:c r="F7" s="81" t="str">
        <x:v>No debe gastar 40/20 en tarea que no revela estructura.</x:v>
      </x:c>
    </x:row>
    <x:row r="8">
      <x:c r="A8" s="81" t="str">
        <x:v>AQG-07</x:v>
      </x:c>
      <x:c r="B8" s="81" t="str">
        <x:v>Contextual statement check</x:v>
      </x:c>
      <x:c r="C8" s="81" t="str">
        <x:v>Texto es contexto, no actividad</x:v>
      </x:c>
      <x:c r="D8" s="81" t="str">
        <x:v>Mantener como context_only y pedir actividad concreta si hace falta.</x:v>
      </x:c>
      <x:c r="E8" s="81" t="str">
        <x:v>Review</x:v>
      </x:c>
      <x:c r="F8" s="81" t="str">
        <x:v>Contexto no equivale a actividad primaria.</x:v>
      </x:c>
    </x:row>
    <x:row r="9">
      <x:c r="A9" s="81" t="str">
        <x:v>AQG-08</x:v>
      </x:c>
      <x:c r="B9" s="81" t="str">
        <x:v>Few activities coverage check</x:v>
      </x:c>
      <x:c r="C9" s="81" t="str">
        <x:v>eligible_activity_count &lt;= 3 y rol parece amplio</x:v>
      </x:c>
      <x:c r="D9" s="81" t="str">
        <x:v>Ejecutar elegibles pero activar workmap_coverage_gap.</x:v>
      </x:c>
      <x:c r="E9" s="81" t="str">
        <x:v>No</x:v>
      </x:c>
      <x:c r="F9" s="81" t="str">
        <x:v>Pocas actividades pueden ser suficientes o mala captura; no inventar.</x:v>
      </x:c>
    </x:row>
    <x:row r="10">
      <x:c r="A10" s="81" t="str">
        <x:v>AQG-09</x:v>
      </x:c>
      <x:c r="B10" s="81" t="str">
        <x:v>High ambiguity with probe value</x:v>
      </x:c>
      <x:c r="C10" s="81" t="str">
        <x:v>Actividad ambigua pero con señales fuertes de objeto/handoff/transformación</x:v>
      </x:c>
      <x:c r="D10" s="81" t="str">
        <x:v>Puede seleccionarse como exploratoria o microconfirmarse.</x:v>
      </x:c>
      <x:c r="E10" s="81" t="str">
        <x:v>No</x:v>
      </x:c>
      <x:c r="F10" s="81" t="str">
        <x:v>Ambigüedad no siempre es baja calidad; puede esconder soporte oculto.</x:v>
      </x:c>
    </x:row>
    <x:row r="11">
      <x:c r="A11" s="81" t="str">
        <x:v>AQG-10</x:v>
      </x:c>
      <x:c r="B11" s="81" t="str">
        <x:v>Runtime sustainability check</x:v>
      </x:c>
      <x:c r="C11" s="81" t="str">
        <x:v>Actividad puede sostener recorrido mínimo Runtime</x:v>
      </x:c>
      <x:c r="D11" s="81" t="str">
        <x:v>Seleccionar si elegible; si no, agrupar/reentry.</x:v>
      </x:c>
      <x:c r="E11" s="81" t="str">
        <x:v>Review</x:v>
      </x:c>
      <x:c r="F11" s="81" t="str">
        <x:v>Evita entrevista artificial sobre microtarea.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80" t="str">
        <x:v>Selection Mode</x:v>
      </x:c>
      <x:c r="B1" s="80" t="str">
        <x:v>Condición</x:v>
      </x:c>
      <x:c r="C1" s="80" t="str">
        <x:v>Cómo opera</x:v>
      </x:c>
      <x:c r="D1" s="80" t="str">
        <x:v>Pantalla usuario</x:v>
      </x:c>
      <x:c r="E1" s="80" t="str">
        <x:v>Payload hacia Runtime</x:v>
      </x:c>
      <x:c r="F1" s="80" t="str">
        <x:v>Observación</x:v>
      </x:c>
    </x:row>
    <x:row r="2">
      <x:c r="A2" s="81" t="str">
        <x:v>reentry_required</x:v>
      </x:c>
      <x:c r="B2" s="81" t="str">
        <x:v>eligible_activity_count = 0</x:v>
      </x:c>
      <x:c r="C2" s="81" t="str">
        <x:v>No hay actividades elegibles; pedir corrección de WorkMap.</x:v>
      </x:c>
      <x:c r="D2" s="81" t="str">
        <x:v>Mensaje de retorno breve: 'necesitamos actividades concretas para continuar'.</x:v>
      </x:c>
      <x:c r="E2" s="81" t="str">
        <x:v>No runtime_payload.</x:v>
      </x:c>
      <x:c r="F2" s="81" t="str">
        <x:v>No inventar actividades.</x:v>
      </x:c>
    </x:row>
    <x:row r="3">
      <x:c r="A3" s="81" t="str">
        <x:v>non_competitive_inclusion</x:v>
      </x:c>
      <x:c r="B3" s="81" t="str">
        <x:v>1 &lt;= eligible_activity_count &lt;= 8</x:v>
      </x:c>
      <x:c r="C3" s="81" t="str">
        <x:v>No ranking competitivo. Todas las elegibles pasan a Runtime, con orden sugerido y flags de calidad/cobertura.</x:v>
      </x:c>
      <x:c r="D3" s="81" t="str">
        <x:v>Se muestra lista de actividades que se profundizarán.</x:v>
      </x:c>
      <x:c r="E3" s="81" t="str">
        <x:v>primary_activities = all eligible.</x:v>
      </x:c>
      <x:c r="F3" s="81" t="str">
        <x:v>El máximo 8 es límite, no objetivo a llenar.</x:v>
      </x:c>
    </x:row>
    <x:row r="4">
      <x:c r="A4" s="81" t="str">
        <x:v>competitive_selection</x:v>
      </x:c>
      <x:c r="B4" s="81" t="str">
        <x:v>eligible_activity_count &gt; 8</x:v>
      </x:c>
      <x:c r="C4" s="81" t="str">
        <x:v>Aplicar scoring bajo incertidumbre, balance, duplicados, slot exploratorio y máximo 8.</x:v>
      </x:c>
      <x:c r="D4" s="81" t="str">
        <x:v>No pedir elección diagnóstica al usuario; puede mostrar 'profundizaremos estas actividades'.</x:v>
      </x:c>
      <x:c r="E4" s="81" t="str">
        <x:v>primary_activities = top selected max 8; non_primary_context = remainder.</x:v>
      </x:c>
      <x:c r="F4" s="81" t="str">
        <x:v>Conserva WorkMap completo como contexto.</x:v>
      </x:c>
    </x:row>
    <x:row r="5">
      <x:c r="A5" s="81" t="str">
        <x:v>manual_review_required</x:v>
      </x:c>
      <x:c r="B5" s="81" t="str">
        <x:v>Contradicciones fuertes, duplicados no resolubles o granularidad confusa</x:v>
      </x:c>
      <x:c r="C5" s="81" t="str">
        <x:v>Pedir microconfirmación o revisión interna antes de Runtime.</x:v>
      </x:c>
      <x:c r="D5" s="81" t="str">
        <x:v>Pregunta breve orientada a aclarar, no diagnosticar.</x:v>
      </x:c>
      <x:c r="E5" s="81" t="str">
        <x:v>runtime_payload se bloquea o sale con flags.</x:v>
      </x:c>
      <x:c r="F5" s="81" t="str">
        <x:v>No avanzar con falsa claridad.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80" t="str">
        <x:v>Elemento de pantalla</x:v>
      </x:c>
      <x:c r="B1" s="80" t="str">
        <x:v>Función visible</x:v>
      </x:c>
      <x:c r="C1" s="80" t="str">
        <x:v>Función técnica</x:v>
      </x:c>
      <x:c r="D1" s="80" t="str">
        <x:v>Regla de diseño</x:v>
      </x:c>
      <x:c r="E1" s="80" t="str">
        <x:v>Qué no debe hacer</x:v>
      </x:c>
    </x:row>
    <x:row r="2">
      <x:c r="A2" s="81" t="str">
        <x:v>Encabezado de actividad</x:v>
      </x:c>
      <x:c r="B2" s="81" t="str">
        <x:v>Muestra 'Actividad X de N' y nombre de la actividad primaria.</x:v>
      </x:c>
      <x:c r="C2" s="81" t="str">
        <x:v>Fija activity_id/runtime_context_id.</x:v>
      </x:c>
      <x:c r="D2" s="81" t="str">
        <x:v>Debe usar lenguaje del usuario y responsabilidad/área como contexto.</x:v>
      </x:c>
      <x:c r="E2" s="81" t="str">
        <x:v>No mostrar PM/MoC/PF/OLC ni scoring interno.</x:v>
      </x:c>
    </x:row>
    <x:row r="3">
      <x:c r="A3" s="81" t="str">
        <x:v>Orientación inicial</x:v>
      </x:c>
      <x:c r="B3" s="81" t="str">
        <x:v>Explica que se profundizará en cómo ocurre la actividad.</x:v>
      </x:c>
      <x:c r="C3" s="81" t="str">
        <x:v>Reduce fricción y prepara respuestas.</x:v>
      </x:c>
      <x:c r="D3" s="81" t="str">
        <x:v>Debe decir que puede haber preguntas adicionales si algo necesita aclaración.</x:v>
      </x:c>
      <x:c r="E3" s="81" t="str">
        <x:v>No decir 'te estamos diagnosticando'.</x:v>
      </x:c>
    </x:row>
    <x:row r="4">
      <x:c r="A4" s="81" t="str">
        <x:v>Interacciones base</x:v>
      </x:c>
      <x:c r="B4" s="81" t="str">
        <x:v>Muestra las 40 interacciones base como tarjetas/progreso.</x:v>
      </x:c>
      <x:c r="C4" s="81" t="str">
        <x:v>Captura evidencia canónica por actividad.</x:v>
      </x:c>
      <x:c r="D4" s="81" t="str">
        <x:v>Preguntas compuestas deben tener subcampos persistibles.</x:v>
      </x:c>
      <x:c r="E4" s="81" t="str">
        <x:v>No mostrar 40 como cuestionario punitivo.</x:v>
      </x:c>
    </x:row>
    <x:row r="5">
      <x:c r="A5" s="81" t="str">
        <x:v>Causales adaptativas</x:v>
      </x:c>
      <x:c r="B5" s="81" t="str">
        <x:v>Aparecen solo si el motor detecta señal/gap/ruta crítica.</x:v>
      </x:c>
      <x:c r="C5" s="81" t="str">
        <x:v>Cierra variables canónicas o inconsistencias potenciales.</x:v>
      </x:c>
      <x:c r="D5" s="81" t="str">
        <x:v>Debe explicar 'necesito aclarar este punto'.</x:v>
      </x:c>
      <x:c r="E5" s="81" t="str">
        <x:v>No abrir por rutina ni curiosidad.</x:v>
      </x:c>
    </x:row>
    <x:row r="6">
      <x:c r="A6" s="81" t="str">
        <x:v>Contexto heredado</x:v>
      </x:c>
      <x:c r="B6" s="81" t="str">
        <x:v>Prellena 'en tu responsabilidad de...' o 'en esta actividad...'</x:v>
      </x:c>
      <x:c r="C6" s="81" t="str">
        <x:v>Usa Estado A + WorkMap como context bundle.</x:v>
      </x:c>
      <x:c r="D6" s="81" t="str">
        <x:v>Toda inferencia debe mostrarse como confirmable si afecta evidencia.</x:v>
      </x:c>
      <x:c r="E6" s="81" t="str">
        <x:v>No guardar inferencia como evidencia dura sin confirmación.</x:v>
      </x:c>
    </x:row>
    <x:row r="7">
      <x:c r="A7" s="81" t="str">
        <x:v>Progreso por actividad</x:v>
      </x:c>
      <x:c r="B7" s="81" t="str">
        <x:v>Muestra avance base y profundizaciones activadas.</x:v>
      </x:c>
      <x:c r="C7" s="81" t="str">
        <x:v>Controla fatigue_policy y budget.</x:v>
      </x:c>
      <x:c r="D7" s="81" t="str">
        <x:v>Mejor mostrar fases/pasos que '60 preguntas'.</x:v>
      </x:c>
      <x:c r="E7" s="81" t="str">
        <x:v>No ocultar que hay más actividades si aplica.</x:v>
      </x:c>
    </x:row>
    <x:row r="8">
      <x:c r="A8" s="81" t="str">
        <x:v>Cierre de actividad</x:v>
      </x:c>
      <x:c r="B8" s="81" t="str">
        <x:v>Agradece y pasa a siguiente actividad o cierre general.</x:v>
      </x:c>
      <x:c r="C8" s="81" t="str">
        <x:v>Genera readiness/gaps/reentry por actividad.</x:v>
      </x:c>
      <x:c r="D8" s="81" t="str">
        <x:v>Puede resumir hechos confirmados sin diagnosticar.</x:v>
      </x:c>
      <x:c r="E8" s="81" t="str">
        <x:v>No emitir patología EVE, VSM/AHE, monetización o diagrama.</x:v>
      </x:c>
    </x:row>
    <x:row r="9">
      <x:c r="A9" s="81" t="str">
        <x:v>Múltiples actividades</x:v>
      </x:c>
      <x:c r="B9" s="81" t="str">
        <x:v>Navega actividad 1..N.</x:v>
      </x:c>
      <x:c r="C9" s="81" t="str">
        <x:v>Mantiene evidence bundles separados por activity_id.</x:v>
      </x:c>
      <x:c r="D9" s="81" t="str">
        <x:v>No mezclar respuestas de actividades distintas.</x:v>
      </x:c>
      <x:c r="E9" s="81" t="str">
        <x:v>No comparar al usuario contra sí mismo en pantalla.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80" t="str">
        <x:v>Regla</x:v>
      </x:c>
      <x:c r="B1" s="80" t="str">
        <x:v>Aplicación</x:v>
      </x:c>
      <x:c r="C1" s="80" t="str">
        <x:v>Ejemplo correcto</x:v>
      </x:c>
      <x:c r="D1" s="80" t="str">
        <x:v>Ejemplo incorrecto</x:v>
      </x:c>
      <x:c r="E1" s="80" t="str">
        <x:v>Estado epistemológico</x:v>
      </x:c>
    </x:row>
    <x:row r="2">
      <x:c r="A2" s="81" t="str">
        <x:v>Prellenar sin contaminar</x:v>
      </x:c>
      <x:c r="B2" s="81" t="str">
        <x:v>Usar contexto para reducir carga, no para cerrar variables.</x:v>
      </x:c>
      <x:c r="C2" s="81" t="str">
        <x:v>Parece que esta actividad vive en la responsabilidad X. ¿Es correcto?</x:v>
      </x:c>
      <x:c r="D2" s="81" t="str">
        <x:v>Guardar responsabilidad inferida como conformance confirmada.</x:v>
      </x:c>
      <x:c r="E2" s="81" t="str">
        <x:v>inferred_from_workmap → confirmed_in_runtime si acepta</x:v>
      </x:c>
    </x:row>
    <x:row r="3">
      <x:c r="A3" s="81" t="str">
        <x:v>Contextualizar preguntas</x:v>
      </x:c>
      <x:c r="B3" s="81" t="str">
        <x:v>Incluir rol/responsabilidad/actividad en texto visible.</x:v>
      </x:c>
      <x:c r="C3" s="81" t="str">
        <x:v>En tu rol de supervisor, cuando validas pedidos...</x:v>
      </x:c>
      <x:c r="D3" s="81" t="str">
        <x:v>¿Qué gatilla esto? sin contexto.</x:v>
      </x:c>
      <x:c r="E3" s="81" t="str">
        <x:v>context_only + captured_user_evidence</x:v>
      </x:c>
    </x:row>
    <x:row r="4">
      <x:c r="A4" s="81" t="str">
        <x:v>No usar áreas como swimlanes</x:v>
      </x:c>
      <x:c r="B4" s="81" t="str">
        <x:v>Área puede orientar, no estructura PF.</x:v>
      </x:c>
      <x:c r="C4" s="81" t="str">
        <x:v>Contexto de área: Operaciones.</x:v>
      </x:c>
      <x:c r="D4" s="81" t="str">
        <x:v>PF con carriles por área.</x:v>
      </x:c>
      <x:c r="E4" s="81" t="str">
        <x:v>context_only</x:v>
      </x:c>
    </x:row>
    <x:row r="5">
      <x:c r="A5" s="81" t="str">
        <x:v>No delegar selección diagnóstica</x:v>
      </x:c>
      <x:c r="B5" s="81" t="str">
        <x:v>EVE selecciona; usuario confirma hechos.</x:v>
      </x:c>
      <x:c r="C5" s="81" t="str">
        <x:v>Vamos a profundizar estas actividades detectadas.</x:v>
      </x:c>
      <x:c r="D5" s="81" t="str">
        <x:v>Elige las 8 más importantes para diagnosticar.</x:v>
      </x:c>
      <x:c r="E5" s="81" t="str">
        <x:v>derived_internal</x:v>
      </x:c>
    </x:row>
    <x:row r="6">
      <x:c r="A6" s="81" t="str">
        <x:v>Microconfirmar cobertura</x:v>
      </x:c>
      <x:c r="B6" s="81" t="str">
        <x:v>Si hay pocas actividades vs rol amplio, preguntar si falta algo.</x:v>
      </x:c>
      <x:c r="C6" s="81" t="str">
        <x:v>Veo pocas actividades para tu alcance, ¿son las principales?</x:v>
      </x:c>
      <x:c r="D6" s="81" t="str">
        <x:v>Inventar nuevas actividades.</x:v>
      </x:c>
      <x:c r="E6" s="81" t="str">
        <x:v>gap/confirmed_user_evidence</x:v>
      </x:c>
    </x:row>
    <x:row r="7">
      <x:c r="A7" s="81" t="str">
        <x:v>Separar contexto y evidencia</x:v>
      </x:c>
      <x:c r="B7" s="81" t="str">
        <x:v>Guardar fuente de cada dato.</x:v>
      </x:c>
      <x:c r="C7" s="81" t="str">
        <x:v>activity_label from WorkMap; trigger from Runtime.</x:v>
      </x:c>
      <x:c r="D7" s="81" t="str">
        <x:v>Usar activity_label para inferir trigger sin preguntar.</x:v>
      </x:c>
      <x:c r="E7" s="81" t="str">
        <x:v>source_specific</x:v>
      </x:c>
    </x:row>
    <x:row r="8">
      <x:c r="A8" s="81" t="str">
        <x:v>Conservar no primarias</x:v>
      </x:c>
      <x:c r="B8" s="81" t="str">
        <x:v>No seleccionadas quedan como contexto/backlog.</x:v>
      </x:c>
      <x:c r="C8" s="81" t="str">
        <x:v>non_primary_context = activities not selected.</x:v>
      </x:c>
      <x:c r="D8" s="81" t="str">
        <x:v>Descartar del expediente.</x:v>
      </x:c>
      <x:c r="E8" s="81" t="str">
        <x:v>context_only</x:v>
      </x:c>
    </x:row>
    <x:row r="9">
      <x:c r="A9" s="81" t="str">
        <x:v>No diagnosticar en Significado</x:v>
      </x:c>
      <x:c r="B9" s="81" t="str">
        <x:v>Capturar significado operativo sin juicio final.</x:v>
      </x:c>
      <x:c r="C9" s="81" t="str">
        <x:v>Necesito entender qué ocurre cuando no se acepta.</x:v>
      </x:c>
      <x:c r="D9" s="81" t="str">
        <x:v>Tu organización tiene falla de coordinación.</x:v>
      </x:c>
      <x:c r="E9" s="81" t="str">
        <x:v>not_diagnostic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</x:cols>
  <x:sheetData>
    <x:row r="1">
      <x:c r="A1" s="80" t="str">
        <x:v>Campo</x:v>
      </x:c>
      <x:c r="B1" s="80" t="str">
        <x:v>Descripción</x:v>
      </x:c>
      <x:c r="C1" s="80" t="str">
        <x:v>Valor esperado / ejemplo</x:v>
      </x:c>
      <x:c r="D1" s="80" t="str">
        <x:v>Obligatorio</x:v>
      </x:c>
    </x:row>
    <x:row r="2">
      <x:c r="A2" s="81" t="str">
        <x:v>selection_run_id</x:v>
      </x:c>
      <x:c r="B2" s="81" t="str">
        <x:v>ID del run de selección</x:v>
      </x:c>
      <x:c r="C2" s="81" t="str">
        <x:v>SEL-2026-06-14-001</x:v>
      </x:c>
      <x:c r="D2" s="81" t="str">
        <x:v>Sí</x:v>
      </x:c>
    </x:row>
    <x:row r="3">
      <x:c r="A3" s="81" t="str">
        <x:v>selection_mode</x:v>
      </x:c>
      <x:c r="B3" s="81" t="str">
        <x:v>Modo aplicado</x:v>
      </x:c>
      <x:c r="C3" s="81" t="str">
        <x:v>non_competitive_inclusion</x:v>
      </x:c>
      <x:c r="D3" s="81" t="str">
        <x:v>Sí</x:v>
      </x:c>
    </x:row>
    <x:row r="4">
      <x:c r="A4" s="81" t="str">
        <x:v>eligible_activity_count</x:v>
      </x:c>
      <x:c r="B4" s="81" t="str">
        <x:v>Conteo de actividades elegibles tras gates</x:v>
      </x:c>
      <x:c r="C4" s="81" t="str">
        <x:v>5</x:v>
      </x:c>
      <x:c r="D4" s="81" t="str">
        <x:v>Sí</x:v>
      </x:c>
    </x:row>
    <x:row r="5">
      <x:c r="A5" s="81" t="str">
        <x:v>raw_activity_count</x:v>
      </x:c>
      <x:c r="B5" s="81" t="str">
        <x:v>Conteo original de WorkMap</x:v>
      </x:c>
      <x:c r="C5" s="81" t="str">
        <x:v>6</x:v>
      </x:c>
      <x:c r="D5" s="81" t="str">
        <x:v>Sí</x:v>
      </x:c>
    </x:row>
    <x:row r="6">
      <x:c r="A6" s="81" t="str">
        <x:v>excluded_activity_count</x:v>
      </x:c>
      <x:c r="B6" s="81" t="str">
        <x:v>Actividades excluidas/consolidadas/contextuales</x:v>
      </x:c>
      <x:c r="C6" s="81" t="str">
        <x:v>1</x:v>
      </x:c>
      <x:c r="D6" s="81" t="str">
        <x:v>Sí</x:v>
      </x:c>
    </x:row>
    <x:row r="7">
      <x:c r="A7" s="81" t="str">
        <x:v>selected_activity_ids</x:v>
      </x:c>
      <x:c r="B7" s="81" t="str">
        <x:v>IDs seleccionados</x:v>
      </x:c>
      <x:c r="C7" s="81" t="str">
        <x:v>A001;A002;A003;A004;A005</x:v>
      </x:c>
      <x:c r="D7" s="81" t="str">
        <x:v>Sí</x:v>
      </x:c>
    </x:row>
    <x:row r="8">
      <x:c r="A8" s="81" t="str">
        <x:v>role_coverage_flag</x:v>
      </x:c>
      <x:c r="B8" s="81" t="str">
        <x:v>Indica si pocas actividades pueden no cubrir el rol</x:v>
      </x:c>
      <x:c r="C8" s="81" t="str">
        <x:v>ok/review/gap</x:v>
      </x:c>
      <x:c r="D8" s="81" t="str">
        <x:v>Sí</x:v>
      </x:c>
    </x:row>
    <x:row r="9">
      <x:c r="A9" s="81" t="str">
        <x:v>workmap_coverage_gap</x:v>
      </x:c>
      <x:c r="B9" s="81" t="str">
        <x:v>Flag por posible captura insuficiente</x:v>
      </x:c>
      <x:c r="C9" s="81" t="str">
        <x:v>true/false</x:v>
      </x:c>
      <x:c r="D9" s="81" t="str">
        <x:v>Sí</x:v>
      </x:c>
    </x:row>
    <x:row r="10">
      <x:c r="A10" s="81" t="str">
        <x:v>duplicate_alias_actions</x:v>
      </x:c>
      <x:c r="B10" s="81" t="str">
        <x:v>Fusiones o microconfirmaciones realizadas</x:v>
      </x:c>
      <x:c r="C10" s="81" t="str">
        <x:v>A002+A003 consolidated</x:v>
      </x:c>
      <x:c r="D10" s="81" t="str">
        <x:v>No</x:v>
      </x:c>
    </x:row>
    <x:row r="11">
      <x:c r="A11" s="81" t="str">
        <x:v>macro_micro_actions</x:v>
      </x:c>
      <x:c r="B11" s="81" t="str">
        <x:v>Desglose/agrupación requerida</x:v>
      </x:c>
      <x:c r="C11" s="81" t="str">
        <x:v>A006 too_micro absorbed into A004</x:v>
      </x:c>
      <x:c r="D11" s="81" t="str">
        <x:v>No</x:v>
      </x:c>
    </x:row>
    <x:row r="12">
      <x:c r="A12" s="81" t="str">
        <x:v>runtime_order</x:v>
      </x:c>
      <x:c r="B12" s="81" t="str">
        <x:v>Orden sugerido de ejecución</x:v>
      </x:c>
      <x:c r="C12" s="81" t="str">
        <x:v>1:A001,2:A004,3:A002...</x:v>
      </x:c>
      <x:c r="D12" s="81" t="str">
        <x:v>Sí</x:v>
      </x:c>
    </x:row>
    <x:row r="13">
      <x:c r="A13" s="81" t="str">
        <x:v>non_primary_context</x:v>
      </x:c>
      <x:c r="B13" s="81" t="str">
        <x:v>Actividades no primarias retenidas</x:v>
      </x:c>
      <x:c r="C13" s="81" t="str">
        <x:v>A006 context_only</x:v>
      </x:c>
      <x:c r="D13" s="81" t="str">
        <x:v>No</x:v>
      </x:c>
    </x:row>
    <x:row r="14">
      <x:c r="A14" s="81" t="str">
        <x:v>user_confirmation_needed</x:v>
      </x:c>
      <x:c r="B14" s="81" t="str">
        <x:v>Si se requiere confirmación antes de Significado</x:v>
      </x:c>
      <x:c r="C14" s="81" t="str">
        <x:v>coverage_microconfirmation</x:v>
      </x:c>
      <x:c r="D14" s="81" t="str">
        <x:v>No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</x:cols>
  <x:sheetData>
    <x:row r="1">
      <x:c r="A1" s="80" t="str">
        <x:v>ID</x:v>
      </x:c>
      <x:c r="B1" s="80" t="str">
        <x:v>Prueba de aceptación v1.2</x:v>
      </x:c>
      <x:c r="C1" s="80" t="str">
        <x:v>Criterio esperado</x:v>
      </x:c>
      <x:c r="D1" s="80" t="str">
        <x:v>Falla si</x:v>
      </x:c>
    </x:row>
    <x:row r="2">
      <x:c r="A2" s="81" t="str">
        <x:v>QA12-01</x:v>
      </x:c>
      <x:c r="B2" s="81" t="str">
        <x:v>Menos de 8 elegibles</x:v>
      </x:c>
      <x:c r="C2" s="81" t="str">
        <x:v>Si hay 1–8 elegibles, selection_mode = non_competitive_inclusion y selected = todas las elegibles.</x:v>
      </x:c>
      <x:c r="D2" s="81" t="str">
        <x:v>Se aplica ranking competitivo y se excluye una actividad elegible sin razón de gate.</x:v>
      </x:c>
    </x:row>
    <x:row r="3">
      <x:c r="A3" s="81" t="str">
        <x:v>QA12-02</x:v>
      </x:c>
      <x:c r="B3" s="81" t="str">
        <x:v>Cero elegibles</x:v>
      </x:c>
      <x:c r="C3" s="81" t="str">
        <x:v>selection_mode = reentry_required; no hay payload Runtime.</x:v>
      </x:c>
      <x:c r="D3" s="81" t="str">
        <x:v>Se inventa actividad o se envía responsabilidad como actividad.</x:v>
      </x:c>
    </x:row>
    <x:row r="4">
      <x:c r="A4" s="81" t="str">
        <x:v>QA12-03</x:v>
      </x:c>
      <x:c r="B4" s="81" t="str">
        <x:v>Más de 8 elegibles</x:v>
      </x:c>
      <x:c r="C4" s="81" t="str">
        <x:v>selection_mode = competitive_selection; selected_count &lt;= 8.</x:v>
      </x:c>
      <x:c r="D4" s="81" t="str">
        <x:v>Se seleccionan más de 8 o se delega al usuario la elección diagnóstica.</x:v>
      </x:c>
    </x:row>
    <x:row r="5">
      <x:c r="A5" s="81" t="str">
        <x:v>QA12-04</x:v>
      </x:c>
      <x:c r="B5" s="81" t="str">
        <x:v>No llenar cupos</x:v>
      </x:c>
      <x:c r="C5" s="81" t="str">
        <x:v>Si hay 5 elegibles, se envían 5, no 8.</x:v>
      </x:c>
      <x:c r="D5" s="81" t="str">
        <x:v>Se crean actividades artificiales o se promueven contextos.</x:v>
      </x:c>
    </x:row>
    <x:row r="6">
      <x:c r="A6" s="81" t="str">
        <x:v>QA12-05</x:v>
      </x:c>
      <x:c r="B6" s="81" t="str">
        <x:v>Duplicados</x:v>
      </x:c>
      <x:c r="C6" s="81" t="str">
        <x:v>Duplicados/alias se consolidan o microconfirman antes de Runtime.</x:v>
      </x:c>
      <x:c r="D6" s="81" t="str">
        <x:v>Dos actividades equivalentes ejecutan Runtime completo por separado.</x:v>
      </x:c>
    </x:row>
    <x:row r="7">
      <x:c r="A7" s="81" t="str">
        <x:v>QA12-06</x:v>
      </x:c>
      <x:c r="B7" s="81" t="str">
        <x:v>Macro/micro actividad</x:v>
      </x:c>
      <x:c r="C7" s="81" t="str">
        <x:v>Macro pide desglose; micro se agrupa/absorbe o marca review.</x:v>
      </x:c>
      <x:c r="D7" s="81" t="str">
        <x:v>Runtime 40/20 se ejecuta sobre una unidad no delimitable.</x:v>
      </x:c>
    </x:row>
    <x:row r="8">
      <x:c r="A8" s="81" t="str">
        <x:v>QA12-07</x:v>
      </x:c>
      <x:c r="B8" s="81" t="str">
        <x:v>Context bundle</x:v>
      </x:c>
      <x:c r="C8" s="81" t="str">
        <x:v>Estado A + WorkMap + no primarias viajan con estado epistemológico.</x:v>
      </x:c>
      <x:c r="D8" s="81" t="str">
        <x:v>Contexto se pierde o se confunde con evidencia confirmada.</x:v>
      </x:c>
    </x:row>
    <x:row r="9">
      <x:c r="A9" s="81" t="str">
        <x:v>QA12-08</x:v>
      </x:c>
      <x:c r="B9" s="81" t="str">
        <x:v>Significado ejecuta Runtime</x:v>
      </x:c>
      <x:c r="C9" s="81" t="str">
        <x:v>La pantalla Significado recibe actividades seleccionadas y ejecuta 40/20 por actividad.</x:v>
      </x:c>
      <x:c r="D9" s="81" t="str">
        <x:v>Significado se comporta como selector visible o pantalla de diagnóstico.</x:v>
      </x:c>
    </x:row>
    <x:row r="10">
      <x:c r="A10" s="81" t="str">
        <x:v>QA12-09</x:v>
      </x:c>
      <x:c r="B10" s="81" t="str">
        <x:v>No diagnóstico en Significado</x:v>
      </x:c>
      <x:c r="C10" s="81" t="str">
        <x:v>Solo captura/confirmación/profundización, sin VSM/AHE cerrado ni monetización.</x:v>
      </x:c>
      <x:c r="D10" s="81" t="str">
        <x:v>La UI emite patologías o conclusiones finales.</x:v>
      </x:c>
    </x:row>
    <x:row r="11">
      <x:c r="A11" s="81" t="str">
        <x:v>QA12-10</x:v>
      </x:c>
      <x:c r="B11" s="81" t="str">
        <x:v>Inferencia no contamina</x:v>
      </x:c>
      <x:c r="C11" s="81" t="str">
        <x:v>Todo inferred_from_workmap que afecte variable canónica se confirma en Runtime.</x:v>
      </x:c>
      <x:c r="D11" s="81" t="str">
        <x:v>La inferencia entra como captured_user_evidence sin confirmación.</x:v>
      </x:c>
    </x:row>
    <x:row r="12">
      <x:c r="A12" s="81" t="str">
        <x:v>QA12-11</x:v>
      </x:c>
      <x:c r="B12" s="81" t="str">
        <x:v>Separación por actividad</x:v>
      </x:c>
      <x:c r="C12" s="81" t="str">
        <x:v>Cada actividad primaria tiene evidence bundle separado.</x:v>
      </x:c>
      <x:c r="D12" s="81" t="str">
        <x:v>Respuestas de distintas actividades se mezclan.</x:v>
      </x:c>
    </x:row>
    <x:row r="13">
      <x:c r="A13" s="81" t="str">
        <x:v>QA12-12</x:v>
      </x:c>
      <x:c r="B13" s="81" t="str">
        <x:v>Cobertura de rol</x:v>
      </x:c>
      <x:c r="C13" s="81" t="str">
        <x:v>Con 1–3 actividades, se activa control de cobertura si Estado A sugiere rol amplio.</x:v>
      </x:c>
      <x:c r="D13" s="81" t="str">
        <x:v>Se avanza sin flags pese a cobertura dudosa.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3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2" hidden="0" customWidth="1"/>
    <x:col min="18" max="18" width="18" hidden="0" customWidth="1"/>
    <x:col min="19" max="19" width="14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4" hidden="0" customWidth="1"/>
    <x:col min="26" max="26" width="14" hidden="0" customWidth="1"/>
    <x:col min="27" max="27" width="16" hidden="0" customWidth="1"/>
    <x:col min="28" max="28" width="16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22" hidden="0" customWidth="1"/>
    <x:col min="40" max="40" width="18" hidden="0" customWidth="1"/>
    <x:col min="41" max="41" width="18" hidden="0" customWidth="1"/>
    <x:col min="42" max="42" width="14" hidden="0" customWidth="1"/>
    <x:col min="43" max="43" width="18" hidden="0" customWidth="1"/>
    <x:col min="44" max="44" width="16" hidden="0" customWidth="1"/>
    <x:col min="45" max="45" width="16" hidden="0" customWidth="1"/>
    <x:col min="46" max="46" width="16" hidden="0" customWidth="1"/>
    <x:col min="47" max="47" width="20" hidden="0" customWidth="1"/>
    <x:col min="48" max="48" width="14" hidden="0" customWidth="1"/>
    <x:col min="49" max="49" width="24" hidden="0" customWidth="1"/>
    <x:col min="50" max="50" width="20" hidden="0" customWidth="1"/>
    <x:col min="51" max="51" width="22" hidden="0" customWidth="1"/>
    <x:col min="52" max="52" width="2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  <x:col min="57" max="57" width="36" hidden="0" customWidth="1"/>
  </x:cols>
  <x:sheetData>
    <x:row r="1">
      <x:c r="A1" s="80" t="str">
        <x:v>selection_run_id</x:v>
      </x:c>
      <x:c r="B1" s="80" t="str">
        <x:v>raw_activity_count</x:v>
      </x:c>
      <x:c r="C1" s="80" t="str">
        <x:v>eligible_activity_count</x:v>
      </x:c>
      <x:c r="D1" s="80" t="str">
        <x:v>selection_mode_input_optional</x:v>
      </x:c>
      <x:c r="E1" s="80" t="str">
        <x:v>activity_id</x:v>
      </x:c>
      <x:c r="F1" s="80" t="str">
        <x:v>responsibility_id</x:v>
      </x:c>
      <x:c r="G1" s="80" t="str">
        <x:v>area</x:v>
      </x:c>
      <x:c r="H1" s="80" t="str">
        <x:v>functional_role</x:v>
      </x:c>
      <x:c r="I1" s="80" t="str">
        <x:v>decision_level</x:v>
      </x:c>
      <x:c r="J1" s="80" t="str">
        <x:v>authority_scope</x:v>
      </x:c>
      <x:c r="K1" s="80" t="str">
        <x:v>activity_label</x:v>
      </x:c>
      <x:c r="L1" s="80" t="str">
        <x:v>activity_description</x:v>
      </x:c>
      <x:c r="M1" s="80" t="str">
        <x:v>workmap_trace_ok</x:v>
      </x:c>
      <x:c r="N1" s="80" t="str">
        <x:v>belongs_to_role</x:v>
      </x:c>
      <x:c r="O1" s="80" t="str">
        <x:v>is_work_activity</x:v>
      </x:c>
      <x:c r="P1" s="80" t="str">
        <x:v>granularity_status</x:v>
      </x:c>
      <x:c r="Q1" s="80" t="str">
        <x:v>duplicate_or_alias_status</x:v>
      </x:c>
      <x:c r="R1" s="80" t="str">
        <x:v>context_status</x:v>
      </x:c>
      <x:c r="S1" s="80" t="str">
        <x:v>user_text_density_0_3</x:v>
      </x:c>
      <x:c r="T1" s="80" t="str">
        <x:v>semantic_clarity_0_3</x:v>
      </x:c>
      <x:c r="U1" s="80" t="str">
        <x:v>pm_signal_0_3</x:v>
      </x:c>
      <x:c r="V1" s="80" t="str">
        <x:v>moc_signal_0_3</x:v>
      </x:c>
      <x:c r="W1" s="80" t="str">
        <x:v>pf_signal_0_3</x:v>
      </x:c>
      <x:c r="X1" s="80" t="str">
        <x:v>olc_signal_0_3</x:v>
      </x:c>
      <x:c r="Y1" s="80" t="str">
        <x:v>operational_centrality_0_3</x:v>
      </x:c>
      <x:c r="Z1" s="80" t="str">
        <x:v>handoff_dependency_signal_0_3</x:v>
      </x:c>
      <x:c r="AA1" s="80" t="str">
        <x:v>transformation_object_signal_0_3</x:v>
      </x:c>
      <x:c r="AB1" s="80" t="str">
        <x:v>friction_exception_signal_0_3</x:v>
      </x:c>
      <x:c r="AC1" s="80" t="str">
        <x:v>coverage_diversity_0_3</x:v>
      </x:c>
      <x:c r="AD1" s="80" t="str">
        <x:v>uncertainty_level_0_3</x:v>
      </x:c>
      <x:c r="AE1" s="80" t="str">
        <x:v>ambiguity_probe_value_0_3</x:v>
      </x:c>
      <x:c r="AF1" s="80" t="str">
        <x:v>vagueness_risk_0_3</x:v>
      </x:c>
      <x:c r="AG1" s="80" t="str">
        <x:v>granularity_risk_0_3</x:v>
      </x:c>
      <x:c r="AH1" s="80" t="str">
        <x:v>duplicate_alias_risk_0_3</x:v>
      </x:c>
      <x:c r="AI1" s="80" t="str">
        <x:v>role_coverage_flag</x:v>
      </x:c>
      <x:c r="AJ1" s="80" t="str">
        <x:v>workmap_coverage_gap</x:v>
      </x:c>
      <x:c r="AK1" s="80" t="str">
        <x:v>Hard_Gate</x:v>
      </x:c>
      <x:c r="AL1" s="80" t="str">
        <x:v>Eligibility_Status</x:v>
      </x:c>
      <x:c r="AM1" s="80" t="str">
        <x:v>Selection_Mode</x:v>
      </x:c>
      <x:c r="AN1" s="80" t="str">
        <x:v>Architectural_Signal_Potential</x:v>
      </x:c>
      <x:c r="AO1" s="80" t="str">
        <x:v>Context_Quality_Score</x:v>
      </x:c>
      <x:c r="AP1" s="80" t="str">
        <x:v>Penalty_Total</x:v>
      </x:c>
      <x:c r="AQ1" s="80" t="str">
        <x:v>PrimaryActivitySelectionScore</x:v>
      </x:c>
      <x:c r="AR1" s="80" t="str">
        <x:v>Rank_If_Competitive</x:v>
      </x:c>
      <x:c r="AS1" s="80" t="str">
        <x:v>Select_If_Under8</x:v>
      </x:c>
      <x:c r="AT1" s="80" t="str">
        <x:v>Select_If_Over8</x:v>
      </x:c>
      <x:c r="AU1" s="80" t="str">
        <x:v>Final_Selection_Status</x:v>
      </x:c>
      <x:c r="AV1" s="80" t="str">
        <x:v>Runtime_Order</x:v>
      </x:c>
      <x:c r="AW1" s="80" t="str">
        <x:v>Runtime_Opening_Profile</x:v>
      </x:c>
      <x:c r="AX1" s="80" t="str">
        <x:v>Runtime_Probe_Priority</x:v>
      </x:c>
      <x:c r="AY1" s="80" t="str">
        <x:v>PreRuntime_Context_Status</x:v>
      </x:c>
      <x:c r="AZ1" s="80" t="str">
        <x:v>Runtime_Handoff_Ready</x:v>
      </x:c>
      <x:c r="BA1" s="80" t="str">
        <x:v>PM_Probe_Hypothesis</x:v>
      </x:c>
      <x:c r="BB1" s="80" t="str">
        <x:v>MoC_Probe_Hypothesis</x:v>
      </x:c>
      <x:c r="BC1" s="80" t="str">
        <x:v>PF_Probe_Hypothesis</x:v>
      </x:c>
      <x:c r="BD1" s="80" t="str">
        <x:v>OLC_Probe_Hypothesis</x:v>
      </x:c>
      <x:c r="BE1" s="80" t="str">
        <x:v>Notes</x:v>
      </x:c>
    </x:row>
    <x:row r="2">
      <x:c r="A2" s="81" t="str"/>
      <x:c r="B2" s="81" t="str"/>
      <x:c r="C2" s="81" t="str"/>
      <x:c r="D2" s="81" t="str"/>
      <x:c r="E2" s="81" t="str"/>
      <x:c r="F2" s="81" t="str"/>
      <x:c r="G2" s="81" t="str"/>
      <x:c r="H2" s="81" t="str"/>
      <x:c r="I2" s="81" t="str"/>
      <x:c r="J2" s="81" t="str"/>
      <x:c r="K2" s="81" t="str"/>
      <x:c r="L2" s="81" t="str"/>
      <x:c r="M2" s="81" t="str"/>
      <x:c r="N2" s="81" t="str"/>
      <x:c r="O2" s="81" t="str"/>
      <x:c r="P2" s="81" t="str"/>
      <x:c r="Q2" s="81" t="str"/>
      <x:c r="R2" s="81" t="str"/>
      <x:c r="S2" s="82" t="str"/>
      <x:c r="T2" s="82" t="str"/>
      <x:c r="U2" s="82" t="str"/>
      <x:c r="V2" s="82" t="str"/>
      <x:c r="W2" s="82" t="str"/>
      <x:c r="X2" s="82" t="str"/>
      <x:c r="Y2" s="82" t="str"/>
      <x:c r="Z2" s="82" t="str"/>
      <x:c r="AA2" s="82" t="str"/>
      <x:c r="AB2" s="82" t="str"/>
      <x:c r="AC2" s="82" t="str"/>
      <x:c r="AD2" s="82" t="str"/>
      <x:c r="AE2" s="82" t="str"/>
      <x:c r="AF2" s="82" t="str"/>
      <x:c r="AG2" s="82" t="str"/>
      <x:c r="AH2" s="82" t="str"/>
      <x:c r="AI2" s="81" t="str"/>
      <x:c r="AJ2" s="81" t="str"/>
      <x:c r="AK2" s="81" t="str">
        <x:f>IF($E2="","",IF(AND($M2="yes",OR($N2="yes",$N2="review"),OR($O2="yes",$O2="review"),$P2="fit",OR($Q2="unique",$Q2="alias_review"),$R2&lt;&gt;"context_only"),"pass","review/block"))</x:f>
      </x:c>
      <x:c r="AL2" s="81" t="str">
        <x:f>IF($E2="","",IF($AK2="pass","eligible",IF(OR($M2="no",$O2="no",$P2="too_macro",$P2="too_micro",$P2="context_only",$Q2="duplicate_confirmed",$R2="context_only"),"not_eligible","review")))</x:f>
      </x:c>
      <x:c r="AM2" s="81" t="str">
        <x:f>IF($E2="","",IF($C2=0,"reentry_required",IF($C2&lt;=8,"non_competitive_inclusion","competitive_selection")))</x:f>
      </x:c>
      <x:c r="AN2" s="82" t="str">
        <x:f>IF($E2="","",AVERAGE($U2:$X2))</x:f>
      </x:c>
      <x:c r="AO2" s="82" t="str">
        <x:f>IF($E2="","",AVERAGE($S2:$T2))</x:f>
      </x:c>
      <x:c r="AP2" s="82" t="str">
        <x:f>IF($E2="","",($AF2*0.08)+($AG2*0.08)+($AH2*0.10))</x:f>
      </x:c>
      <x:c r="AQ2" s="82" t="str">
        <x:f>IF($E2="","",MAX(0,($AN2*0.30)+($Y2*0.20)+($Z2*0.15)+($AA2*0.15)+($AB2*0.10)+($AC2*0.10)+($AE2*0.05)-$AP2))</x:f>
      </x:c>
      <x:c r="AR2" s="81" t="str">
        <x:f>IF($E2="","",IF($AM2="competitive_selection",RANK.EQ($AQ2,$AQ$2:$AQ$201,0),""))</x:f>
      </x:c>
      <x:c r="AS2" s="81" t="str">
        <x:f>IF($E2="","",IF(AND($AM2="non_competitive_inclusion",$AL2="eligible"),"selected",""))</x:f>
      </x:c>
      <x:c r="AT2" s="81" t="str">
        <x:f>IF($E2="","",IF($AM2&lt;&gt;"competitive_selection","",IF(AND($AL2="eligible",$AR2&lt;=8),"selected","context/backlog")))</x:f>
      </x:c>
      <x:c r="AU2" s="81" t="str">
        <x:f>IF($E2="","",IF($AM2="reentry_required","not_selected_reentry",IF($AS2="selected","selected_for_runtime",IF($AT2="selected","selected_for_runtime",IF($AL2="review","manual_review","context_or_not_selected")))))</x:f>
      </x:c>
      <x:c r="AV2" s="81" t="str">
        <x:f>IF($E2="","",IF($AU2="selected_for_runtime",IF($AM2="competitive_selection",$AR2,COUNTIF($AU$2:AU2,"selected_for_runtime")),""))</x:f>
      </x:c>
      <x:c r="AW2" s="81" t="str">
        <x:f>IF($E2="","",IF($AU2="selected_for_runtime",IF($AD2&gt;=2,"base_40_plus_uncertainty_probes",IF($AE2&gt;=2,"base_40_plus_exploratory_probes","base_40_standard")),"no_runtime"))</x:f>
      </x:c>
      <x:c r="AX2" s="81" t="str">
        <x:f>IF($E2="","",IF($AU2&lt;&gt;"selected_for_runtime","none",IF($AE2&gt;=2,"exploratoria",IF($AQ2&gt;=2.2,"alta",IF($AQ2&gt;=1.2,"media","baja")))))</x:f>
      </x:c>
      <x:c r="AY2" s="81" t="str">
        <x:f>IF($E2="","",IF($AJ2=TRUE,"context_with_coverage_gap",IF($AI2="review","context_requires_confirmation","context_ready")))</x:f>
      </x:c>
      <x:c r="AZ2" s="81" t="str">
        <x:f>IF($E2="","",IF($AU2&lt;&gt;"selected_for_runtime","no",IF(OR($AY2="context_with_coverage_gap",$AX2="exploratoria"),"ready_with_flags","ready")))</x:f>
      </x:c>
      <x:c r="BA2" s="81" t="str"/>
      <x:c r="BB2" s="81" t="str"/>
      <x:c r="BC2" s="81" t="str"/>
      <x:c r="BD2" s="81" t="str"/>
      <x:c r="BE2" s="81" t="str"/>
    </x:row>
    <x:row r="3">
      <x:c r="A3" s="81" t="str"/>
      <x:c r="B3" s="81" t="str"/>
      <x:c r="C3" s="81" t="str"/>
      <x:c r="D3" s="81" t="str"/>
      <x:c r="E3" s="81" t="str"/>
      <x:c r="F3" s="81" t="str"/>
      <x:c r="G3" s="81" t="str"/>
      <x:c r="H3" s="81" t="str"/>
      <x:c r="I3" s="81" t="str"/>
      <x:c r="J3" s="81" t="str"/>
      <x:c r="K3" s="81" t="str"/>
      <x:c r="L3" s="81" t="str"/>
      <x:c r="M3" s="81" t="str"/>
      <x:c r="N3" s="81" t="str"/>
      <x:c r="O3" s="81" t="str"/>
      <x:c r="P3" s="81" t="str"/>
      <x:c r="Q3" s="81" t="str"/>
      <x:c r="R3" s="81" t="str"/>
      <x:c r="S3" s="82" t="str"/>
      <x:c r="T3" s="82" t="str"/>
      <x:c r="U3" s="82" t="str"/>
      <x:c r="V3" s="82" t="str"/>
      <x:c r="W3" s="82" t="str"/>
      <x:c r="X3" s="82" t="str"/>
      <x:c r="Y3" s="82" t="str"/>
      <x:c r="Z3" s="82" t="str"/>
      <x:c r="AA3" s="82" t="str"/>
      <x:c r="AB3" s="82" t="str"/>
      <x:c r="AC3" s="82" t="str"/>
      <x:c r="AD3" s="82" t="str"/>
      <x:c r="AE3" s="82" t="str"/>
      <x:c r="AF3" s="82" t="str"/>
      <x:c r="AG3" s="82" t="str"/>
      <x:c r="AH3" s="82" t="str"/>
      <x:c r="AI3" s="81" t="str"/>
      <x:c r="AJ3" s="81" t="str"/>
      <x:c r="AK3" s="81" t="str">
        <x:f>IF($E3="","",IF(AND($M3="yes",OR($N3="yes",$N3="review"),OR($O3="yes",$O3="review"),$P3="fit",OR($Q3="unique",$Q3="alias_review"),$R3&lt;&gt;"context_only"),"pass","review/block"))</x:f>
      </x:c>
      <x:c r="AL3" s="81" t="str">
        <x:f>IF($E3="","",IF($AK3="pass","eligible",IF(OR($M3="no",$O3="no",$P3="too_macro",$P3="too_micro",$P3="context_only",$Q3="duplicate_confirmed",$R3="context_only"),"not_eligible","review")))</x:f>
      </x:c>
      <x:c r="AM3" s="81" t="str">
        <x:f>IF($E3="","",IF($C3=0,"reentry_required",IF($C3&lt;=8,"non_competitive_inclusion","competitive_selection")))</x:f>
      </x:c>
      <x:c r="AN3" s="82" t="str">
        <x:f>IF($E3="","",AVERAGE($U3:$X3))</x:f>
      </x:c>
      <x:c r="AO3" s="82" t="str">
        <x:f>IF($E3="","",AVERAGE($S3:$T3))</x:f>
      </x:c>
      <x:c r="AP3" s="82" t="str">
        <x:f>IF($E3="","",($AF3*0.08)+($AG3*0.08)+($AH3*0.10))</x:f>
      </x:c>
      <x:c r="AQ3" s="82" t="str">
        <x:f>IF($E3="","",MAX(0,($AN3*0.30)+($Y3*0.20)+($Z3*0.15)+($AA3*0.15)+($AB3*0.10)+($AC3*0.10)+($AE3*0.05)-$AP3))</x:f>
      </x:c>
      <x:c r="AR3" s="81" t="str">
        <x:f>IF($E3="","",IF($AM3="competitive_selection",RANK.EQ($AQ3,$AQ$2:$AQ$201,0),""))</x:f>
      </x:c>
      <x:c r="AS3" s="81" t="str">
        <x:f>IF($E3="","",IF(AND($AM3="non_competitive_inclusion",$AL3="eligible"),"selected",""))</x:f>
      </x:c>
      <x:c r="AT3" s="81" t="str">
        <x:f>IF($E3="","",IF($AM3&lt;&gt;"competitive_selection","",IF(AND($AL3="eligible",$AR3&lt;=8),"selected","context/backlog")))</x:f>
      </x:c>
      <x:c r="AU3" s="81" t="str">
        <x:f>IF($E3="","",IF($AM3="reentry_required","not_selected_reentry",IF($AS3="selected","selected_for_runtime",IF($AT3="selected","selected_for_runtime",IF($AL3="review","manual_review","context_or_not_selected")))))</x:f>
      </x:c>
      <x:c r="AV3" s="81" t="str">
        <x:f>IF($E3="","",IF($AU3="selected_for_runtime",IF($AM3="competitive_selection",$AR3,COUNTIF($AU$2:AU3,"selected_for_runtime")),""))</x:f>
      </x:c>
      <x:c r="AW3" s="81" t="str">
        <x:f>IF($E3="","",IF($AU3="selected_for_runtime",IF($AD3&gt;=2,"base_40_plus_uncertainty_probes",IF($AE3&gt;=2,"base_40_plus_exploratory_probes","base_40_standard")),"no_runtime"))</x:f>
      </x:c>
      <x:c r="AX3" s="81" t="str">
        <x:f>IF($E3="","",IF($AU3&lt;&gt;"selected_for_runtime","none",IF($AE3&gt;=2,"exploratoria",IF($AQ3&gt;=2.2,"alta",IF($AQ3&gt;=1.2,"media","baja")))))</x:f>
      </x:c>
      <x:c r="AY3" s="81" t="str">
        <x:f>IF($E3="","",IF($AJ3=TRUE,"context_with_coverage_gap",IF($AI3="review","context_requires_confirmation","context_ready")))</x:f>
      </x:c>
      <x:c r="AZ3" s="81" t="str">
        <x:f>IF($E3="","",IF($AU3&lt;&gt;"selected_for_runtime","no",IF(OR($AY3="context_with_coverage_gap",$AX3="exploratoria"),"ready_with_flags","ready")))</x:f>
      </x:c>
      <x:c r="BA3" s="81" t="str"/>
      <x:c r="BB3" s="81" t="str"/>
      <x:c r="BC3" s="81" t="str"/>
      <x:c r="BD3" s="81" t="str"/>
      <x:c r="BE3" s="81" t="str"/>
    </x:row>
    <x:row r="4">
      <x:c r="A4" s="81" t="str"/>
      <x:c r="B4" s="81" t="str"/>
      <x:c r="C4" s="81" t="str"/>
      <x:c r="D4" s="81" t="str"/>
      <x:c r="E4" s="81" t="str"/>
      <x:c r="F4" s="81" t="str"/>
      <x:c r="G4" s="81" t="str"/>
      <x:c r="H4" s="81" t="str"/>
      <x:c r="I4" s="81" t="str"/>
      <x:c r="J4" s="81" t="str"/>
      <x:c r="K4" s="81" t="str"/>
      <x:c r="L4" s="81" t="str"/>
      <x:c r="M4" s="81" t="str"/>
      <x:c r="N4" s="81" t="str"/>
      <x:c r="O4" s="81" t="str"/>
      <x:c r="P4" s="81" t="str"/>
      <x:c r="Q4" s="81" t="str"/>
      <x:c r="R4" s="81" t="str"/>
      <x:c r="S4" s="82" t="str"/>
      <x:c r="T4" s="82" t="str"/>
      <x:c r="U4" s="82" t="str"/>
      <x:c r="V4" s="82" t="str"/>
      <x:c r="W4" s="82" t="str"/>
      <x:c r="X4" s="82" t="str"/>
      <x:c r="Y4" s="82" t="str"/>
      <x:c r="Z4" s="82" t="str"/>
      <x:c r="AA4" s="82" t="str"/>
      <x:c r="AB4" s="82" t="str"/>
      <x:c r="AC4" s="82" t="str"/>
      <x:c r="AD4" s="82" t="str"/>
      <x:c r="AE4" s="82" t="str"/>
      <x:c r="AF4" s="82" t="str"/>
      <x:c r="AG4" s="82" t="str"/>
      <x:c r="AH4" s="82" t="str"/>
      <x:c r="AI4" s="81" t="str"/>
      <x:c r="AJ4" s="81" t="str"/>
      <x:c r="AK4" s="81" t="str">
        <x:f>IF($E4="","",IF(AND($M4="yes",OR($N4="yes",$N4="review"),OR($O4="yes",$O4="review"),$P4="fit",OR($Q4="unique",$Q4="alias_review"),$R4&lt;&gt;"context_only"),"pass","review/block"))</x:f>
      </x:c>
      <x:c r="AL4" s="81" t="str">
        <x:f>IF($E4="","",IF($AK4="pass","eligible",IF(OR($M4="no",$O4="no",$P4="too_macro",$P4="too_micro",$P4="context_only",$Q4="duplicate_confirmed",$R4="context_only"),"not_eligible","review")))</x:f>
      </x:c>
      <x:c r="AM4" s="81" t="str">
        <x:f>IF($E4="","",IF($C4=0,"reentry_required",IF($C4&lt;=8,"non_competitive_inclusion","competitive_selection")))</x:f>
      </x:c>
      <x:c r="AN4" s="82" t="str">
        <x:f>IF($E4="","",AVERAGE($U4:$X4))</x:f>
      </x:c>
      <x:c r="AO4" s="82" t="str">
        <x:f>IF($E4="","",AVERAGE($S4:$T4))</x:f>
      </x:c>
      <x:c r="AP4" s="82" t="str">
        <x:f>IF($E4="","",($AF4*0.08)+($AG4*0.08)+($AH4*0.10))</x:f>
      </x:c>
      <x:c r="AQ4" s="82" t="str">
        <x:f>IF($E4="","",MAX(0,($AN4*0.30)+($Y4*0.20)+($Z4*0.15)+($AA4*0.15)+($AB4*0.10)+($AC4*0.10)+($AE4*0.05)-$AP4))</x:f>
      </x:c>
      <x:c r="AR4" s="81" t="str">
        <x:f>IF($E4="","",IF($AM4="competitive_selection",RANK.EQ($AQ4,$AQ$2:$AQ$201,0),""))</x:f>
      </x:c>
      <x:c r="AS4" s="81" t="str">
        <x:f>IF($E4="","",IF(AND($AM4="non_competitive_inclusion",$AL4="eligible"),"selected",""))</x:f>
      </x:c>
      <x:c r="AT4" s="81" t="str">
        <x:f>IF($E4="","",IF($AM4&lt;&gt;"competitive_selection","",IF(AND($AL4="eligible",$AR4&lt;=8),"selected","context/backlog")))</x:f>
      </x:c>
      <x:c r="AU4" s="81" t="str">
        <x:f>IF($E4="","",IF($AM4="reentry_required","not_selected_reentry",IF($AS4="selected","selected_for_runtime",IF($AT4="selected","selected_for_runtime",IF($AL4="review","manual_review","context_or_not_selected")))))</x:f>
      </x:c>
      <x:c r="AV4" s="81" t="str">
        <x:f>IF($E4="","",IF($AU4="selected_for_runtime",IF($AM4="competitive_selection",$AR4,COUNTIF($AU$2:AU4,"selected_for_runtime")),""))</x:f>
      </x:c>
      <x:c r="AW4" s="81" t="str">
        <x:f>IF($E4="","",IF($AU4="selected_for_runtime",IF($AD4&gt;=2,"base_40_plus_uncertainty_probes",IF($AE4&gt;=2,"base_40_plus_exploratory_probes","base_40_standard")),"no_runtime"))</x:f>
      </x:c>
      <x:c r="AX4" s="81" t="str">
        <x:f>IF($E4="","",IF($AU4&lt;&gt;"selected_for_runtime","none",IF($AE4&gt;=2,"exploratoria",IF($AQ4&gt;=2.2,"alta",IF($AQ4&gt;=1.2,"media","baja")))))</x:f>
      </x:c>
      <x:c r="AY4" s="81" t="str">
        <x:f>IF($E4="","",IF($AJ4=TRUE,"context_with_coverage_gap",IF($AI4="review","context_requires_confirmation","context_ready")))</x:f>
      </x:c>
      <x:c r="AZ4" s="81" t="str">
        <x:f>IF($E4="","",IF($AU4&lt;&gt;"selected_for_runtime","no",IF(OR($AY4="context_with_coverage_gap",$AX4="exploratoria"),"ready_with_flags","ready")))</x:f>
      </x:c>
      <x:c r="BA4" s="81" t="str"/>
      <x:c r="BB4" s="81" t="str"/>
      <x:c r="BC4" s="81" t="str"/>
      <x:c r="BD4" s="81" t="str"/>
      <x:c r="BE4" s="81" t="str"/>
    </x:row>
    <x:row r="5">
      <x:c r="A5" s="81" t="str"/>
      <x:c r="B5" s="81" t="str"/>
      <x:c r="C5" s="81" t="str"/>
      <x:c r="D5" s="81" t="str"/>
      <x:c r="E5" s="81" t="str"/>
      <x:c r="F5" s="81" t="str"/>
      <x:c r="G5" s="81" t="str"/>
      <x:c r="H5" s="81" t="str"/>
      <x:c r="I5" s="81" t="str"/>
      <x:c r="J5" s="81" t="str"/>
      <x:c r="K5" s="81" t="str"/>
      <x:c r="L5" s="81" t="str"/>
      <x:c r="M5" s="81" t="str"/>
      <x:c r="N5" s="81" t="str"/>
      <x:c r="O5" s="81" t="str"/>
      <x:c r="P5" s="81" t="str"/>
      <x:c r="Q5" s="81" t="str"/>
      <x:c r="R5" s="81" t="str"/>
      <x:c r="S5" s="82" t="str"/>
      <x:c r="T5" s="82" t="str"/>
      <x:c r="U5" s="82" t="str"/>
      <x:c r="V5" s="82" t="str"/>
      <x:c r="W5" s="82" t="str"/>
      <x:c r="X5" s="82" t="str"/>
      <x:c r="Y5" s="82" t="str"/>
      <x:c r="Z5" s="82" t="str"/>
      <x:c r="AA5" s="82" t="str"/>
      <x:c r="AB5" s="82" t="str"/>
      <x:c r="AC5" s="82" t="str"/>
      <x:c r="AD5" s="82" t="str"/>
      <x:c r="AE5" s="82" t="str"/>
      <x:c r="AF5" s="82" t="str"/>
      <x:c r="AG5" s="82" t="str"/>
      <x:c r="AH5" s="82" t="str"/>
      <x:c r="AI5" s="81" t="str"/>
      <x:c r="AJ5" s="81" t="str"/>
      <x:c r="AK5" s="81" t="str">
        <x:f>IF($E5="","",IF(AND($M5="yes",OR($N5="yes",$N5="review"),OR($O5="yes",$O5="review"),$P5="fit",OR($Q5="unique",$Q5="alias_review"),$R5&lt;&gt;"context_only"),"pass","review/block"))</x:f>
      </x:c>
      <x:c r="AL5" s="81" t="str">
        <x:f>IF($E5="","",IF($AK5="pass","eligible",IF(OR($M5="no",$O5="no",$P5="too_macro",$P5="too_micro",$P5="context_only",$Q5="duplicate_confirmed",$R5="context_only"),"not_eligible","review")))</x:f>
      </x:c>
      <x:c r="AM5" s="81" t="str">
        <x:f>IF($E5="","",IF($C5=0,"reentry_required",IF($C5&lt;=8,"non_competitive_inclusion","competitive_selection")))</x:f>
      </x:c>
      <x:c r="AN5" s="82" t="str">
        <x:f>IF($E5="","",AVERAGE($U5:$X5))</x:f>
      </x:c>
      <x:c r="AO5" s="82" t="str">
        <x:f>IF($E5="","",AVERAGE($S5:$T5))</x:f>
      </x:c>
      <x:c r="AP5" s="82" t="str">
        <x:f>IF($E5="","",($AF5*0.08)+($AG5*0.08)+($AH5*0.10))</x:f>
      </x:c>
      <x:c r="AQ5" s="82" t="str">
        <x:f>IF($E5="","",MAX(0,($AN5*0.30)+($Y5*0.20)+($Z5*0.15)+($AA5*0.15)+($AB5*0.10)+($AC5*0.10)+($AE5*0.05)-$AP5))</x:f>
      </x:c>
      <x:c r="AR5" s="81" t="str">
        <x:f>IF($E5="","",IF($AM5="competitive_selection",RANK.EQ($AQ5,$AQ$2:$AQ$201,0),""))</x:f>
      </x:c>
      <x:c r="AS5" s="81" t="str">
        <x:f>IF($E5="","",IF(AND($AM5="non_competitive_inclusion",$AL5="eligible"),"selected",""))</x:f>
      </x:c>
      <x:c r="AT5" s="81" t="str">
        <x:f>IF($E5="","",IF($AM5&lt;&gt;"competitive_selection","",IF(AND($AL5="eligible",$AR5&lt;=8),"selected","context/backlog")))</x:f>
      </x:c>
      <x:c r="AU5" s="81" t="str">
        <x:f>IF($E5="","",IF($AM5="reentry_required","not_selected_reentry",IF($AS5="selected","selected_for_runtime",IF($AT5="selected","selected_for_runtime",IF($AL5="review","manual_review","context_or_not_selected")))))</x:f>
      </x:c>
      <x:c r="AV5" s="81" t="str">
        <x:f>IF($E5="","",IF($AU5="selected_for_runtime",IF($AM5="competitive_selection",$AR5,COUNTIF($AU$2:AU5,"selected_for_runtime")),""))</x:f>
      </x:c>
      <x:c r="AW5" s="81" t="str">
        <x:f>IF($E5="","",IF($AU5="selected_for_runtime",IF($AD5&gt;=2,"base_40_plus_uncertainty_probes",IF($AE5&gt;=2,"base_40_plus_exploratory_probes","base_40_standard")),"no_runtime"))</x:f>
      </x:c>
      <x:c r="AX5" s="81" t="str">
        <x:f>IF($E5="","",IF($AU5&lt;&gt;"selected_for_runtime","none",IF($AE5&gt;=2,"exploratoria",IF($AQ5&gt;=2.2,"alta",IF($AQ5&gt;=1.2,"media","baja")))))</x:f>
      </x:c>
      <x:c r="AY5" s="81" t="str">
        <x:f>IF($E5="","",IF($AJ5=TRUE,"context_with_coverage_gap",IF($AI5="review","context_requires_confirmation","context_ready")))</x:f>
      </x:c>
      <x:c r="AZ5" s="81" t="str">
        <x:f>IF($E5="","",IF($AU5&lt;&gt;"selected_for_runtime","no",IF(OR($AY5="context_with_coverage_gap",$AX5="exploratoria"),"ready_with_flags","ready")))</x:f>
      </x:c>
      <x:c r="BA5" s="81" t="str"/>
      <x:c r="BB5" s="81" t="str"/>
      <x:c r="BC5" s="81" t="str"/>
      <x:c r="BD5" s="81" t="str"/>
      <x:c r="BE5" s="81" t="str"/>
    </x:row>
    <x:row r="6">
      <x:c r="A6" s="81" t="str"/>
      <x:c r="B6" s="81" t="str"/>
      <x:c r="C6" s="81" t="str"/>
      <x:c r="D6" s="81" t="str"/>
      <x:c r="E6" s="81" t="str"/>
      <x:c r="F6" s="81" t="str"/>
      <x:c r="G6" s="81" t="str"/>
      <x:c r="H6" s="81" t="str"/>
      <x:c r="I6" s="81" t="str"/>
      <x:c r="J6" s="81" t="str"/>
      <x:c r="K6" s="81" t="str"/>
      <x:c r="L6" s="81" t="str"/>
      <x:c r="M6" s="81" t="str"/>
      <x:c r="N6" s="81" t="str"/>
      <x:c r="O6" s="81" t="str"/>
      <x:c r="P6" s="81" t="str"/>
      <x:c r="Q6" s="81" t="str"/>
      <x:c r="R6" s="81" t="str"/>
      <x:c r="S6" s="82" t="str"/>
      <x:c r="T6" s="82" t="str"/>
      <x:c r="U6" s="82" t="str"/>
      <x:c r="V6" s="82" t="str"/>
      <x:c r="W6" s="82" t="str"/>
      <x:c r="X6" s="82" t="str"/>
      <x:c r="Y6" s="82" t="str"/>
      <x:c r="Z6" s="82" t="str"/>
      <x:c r="AA6" s="82" t="str"/>
      <x:c r="AB6" s="82" t="str"/>
      <x:c r="AC6" s="82" t="str"/>
      <x:c r="AD6" s="82" t="str"/>
      <x:c r="AE6" s="82" t="str"/>
      <x:c r="AF6" s="82" t="str"/>
      <x:c r="AG6" s="82" t="str"/>
      <x:c r="AH6" s="82" t="str"/>
      <x:c r="AI6" s="81" t="str"/>
      <x:c r="AJ6" s="81" t="str"/>
      <x:c r="AK6" s="81" t="str">
        <x:f>IF($E6="","",IF(AND($M6="yes",OR($N6="yes",$N6="review"),OR($O6="yes",$O6="review"),$P6="fit",OR($Q6="unique",$Q6="alias_review"),$R6&lt;&gt;"context_only"),"pass","review/block"))</x:f>
      </x:c>
      <x:c r="AL6" s="81" t="str">
        <x:f>IF($E6="","",IF($AK6="pass","eligible",IF(OR($M6="no",$O6="no",$P6="too_macro",$P6="too_micro",$P6="context_only",$Q6="duplicate_confirmed",$R6="context_only"),"not_eligible","review")))</x:f>
      </x:c>
      <x:c r="AM6" s="81" t="str">
        <x:f>IF($E6="","",IF($C6=0,"reentry_required",IF($C6&lt;=8,"non_competitive_inclusion","competitive_selection")))</x:f>
      </x:c>
      <x:c r="AN6" s="82" t="str">
        <x:f>IF($E6="","",AVERAGE($U6:$X6))</x:f>
      </x:c>
      <x:c r="AO6" s="82" t="str">
        <x:f>IF($E6="","",AVERAGE($S6:$T6))</x:f>
      </x:c>
      <x:c r="AP6" s="82" t="str">
        <x:f>IF($E6="","",($AF6*0.08)+($AG6*0.08)+($AH6*0.10))</x:f>
      </x:c>
      <x:c r="AQ6" s="82" t="str">
        <x:f>IF($E6="","",MAX(0,($AN6*0.30)+($Y6*0.20)+($Z6*0.15)+($AA6*0.15)+($AB6*0.10)+($AC6*0.10)+($AE6*0.05)-$AP6))</x:f>
      </x:c>
      <x:c r="AR6" s="81" t="str">
        <x:f>IF($E6="","",IF($AM6="competitive_selection",RANK.EQ($AQ6,$AQ$2:$AQ$201,0),""))</x:f>
      </x:c>
      <x:c r="AS6" s="81" t="str">
        <x:f>IF($E6="","",IF(AND($AM6="non_competitive_inclusion",$AL6="eligible"),"selected",""))</x:f>
      </x:c>
      <x:c r="AT6" s="81" t="str">
        <x:f>IF($E6="","",IF($AM6&lt;&gt;"competitive_selection","",IF(AND($AL6="eligible",$AR6&lt;=8),"selected","context/backlog")))</x:f>
      </x:c>
      <x:c r="AU6" s="81" t="str">
        <x:f>IF($E6="","",IF($AM6="reentry_required","not_selected_reentry",IF($AS6="selected","selected_for_runtime",IF($AT6="selected","selected_for_runtime",IF($AL6="review","manual_review","context_or_not_selected")))))</x:f>
      </x:c>
      <x:c r="AV6" s="81" t="str">
        <x:f>IF($E6="","",IF($AU6="selected_for_runtime",IF($AM6="competitive_selection",$AR6,COUNTIF($AU$2:AU6,"selected_for_runtime")),""))</x:f>
      </x:c>
      <x:c r="AW6" s="81" t="str">
        <x:f>IF($E6="","",IF($AU6="selected_for_runtime",IF($AD6&gt;=2,"base_40_plus_uncertainty_probes",IF($AE6&gt;=2,"base_40_plus_exploratory_probes","base_40_standard")),"no_runtime"))</x:f>
      </x:c>
      <x:c r="AX6" s="81" t="str">
        <x:f>IF($E6="","",IF($AU6&lt;&gt;"selected_for_runtime","none",IF($AE6&gt;=2,"exploratoria",IF($AQ6&gt;=2.2,"alta",IF($AQ6&gt;=1.2,"media","baja")))))</x:f>
      </x:c>
      <x:c r="AY6" s="81" t="str">
        <x:f>IF($E6="","",IF($AJ6=TRUE,"context_with_coverage_gap",IF($AI6="review","context_requires_confirmation","context_ready")))</x:f>
      </x:c>
      <x:c r="AZ6" s="81" t="str">
        <x:f>IF($E6="","",IF($AU6&lt;&gt;"selected_for_runtime","no",IF(OR($AY6="context_with_coverage_gap",$AX6="exploratoria"),"ready_with_flags","ready")))</x:f>
      </x:c>
      <x:c r="BA6" s="81" t="str"/>
      <x:c r="BB6" s="81" t="str"/>
      <x:c r="BC6" s="81" t="str"/>
      <x:c r="BD6" s="81" t="str"/>
      <x:c r="BE6" s="81" t="str"/>
    </x:row>
    <x:row r="7">
      <x:c r="A7" s="81" t="str"/>
      <x:c r="B7" s="81" t="str"/>
      <x:c r="C7" s="81" t="str"/>
      <x:c r="D7" s="81" t="str"/>
      <x:c r="E7" s="81" t="str"/>
      <x:c r="F7" s="81" t="str"/>
      <x:c r="G7" s="81" t="str"/>
      <x:c r="H7" s="81" t="str"/>
      <x:c r="I7" s="81" t="str"/>
      <x:c r="J7" s="81" t="str"/>
      <x:c r="K7" s="81" t="str"/>
      <x:c r="L7" s="81" t="str"/>
      <x:c r="M7" s="81" t="str"/>
      <x:c r="N7" s="81" t="str"/>
      <x:c r="O7" s="81" t="str"/>
      <x:c r="P7" s="81" t="str"/>
      <x:c r="Q7" s="81" t="str"/>
      <x:c r="R7" s="81" t="str"/>
      <x:c r="S7" s="82" t="str"/>
      <x:c r="T7" s="82" t="str"/>
      <x:c r="U7" s="82" t="str"/>
      <x:c r="V7" s="82" t="str"/>
      <x:c r="W7" s="82" t="str"/>
      <x:c r="X7" s="82" t="str"/>
      <x:c r="Y7" s="82" t="str"/>
      <x:c r="Z7" s="82" t="str"/>
      <x:c r="AA7" s="82" t="str"/>
      <x:c r="AB7" s="82" t="str"/>
      <x:c r="AC7" s="82" t="str"/>
      <x:c r="AD7" s="82" t="str"/>
      <x:c r="AE7" s="82" t="str"/>
      <x:c r="AF7" s="82" t="str"/>
      <x:c r="AG7" s="82" t="str"/>
      <x:c r="AH7" s="82" t="str"/>
      <x:c r="AI7" s="81" t="str"/>
      <x:c r="AJ7" s="81" t="str"/>
      <x:c r="AK7" s="81" t="str">
        <x:f>IF($E7="","",IF(AND($M7="yes",OR($N7="yes",$N7="review"),OR($O7="yes",$O7="review"),$P7="fit",OR($Q7="unique",$Q7="alias_review"),$R7&lt;&gt;"context_only"),"pass","review/block"))</x:f>
      </x:c>
      <x:c r="AL7" s="81" t="str">
        <x:f>IF($E7="","",IF($AK7="pass","eligible",IF(OR($M7="no",$O7="no",$P7="too_macro",$P7="too_micro",$P7="context_only",$Q7="duplicate_confirmed",$R7="context_only"),"not_eligible","review")))</x:f>
      </x:c>
      <x:c r="AM7" s="81" t="str">
        <x:f>IF($E7="","",IF($C7=0,"reentry_required",IF($C7&lt;=8,"non_competitive_inclusion","competitive_selection")))</x:f>
      </x:c>
      <x:c r="AN7" s="82" t="str">
        <x:f>IF($E7="","",AVERAGE($U7:$X7))</x:f>
      </x:c>
      <x:c r="AO7" s="82" t="str">
        <x:f>IF($E7="","",AVERAGE($S7:$T7))</x:f>
      </x:c>
      <x:c r="AP7" s="82" t="str">
        <x:f>IF($E7="","",($AF7*0.08)+($AG7*0.08)+($AH7*0.10))</x:f>
      </x:c>
      <x:c r="AQ7" s="82" t="str">
        <x:f>IF($E7="","",MAX(0,($AN7*0.30)+($Y7*0.20)+($Z7*0.15)+($AA7*0.15)+($AB7*0.10)+($AC7*0.10)+($AE7*0.05)-$AP7))</x:f>
      </x:c>
      <x:c r="AR7" s="81" t="str">
        <x:f>IF($E7="","",IF($AM7="competitive_selection",RANK.EQ($AQ7,$AQ$2:$AQ$201,0),""))</x:f>
      </x:c>
      <x:c r="AS7" s="81" t="str">
        <x:f>IF($E7="","",IF(AND($AM7="non_competitive_inclusion",$AL7="eligible"),"selected",""))</x:f>
      </x:c>
      <x:c r="AT7" s="81" t="str">
        <x:f>IF($E7="","",IF($AM7&lt;&gt;"competitive_selection","",IF(AND($AL7="eligible",$AR7&lt;=8),"selected","context/backlog")))</x:f>
      </x:c>
      <x:c r="AU7" s="81" t="str">
        <x:f>IF($E7="","",IF($AM7="reentry_required","not_selected_reentry",IF($AS7="selected","selected_for_runtime",IF($AT7="selected","selected_for_runtime",IF($AL7="review","manual_review","context_or_not_selected")))))</x:f>
      </x:c>
      <x:c r="AV7" s="81" t="str">
        <x:f>IF($E7="","",IF($AU7="selected_for_runtime",IF($AM7="competitive_selection",$AR7,COUNTIF($AU$2:AU7,"selected_for_runtime")),""))</x:f>
      </x:c>
      <x:c r="AW7" s="81" t="str">
        <x:f>IF($E7="","",IF($AU7="selected_for_runtime",IF($AD7&gt;=2,"base_40_plus_uncertainty_probes",IF($AE7&gt;=2,"base_40_plus_exploratory_probes","base_40_standard")),"no_runtime"))</x:f>
      </x:c>
      <x:c r="AX7" s="81" t="str">
        <x:f>IF($E7="","",IF($AU7&lt;&gt;"selected_for_runtime","none",IF($AE7&gt;=2,"exploratoria",IF($AQ7&gt;=2.2,"alta",IF($AQ7&gt;=1.2,"media","baja")))))</x:f>
      </x:c>
      <x:c r="AY7" s="81" t="str">
        <x:f>IF($E7="","",IF($AJ7=TRUE,"context_with_coverage_gap",IF($AI7="review","context_requires_confirmation","context_ready")))</x:f>
      </x:c>
      <x:c r="AZ7" s="81" t="str">
        <x:f>IF($E7="","",IF($AU7&lt;&gt;"selected_for_runtime","no",IF(OR($AY7="context_with_coverage_gap",$AX7="exploratoria"),"ready_with_flags","ready")))</x:f>
      </x:c>
      <x:c r="BA7" s="81" t="str"/>
      <x:c r="BB7" s="81" t="str"/>
      <x:c r="BC7" s="81" t="str"/>
      <x:c r="BD7" s="81" t="str"/>
      <x:c r="BE7" s="81" t="str"/>
    </x:row>
    <x:row r="8">
      <x:c r="A8" s="81" t="str"/>
      <x:c r="B8" s="81" t="str"/>
      <x:c r="C8" s="81" t="str"/>
      <x:c r="D8" s="81" t="str"/>
      <x:c r="E8" s="81" t="str"/>
      <x:c r="F8" s="81" t="str"/>
      <x:c r="G8" s="81" t="str"/>
      <x:c r="H8" s="81" t="str"/>
      <x:c r="I8" s="81" t="str"/>
      <x:c r="J8" s="81" t="str"/>
      <x:c r="K8" s="81" t="str"/>
      <x:c r="L8" s="81" t="str"/>
      <x:c r="M8" s="81" t="str"/>
      <x:c r="N8" s="81" t="str"/>
      <x:c r="O8" s="81" t="str"/>
      <x:c r="P8" s="81" t="str"/>
      <x:c r="Q8" s="81" t="str"/>
      <x:c r="R8" s="81" t="str"/>
      <x:c r="S8" s="82" t="str"/>
      <x:c r="T8" s="82" t="str"/>
      <x:c r="U8" s="82" t="str"/>
      <x:c r="V8" s="82" t="str"/>
      <x:c r="W8" s="82" t="str"/>
      <x:c r="X8" s="82" t="str"/>
      <x:c r="Y8" s="82" t="str"/>
      <x:c r="Z8" s="82" t="str"/>
      <x:c r="AA8" s="82" t="str"/>
      <x:c r="AB8" s="82" t="str"/>
      <x:c r="AC8" s="82" t="str"/>
      <x:c r="AD8" s="82" t="str"/>
      <x:c r="AE8" s="82" t="str"/>
      <x:c r="AF8" s="82" t="str"/>
      <x:c r="AG8" s="82" t="str"/>
      <x:c r="AH8" s="82" t="str"/>
      <x:c r="AI8" s="81" t="str"/>
      <x:c r="AJ8" s="81" t="str"/>
      <x:c r="AK8" s="81" t="str">
        <x:f>IF($E8="","",IF(AND($M8="yes",OR($N8="yes",$N8="review"),OR($O8="yes",$O8="review"),$P8="fit",OR($Q8="unique",$Q8="alias_review"),$R8&lt;&gt;"context_only"),"pass","review/block"))</x:f>
      </x:c>
      <x:c r="AL8" s="81" t="str">
        <x:f>IF($E8="","",IF($AK8="pass","eligible",IF(OR($M8="no",$O8="no",$P8="too_macro",$P8="too_micro",$P8="context_only",$Q8="duplicate_confirmed",$R8="context_only"),"not_eligible","review")))</x:f>
      </x:c>
      <x:c r="AM8" s="81" t="str">
        <x:f>IF($E8="","",IF($C8=0,"reentry_required",IF($C8&lt;=8,"non_competitive_inclusion","competitive_selection")))</x:f>
      </x:c>
      <x:c r="AN8" s="82" t="str">
        <x:f>IF($E8="","",AVERAGE($U8:$X8))</x:f>
      </x:c>
      <x:c r="AO8" s="82" t="str">
        <x:f>IF($E8="","",AVERAGE($S8:$T8))</x:f>
      </x:c>
      <x:c r="AP8" s="82" t="str">
        <x:f>IF($E8="","",($AF8*0.08)+($AG8*0.08)+($AH8*0.10))</x:f>
      </x:c>
      <x:c r="AQ8" s="82" t="str">
        <x:f>IF($E8="","",MAX(0,($AN8*0.30)+($Y8*0.20)+($Z8*0.15)+($AA8*0.15)+($AB8*0.10)+($AC8*0.10)+($AE8*0.05)-$AP8))</x:f>
      </x:c>
      <x:c r="AR8" s="81" t="str">
        <x:f>IF($E8="","",IF($AM8="competitive_selection",RANK.EQ($AQ8,$AQ$2:$AQ$201,0),""))</x:f>
      </x:c>
      <x:c r="AS8" s="81" t="str">
        <x:f>IF($E8="","",IF(AND($AM8="non_competitive_inclusion",$AL8="eligible"),"selected",""))</x:f>
      </x:c>
      <x:c r="AT8" s="81" t="str">
        <x:f>IF($E8="","",IF($AM8&lt;&gt;"competitive_selection","",IF(AND($AL8="eligible",$AR8&lt;=8),"selected","context/backlog")))</x:f>
      </x:c>
      <x:c r="AU8" s="81" t="str">
        <x:f>IF($E8="","",IF($AM8="reentry_required","not_selected_reentry",IF($AS8="selected","selected_for_runtime",IF($AT8="selected","selected_for_runtime",IF($AL8="review","manual_review","context_or_not_selected")))))</x:f>
      </x:c>
      <x:c r="AV8" s="81" t="str">
        <x:f>IF($E8="","",IF($AU8="selected_for_runtime",IF($AM8="competitive_selection",$AR8,COUNTIF($AU$2:AU8,"selected_for_runtime")),""))</x:f>
      </x:c>
      <x:c r="AW8" s="81" t="str">
        <x:f>IF($E8="","",IF($AU8="selected_for_runtime",IF($AD8&gt;=2,"base_40_plus_uncertainty_probes",IF($AE8&gt;=2,"base_40_plus_exploratory_probes","base_40_standard")),"no_runtime"))</x:f>
      </x:c>
      <x:c r="AX8" s="81" t="str">
        <x:f>IF($E8="","",IF($AU8&lt;&gt;"selected_for_runtime","none",IF($AE8&gt;=2,"exploratoria",IF($AQ8&gt;=2.2,"alta",IF($AQ8&gt;=1.2,"media","baja")))))</x:f>
      </x:c>
      <x:c r="AY8" s="81" t="str">
        <x:f>IF($E8="","",IF($AJ8=TRUE,"context_with_coverage_gap",IF($AI8="review","context_requires_confirmation","context_ready")))</x:f>
      </x:c>
      <x:c r="AZ8" s="81" t="str">
        <x:f>IF($E8="","",IF($AU8&lt;&gt;"selected_for_runtime","no",IF(OR($AY8="context_with_coverage_gap",$AX8="exploratoria"),"ready_with_flags","ready")))</x:f>
      </x:c>
      <x:c r="BA8" s="81" t="str"/>
      <x:c r="BB8" s="81" t="str"/>
      <x:c r="BC8" s="81" t="str"/>
      <x:c r="BD8" s="81" t="str"/>
      <x:c r="BE8" s="81" t="str"/>
    </x:row>
    <x:row r="9">
      <x:c r="A9" s="81" t="str"/>
      <x:c r="B9" s="81" t="str"/>
      <x:c r="C9" s="81" t="str"/>
      <x:c r="D9" s="81" t="str"/>
      <x:c r="E9" s="81" t="str"/>
      <x:c r="F9" s="81" t="str"/>
      <x:c r="G9" s="81" t="str"/>
      <x:c r="H9" s="81" t="str"/>
      <x:c r="I9" s="81" t="str"/>
      <x:c r="J9" s="81" t="str"/>
      <x:c r="K9" s="81" t="str"/>
      <x:c r="L9" s="81" t="str"/>
      <x:c r="M9" s="81" t="str"/>
      <x:c r="N9" s="81" t="str"/>
      <x:c r="O9" s="81" t="str"/>
      <x:c r="P9" s="81" t="str"/>
      <x:c r="Q9" s="81" t="str"/>
      <x:c r="R9" s="81" t="str"/>
      <x:c r="S9" s="82" t="str"/>
      <x:c r="T9" s="82" t="str"/>
      <x:c r="U9" s="82" t="str"/>
      <x:c r="V9" s="82" t="str"/>
      <x:c r="W9" s="82" t="str"/>
      <x:c r="X9" s="82" t="str"/>
      <x:c r="Y9" s="82" t="str"/>
      <x:c r="Z9" s="82" t="str"/>
      <x:c r="AA9" s="82" t="str"/>
      <x:c r="AB9" s="82" t="str"/>
      <x:c r="AC9" s="82" t="str"/>
      <x:c r="AD9" s="82" t="str"/>
      <x:c r="AE9" s="82" t="str"/>
      <x:c r="AF9" s="82" t="str"/>
      <x:c r="AG9" s="82" t="str"/>
      <x:c r="AH9" s="82" t="str"/>
      <x:c r="AI9" s="81" t="str"/>
      <x:c r="AJ9" s="81" t="str"/>
      <x:c r="AK9" s="81" t="str">
        <x:f>IF($E9="","",IF(AND($M9="yes",OR($N9="yes",$N9="review"),OR($O9="yes",$O9="review"),$P9="fit",OR($Q9="unique",$Q9="alias_review"),$R9&lt;&gt;"context_only"),"pass","review/block"))</x:f>
      </x:c>
      <x:c r="AL9" s="81" t="str">
        <x:f>IF($E9="","",IF($AK9="pass","eligible",IF(OR($M9="no",$O9="no",$P9="too_macro",$P9="too_micro",$P9="context_only",$Q9="duplicate_confirmed",$R9="context_only"),"not_eligible","review")))</x:f>
      </x:c>
      <x:c r="AM9" s="81" t="str">
        <x:f>IF($E9="","",IF($C9=0,"reentry_required",IF($C9&lt;=8,"non_competitive_inclusion","competitive_selection")))</x:f>
      </x:c>
      <x:c r="AN9" s="82" t="str">
        <x:f>IF($E9="","",AVERAGE($U9:$X9))</x:f>
      </x:c>
      <x:c r="AO9" s="82" t="str">
        <x:f>IF($E9="","",AVERAGE($S9:$T9))</x:f>
      </x:c>
      <x:c r="AP9" s="82" t="str">
        <x:f>IF($E9="","",($AF9*0.08)+($AG9*0.08)+($AH9*0.10))</x:f>
      </x:c>
      <x:c r="AQ9" s="82" t="str">
        <x:f>IF($E9="","",MAX(0,($AN9*0.30)+($Y9*0.20)+($Z9*0.15)+($AA9*0.15)+($AB9*0.10)+($AC9*0.10)+($AE9*0.05)-$AP9))</x:f>
      </x:c>
      <x:c r="AR9" s="81" t="str">
        <x:f>IF($E9="","",IF($AM9="competitive_selection",RANK.EQ($AQ9,$AQ$2:$AQ$201,0),""))</x:f>
      </x:c>
      <x:c r="AS9" s="81" t="str">
        <x:f>IF($E9="","",IF(AND($AM9="non_competitive_inclusion",$AL9="eligible"),"selected",""))</x:f>
      </x:c>
      <x:c r="AT9" s="81" t="str">
        <x:f>IF($E9="","",IF($AM9&lt;&gt;"competitive_selection","",IF(AND($AL9="eligible",$AR9&lt;=8),"selected","context/backlog")))</x:f>
      </x:c>
      <x:c r="AU9" s="81" t="str">
        <x:f>IF($E9="","",IF($AM9="reentry_required","not_selected_reentry",IF($AS9="selected","selected_for_runtime",IF($AT9="selected","selected_for_runtime",IF($AL9="review","manual_review","context_or_not_selected")))))</x:f>
      </x:c>
      <x:c r="AV9" s="81" t="str">
        <x:f>IF($E9="","",IF($AU9="selected_for_runtime",IF($AM9="competitive_selection",$AR9,COUNTIF($AU$2:AU9,"selected_for_runtime")),""))</x:f>
      </x:c>
      <x:c r="AW9" s="81" t="str">
        <x:f>IF($E9="","",IF($AU9="selected_for_runtime",IF($AD9&gt;=2,"base_40_plus_uncertainty_probes",IF($AE9&gt;=2,"base_40_plus_exploratory_probes","base_40_standard")),"no_runtime"))</x:f>
      </x:c>
      <x:c r="AX9" s="81" t="str">
        <x:f>IF($E9="","",IF($AU9&lt;&gt;"selected_for_runtime","none",IF($AE9&gt;=2,"exploratoria",IF($AQ9&gt;=2.2,"alta",IF($AQ9&gt;=1.2,"media","baja")))))</x:f>
      </x:c>
      <x:c r="AY9" s="81" t="str">
        <x:f>IF($E9="","",IF($AJ9=TRUE,"context_with_coverage_gap",IF($AI9="review","context_requires_confirmation","context_ready")))</x:f>
      </x:c>
      <x:c r="AZ9" s="81" t="str">
        <x:f>IF($E9="","",IF($AU9&lt;&gt;"selected_for_runtime","no",IF(OR($AY9="context_with_coverage_gap",$AX9="exploratoria"),"ready_with_flags","ready")))</x:f>
      </x:c>
      <x:c r="BA9" s="81" t="str"/>
      <x:c r="BB9" s="81" t="str"/>
      <x:c r="BC9" s="81" t="str"/>
      <x:c r="BD9" s="81" t="str"/>
      <x:c r="BE9" s="81" t="str"/>
    </x:row>
    <x:row r="10">
      <x:c r="A10" s="81" t="str"/>
      <x:c r="B10" s="81" t="str"/>
      <x:c r="C10" s="81" t="str"/>
      <x:c r="D10" s="81" t="str"/>
      <x:c r="E10" s="81" t="str"/>
      <x:c r="F10" s="81" t="str"/>
      <x:c r="G10" s="81" t="str"/>
      <x:c r="H10" s="81" t="str"/>
      <x:c r="I10" s="81" t="str"/>
      <x:c r="J10" s="81" t="str"/>
      <x:c r="K10" s="81" t="str"/>
      <x:c r="L10" s="81" t="str"/>
      <x:c r="M10" s="81" t="str"/>
      <x:c r="N10" s="81" t="str"/>
      <x:c r="O10" s="81" t="str"/>
      <x:c r="P10" s="81" t="str"/>
      <x:c r="Q10" s="81" t="str"/>
      <x:c r="R10" s="81" t="str"/>
      <x:c r="S10" s="82" t="str"/>
      <x:c r="T10" s="82" t="str"/>
      <x:c r="U10" s="82" t="str"/>
      <x:c r="V10" s="82" t="str"/>
      <x:c r="W10" s="82" t="str"/>
      <x:c r="X10" s="82" t="str"/>
      <x:c r="Y10" s="82" t="str"/>
      <x:c r="Z10" s="82" t="str"/>
      <x:c r="AA10" s="82" t="str"/>
      <x:c r="AB10" s="82" t="str"/>
      <x:c r="AC10" s="82" t="str"/>
      <x:c r="AD10" s="82" t="str"/>
      <x:c r="AE10" s="82" t="str"/>
      <x:c r="AF10" s="82" t="str"/>
      <x:c r="AG10" s="82" t="str"/>
      <x:c r="AH10" s="82" t="str"/>
      <x:c r="AI10" s="81" t="str"/>
      <x:c r="AJ10" s="81" t="str"/>
      <x:c r="AK10" s="81" t="str">
        <x:f>IF($E10="","",IF(AND($M10="yes",OR($N10="yes",$N10="review"),OR($O10="yes",$O10="review"),$P10="fit",OR($Q10="unique",$Q10="alias_review"),$R10&lt;&gt;"context_only"),"pass","review/block"))</x:f>
      </x:c>
      <x:c r="AL10" s="81" t="str">
        <x:f>IF($E10="","",IF($AK10="pass","eligible",IF(OR($M10="no",$O10="no",$P10="too_macro",$P10="too_micro",$P10="context_only",$Q10="duplicate_confirmed",$R10="context_only"),"not_eligible","review")))</x:f>
      </x:c>
      <x:c r="AM10" s="81" t="str">
        <x:f>IF($E10="","",IF($C10=0,"reentry_required",IF($C10&lt;=8,"non_competitive_inclusion","competitive_selection")))</x:f>
      </x:c>
      <x:c r="AN10" s="82" t="str">
        <x:f>IF($E10="","",AVERAGE($U10:$X10))</x:f>
      </x:c>
      <x:c r="AO10" s="82" t="str">
        <x:f>IF($E10="","",AVERAGE($S10:$T10))</x:f>
      </x:c>
      <x:c r="AP10" s="82" t="str">
        <x:f>IF($E10="","",($AF10*0.08)+($AG10*0.08)+($AH10*0.10))</x:f>
      </x:c>
      <x:c r="AQ10" s="82" t="str">
        <x:f>IF($E10="","",MAX(0,($AN10*0.30)+($Y10*0.20)+($Z10*0.15)+($AA10*0.15)+($AB10*0.10)+($AC10*0.10)+($AE10*0.05)-$AP10))</x:f>
      </x:c>
      <x:c r="AR10" s="81" t="str">
        <x:f>IF($E10="","",IF($AM10="competitive_selection",RANK.EQ($AQ10,$AQ$2:$AQ$201,0),""))</x:f>
      </x:c>
      <x:c r="AS10" s="81" t="str">
        <x:f>IF($E10="","",IF(AND($AM10="non_competitive_inclusion",$AL10="eligible"),"selected",""))</x:f>
      </x:c>
      <x:c r="AT10" s="81" t="str">
        <x:f>IF($E10="","",IF($AM10&lt;&gt;"competitive_selection","",IF(AND($AL10="eligible",$AR10&lt;=8),"selected","context/backlog")))</x:f>
      </x:c>
      <x:c r="AU10" s="81" t="str">
        <x:f>IF($E10="","",IF($AM10="reentry_required","not_selected_reentry",IF($AS10="selected","selected_for_runtime",IF($AT10="selected","selected_for_runtime",IF($AL10="review","manual_review","context_or_not_selected")))))</x:f>
      </x:c>
      <x:c r="AV10" s="81" t="str">
        <x:f>IF($E10="","",IF($AU10="selected_for_runtime",IF($AM10="competitive_selection",$AR10,COUNTIF($AU$2:AU10,"selected_for_runtime")),""))</x:f>
      </x:c>
      <x:c r="AW10" s="81" t="str">
        <x:f>IF($E10="","",IF($AU10="selected_for_runtime",IF($AD10&gt;=2,"base_40_plus_uncertainty_probes",IF($AE10&gt;=2,"base_40_plus_exploratory_probes","base_40_standard")),"no_runtime"))</x:f>
      </x:c>
      <x:c r="AX10" s="81" t="str">
        <x:f>IF($E10="","",IF($AU10&lt;&gt;"selected_for_runtime","none",IF($AE10&gt;=2,"exploratoria",IF($AQ10&gt;=2.2,"alta",IF($AQ10&gt;=1.2,"media","baja")))))</x:f>
      </x:c>
      <x:c r="AY10" s="81" t="str">
        <x:f>IF($E10="","",IF($AJ10=TRUE,"context_with_coverage_gap",IF($AI10="review","context_requires_confirmation","context_ready")))</x:f>
      </x:c>
      <x:c r="AZ10" s="81" t="str">
        <x:f>IF($E10="","",IF($AU10&lt;&gt;"selected_for_runtime","no",IF(OR($AY10="context_with_coverage_gap",$AX10="exploratoria"),"ready_with_flags","ready")))</x:f>
      </x:c>
      <x:c r="BA10" s="81" t="str"/>
      <x:c r="BB10" s="81" t="str"/>
      <x:c r="BC10" s="81" t="str"/>
      <x:c r="BD10" s="81" t="str"/>
      <x:c r="BE10" s="81" t="str"/>
    </x:row>
    <x:row r="11">
      <x:c r="A11" s="81" t="str"/>
      <x:c r="B11" s="81" t="str"/>
      <x:c r="C11" s="81" t="str"/>
      <x:c r="D11" s="81" t="str"/>
      <x:c r="E11" s="81" t="str"/>
      <x:c r="F11" s="81" t="str"/>
      <x:c r="G11" s="81" t="str"/>
      <x:c r="H11" s="81" t="str"/>
      <x:c r="I11" s="81" t="str"/>
      <x:c r="J11" s="81" t="str"/>
      <x:c r="K11" s="81" t="str"/>
      <x:c r="L11" s="81" t="str"/>
      <x:c r="M11" s="81" t="str"/>
      <x:c r="N11" s="81" t="str"/>
      <x:c r="O11" s="81" t="str"/>
      <x:c r="P11" s="81" t="str"/>
      <x:c r="Q11" s="81" t="str"/>
      <x:c r="R11" s="81" t="str"/>
      <x:c r="S11" s="82" t="str"/>
      <x:c r="T11" s="82" t="str"/>
      <x:c r="U11" s="82" t="str"/>
      <x:c r="V11" s="82" t="str"/>
      <x:c r="W11" s="82" t="str"/>
      <x:c r="X11" s="82" t="str"/>
      <x:c r="Y11" s="82" t="str"/>
      <x:c r="Z11" s="82" t="str"/>
      <x:c r="AA11" s="82" t="str"/>
      <x:c r="AB11" s="82" t="str"/>
      <x:c r="AC11" s="82" t="str"/>
      <x:c r="AD11" s="82" t="str"/>
      <x:c r="AE11" s="82" t="str"/>
      <x:c r="AF11" s="82" t="str"/>
      <x:c r="AG11" s="82" t="str"/>
      <x:c r="AH11" s="82" t="str"/>
      <x:c r="AI11" s="81" t="str"/>
      <x:c r="AJ11" s="81" t="str"/>
      <x:c r="AK11" s="81" t="str">
        <x:f>IF($E11="","",IF(AND($M11="yes",OR($N11="yes",$N11="review"),OR($O11="yes",$O11="review"),$P11="fit",OR($Q11="unique",$Q11="alias_review"),$R11&lt;&gt;"context_only"),"pass","review/block"))</x:f>
      </x:c>
      <x:c r="AL11" s="81" t="str">
        <x:f>IF($E11="","",IF($AK11="pass","eligible",IF(OR($M11="no",$O11="no",$P11="too_macro",$P11="too_micro",$P11="context_only",$Q11="duplicate_confirmed",$R11="context_only"),"not_eligible","review")))</x:f>
      </x:c>
      <x:c r="AM11" s="81" t="str">
        <x:f>IF($E11="","",IF($C11=0,"reentry_required",IF($C11&lt;=8,"non_competitive_inclusion","competitive_selection")))</x:f>
      </x:c>
      <x:c r="AN11" s="82" t="str">
        <x:f>IF($E11="","",AVERAGE($U11:$X11))</x:f>
      </x:c>
      <x:c r="AO11" s="82" t="str">
        <x:f>IF($E11="","",AVERAGE($S11:$T11))</x:f>
      </x:c>
      <x:c r="AP11" s="82" t="str">
        <x:f>IF($E11="","",($AF11*0.08)+($AG11*0.08)+($AH11*0.10))</x:f>
      </x:c>
      <x:c r="AQ11" s="82" t="str">
        <x:f>IF($E11="","",MAX(0,($AN11*0.30)+($Y11*0.20)+($Z11*0.15)+($AA11*0.15)+($AB11*0.10)+($AC11*0.10)+($AE11*0.05)-$AP11))</x:f>
      </x:c>
      <x:c r="AR11" s="81" t="str">
        <x:f>IF($E11="","",IF($AM11="competitive_selection",RANK.EQ($AQ11,$AQ$2:$AQ$201,0),""))</x:f>
      </x:c>
      <x:c r="AS11" s="81" t="str">
        <x:f>IF($E11="","",IF(AND($AM11="non_competitive_inclusion",$AL11="eligible"),"selected",""))</x:f>
      </x:c>
      <x:c r="AT11" s="81" t="str">
        <x:f>IF($E11="","",IF($AM11&lt;&gt;"competitive_selection","",IF(AND($AL11="eligible",$AR11&lt;=8),"selected","context/backlog")))</x:f>
      </x:c>
      <x:c r="AU11" s="81" t="str">
        <x:f>IF($E11="","",IF($AM11="reentry_required","not_selected_reentry",IF($AS11="selected","selected_for_runtime",IF($AT11="selected","selected_for_runtime",IF($AL11="review","manual_review","context_or_not_selected")))))</x:f>
      </x:c>
      <x:c r="AV11" s="81" t="str">
        <x:f>IF($E11="","",IF($AU11="selected_for_runtime",IF($AM11="competitive_selection",$AR11,COUNTIF($AU$2:AU11,"selected_for_runtime")),""))</x:f>
      </x:c>
      <x:c r="AW11" s="81" t="str">
        <x:f>IF($E11="","",IF($AU11="selected_for_runtime",IF($AD11&gt;=2,"base_40_plus_uncertainty_probes",IF($AE11&gt;=2,"base_40_plus_exploratory_probes","base_40_standard")),"no_runtime"))</x:f>
      </x:c>
      <x:c r="AX11" s="81" t="str">
        <x:f>IF($E11="","",IF($AU11&lt;&gt;"selected_for_runtime","none",IF($AE11&gt;=2,"exploratoria",IF($AQ11&gt;=2.2,"alta",IF($AQ11&gt;=1.2,"media","baja")))))</x:f>
      </x:c>
      <x:c r="AY11" s="81" t="str">
        <x:f>IF($E11="","",IF($AJ11=TRUE,"context_with_coverage_gap",IF($AI11="review","context_requires_confirmation","context_ready")))</x:f>
      </x:c>
      <x:c r="AZ11" s="81" t="str">
        <x:f>IF($E11="","",IF($AU11&lt;&gt;"selected_for_runtime","no",IF(OR($AY11="context_with_coverage_gap",$AX11="exploratoria"),"ready_with_flags","ready")))</x:f>
      </x:c>
      <x:c r="BA11" s="81" t="str"/>
      <x:c r="BB11" s="81" t="str"/>
      <x:c r="BC11" s="81" t="str"/>
      <x:c r="BD11" s="81" t="str"/>
      <x:c r="BE11" s="81" t="str"/>
    </x:row>
    <x:row r="12">
      <x:c r="A12" s="81" t="str"/>
      <x:c r="B12" s="81" t="str"/>
      <x:c r="C12" s="81" t="str"/>
      <x:c r="D12" s="81" t="str"/>
      <x:c r="E12" s="81" t="str"/>
      <x:c r="F12" s="81" t="str"/>
      <x:c r="G12" s="81" t="str"/>
      <x:c r="H12" s="81" t="str"/>
      <x:c r="I12" s="81" t="str"/>
      <x:c r="J12" s="81" t="str"/>
      <x:c r="K12" s="81" t="str"/>
      <x:c r="L12" s="81" t="str"/>
      <x:c r="M12" s="81" t="str"/>
      <x:c r="N12" s="81" t="str"/>
      <x:c r="O12" s="81" t="str"/>
      <x:c r="P12" s="81" t="str"/>
      <x:c r="Q12" s="81" t="str"/>
      <x:c r="R12" s="81" t="str"/>
      <x:c r="S12" s="82" t="str"/>
      <x:c r="T12" s="82" t="str"/>
      <x:c r="U12" s="82" t="str"/>
      <x:c r="V12" s="82" t="str"/>
      <x:c r="W12" s="82" t="str"/>
      <x:c r="X12" s="82" t="str"/>
      <x:c r="Y12" s="82" t="str"/>
      <x:c r="Z12" s="82" t="str"/>
      <x:c r="AA12" s="82" t="str"/>
      <x:c r="AB12" s="82" t="str"/>
      <x:c r="AC12" s="82" t="str"/>
      <x:c r="AD12" s="82" t="str"/>
      <x:c r="AE12" s="82" t="str"/>
      <x:c r="AF12" s="82" t="str"/>
      <x:c r="AG12" s="82" t="str"/>
      <x:c r="AH12" s="82" t="str"/>
      <x:c r="AI12" s="81" t="str"/>
      <x:c r="AJ12" s="81" t="str"/>
      <x:c r="AK12" s="81" t="str">
        <x:f>IF($E12="","",IF(AND($M12="yes",OR($N12="yes",$N12="review"),OR($O12="yes",$O12="review"),$P12="fit",OR($Q12="unique",$Q12="alias_review"),$R12&lt;&gt;"context_only"),"pass","review/block"))</x:f>
      </x:c>
      <x:c r="AL12" s="81" t="str">
        <x:f>IF($E12="","",IF($AK12="pass","eligible",IF(OR($M12="no",$O12="no",$P12="too_macro",$P12="too_micro",$P12="context_only",$Q12="duplicate_confirmed",$R12="context_only"),"not_eligible","review")))</x:f>
      </x:c>
      <x:c r="AM12" s="81" t="str">
        <x:f>IF($E12="","",IF($C12=0,"reentry_required",IF($C12&lt;=8,"non_competitive_inclusion","competitive_selection")))</x:f>
      </x:c>
      <x:c r="AN12" s="82" t="str">
        <x:f>IF($E12="","",AVERAGE($U12:$X12))</x:f>
      </x:c>
      <x:c r="AO12" s="82" t="str">
        <x:f>IF($E12="","",AVERAGE($S12:$T12))</x:f>
      </x:c>
      <x:c r="AP12" s="82" t="str">
        <x:f>IF($E12="","",($AF12*0.08)+($AG12*0.08)+($AH12*0.10))</x:f>
      </x:c>
      <x:c r="AQ12" s="82" t="str">
        <x:f>IF($E12="","",MAX(0,($AN12*0.30)+($Y12*0.20)+($Z12*0.15)+($AA12*0.15)+($AB12*0.10)+($AC12*0.10)+($AE12*0.05)-$AP12))</x:f>
      </x:c>
      <x:c r="AR12" s="81" t="str">
        <x:f>IF($E12="","",IF($AM12="competitive_selection",RANK.EQ($AQ12,$AQ$2:$AQ$201,0),""))</x:f>
      </x:c>
      <x:c r="AS12" s="81" t="str">
        <x:f>IF($E12="","",IF(AND($AM12="non_competitive_inclusion",$AL12="eligible"),"selected",""))</x:f>
      </x:c>
      <x:c r="AT12" s="81" t="str">
        <x:f>IF($E12="","",IF($AM12&lt;&gt;"competitive_selection","",IF(AND($AL12="eligible",$AR12&lt;=8),"selected","context/backlog")))</x:f>
      </x:c>
      <x:c r="AU12" s="81" t="str">
        <x:f>IF($E12="","",IF($AM12="reentry_required","not_selected_reentry",IF($AS12="selected","selected_for_runtime",IF($AT12="selected","selected_for_runtime",IF($AL12="review","manual_review","context_or_not_selected")))))</x:f>
      </x:c>
      <x:c r="AV12" s="81" t="str">
        <x:f>IF($E12="","",IF($AU12="selected_for_runtime",IF($AM12="competitive_selection",$AR12,COUNTIF($AU$2:AU12,"selected_for_runtime")),""))</x:f>
      </x:c>
      <x:c r="AW12" s="81" t="str">
        <x:f>IF($E12="","",IF($AU12="selected_for_runtime",IF($AD12&gt;=2,"base_40_plus_uncertainty_probes",IF($AE12&gt;=2,"base_40_plus_exploratory_probes","base_40_standard")),"no_runtime"))</x:f>
      </x:c>
      <x:c r="AX12" s="81" t="str">
        <x:f>IF($E12="","",IF($AU12&lt;&gt;"selected_for_runtime","none",IF($AE12&gt;=2,"exploratoria",IF($AQ12&gt;=2.2,"alta",IF($AQ12&gt;=1.2,"media","baja")))))</x:f>
      </x:c>
      <x:c r="AY12" s="81" t="str">
        <x:f>IF($E12="","",IF($AJ12=TRUE,"context_with_coverage_gap",IF($AI12="review","context_requires_confirmation","context_ready")))</x:f>
      </x:c>
      <x:c r="AZ12" s="81" t="str">
        <x:f>IF($E12="","",IF($AU12&lt;&gt;"selected_for_runtime","no",IF(OR($AY12="context_with_coverage_gap",$AX12="exploratoria"),"ready_with_flags","ready")))</x:f>
      </x:c>
      <x:c r="BA12" s="81" t="str"/>
      <x:c r="BB12" s="81" t="str"/>
      <x:c r="BC12" s="81" t="str"/>
      <x:c r="BD12" s="81" t="str"/>
      <x:c r="BE12" s="81" t="str"/>
    </x:row>
    <x:row r="13">
      <x:c r="A13" s="81" t="str"/>
      <x:c r="B13" s="81" t="str"/>
      <x:c r="C13" s="81" t="str"/>
      <x:c r="D13" s="81" t="str"/>
      <x:c r="E13" s="81" t="str"/>
      <x:c r="F13" s="81" t="str"/>
      <x:c r="G13" s="81" t="str"/>
      <x:c r="H13" s="81" t="str"/>
      <x:c r="I13" s="81" t="str"/>
      <x:c r="J13" s="81" t="str"/>
      <x:c r="K13" s="81" t="str"/>
      <x:c r="L13" s="81" t="str"/>
      <x:c r="M13" s="81" t="str"/>
      <x:c r="N13" s="81" t="str"/>
      <x:c r="O13" s="81" t="str"/>
      <x:c r="P13" s="81" t="str"/>
      <x:c r="Q13" s="81" t="str"/>
      <x:c r="R13" s="81" t="str"/>
      <x:c r="S13" s="82" t="str"/>
      <x:c r="T13" s="82" t="str"/>
      <x:c r="U13" s="82" t="str"/>
      <x:c r="V13" s="82" t="str"/>
      <x:c r="W13" s="82" t="str"/>
      <x:c r="X13" s="82" t="str"/>
      <x:c r="Y13" s="82" t="str"/>
      <x:c r="Z13" s="82" t="str"/>
      <x:c r="AA13" s="82" t="str"/>
      <x:c r="AB13" s="82" t="str"/>
      <x:c r="AC13" s="82" t="str"/>
      <x:c r="AD13" s="82" t="str"/>
      <x:c r="AE13" s="82" t="str"/>
      <x:c r="AF13" s="82" t="str"/>
      <x:c r="AG13" s="82" t="str"/>
      <x:c r="AH13" s="82" t="str"/>
      <x:c r="AI13" s="81" t="str"/>
      <x:c r="AJ13" s="81" t="str"/>
      <x:c r="AK13" s="81" t="str">
        <x:f>IF($E13="","",IF(AND($M13="yes",OR($N13="yes",$N13="review"),OR($O13="yes",$O13="review"),$P13="fit",OR($Q13="unique",$Q13="alias_review"),$R13&lt;&gt;"context_only"),"pass","review/block"))</x:f>
      </x:c>
      <x:c r="AL13" s="81" t="str">
        <x:f>IF($E13="","",IF($AK13="pass","eligible",IF(OR($M13="no",$O13="no",$P13="too_macro",$P13="too_micro",$P13="context_only",$Q13="duplicate_confirmed",$R13="context_only"),"not_eligible","review")))</x:f>
      </x:c>
      <x:c r="AM13" s="81" t="str">
        <x:f>IF($E13="","",IF($C13=0,"reentry_required",IF($C13&lt;=8,"non_competitive_inclusion","competitive_selection")))</x:f>
      </x:c>
      <x:c r="AN13" s="82" t="str">
        <x:f>IF($E13="","",AVERAGE($U13:$X13))</x:f>
      </x:c>
      <x:c r="AO13" s="82" t="str">
        <x:f>IF($E13="","",AVERAGE($S13:$T13))</x:f>
      </x:c>
      <x:c r="AP13" s="82" t="str">
        <x:f>IF($E13="","",($AF13*0.08)+($AG13*0.08)+($AH13*0.10))</x:f>
      </x:c>
      <x:c r="AQ13" s="82" t="str">
        <x:f>IF($E13="","",MAX(0,($AN13*0.30)+($Y13*0.20)+($Z13*0.15)+($AA13*0.15)+($AB13*0.10)+($AC13*0.10)+($AE13*0.05)-$AP13))</x:f>
      </x:c>
      <x:c r="AR13" s="81" t="str">
        <x:f>IF($E13="","",IF($AM13="competitive_selection",RANK.EQ($AQ13,$AQ$2:$AQ$201,0),""))</x:f>
      </x:c>
      <x:c r="AS13" s="81" t="str">
        <x:f>IF($E13="","",IF(AND($AM13="non_competitive_inclusion",$AL13="eligible"),"selected",""))</x:f>
      </x:c>
      <x:c r="AT13" s="81" t="str">
        <x:f>IF($E13="","",IF($AM13&lt;&gt;"competitive_selection","",IF(AND($AL13="eligible",$AR13&lt;=8),"selected","context/backlog")))</x:f>
      </x:c>
      <x:c r="AU13" s="81" t="str">
        <x:f>IF($E13="","",IF($AM13="reentry_required","not_selected_reentry",IF($AS13="selected","selected_for_runtime",IF($AT13="selected","selected_for_runtime",IF($AL13="review","manual_review","context_or_not_selected")))))</x:f>
      </x:c>
      <x:c r="AV13" s="81" t="str">
        <x:f>IF($E13="","",IF($AU13="selected_for_runtime",IF($AM13="competitive_selection",$AR13,COUNTIF($AU$2:AU13,"selected_for_runtime")),""))</x:f>
      </x:c>
      <x:c r="AW13" s="81" t="str">
        <x:f>IF($E13="","",IF($AU13="selected_for_runtime",IF($AD13&gt;=2,"base_40_plus_uncertainty_probes",IF($AE13&gt;=2,"base_40_plus_exploratory_probes","base_40_standard")),"no_runtime"))</x:f>
      </x:c>
      <x:c r="AX13" s="81" t="str">
        <x:f>IF($E13="","",IF($AU13&lt;&gt;"selected_for_runtime","none",IF($AE13&gt;=2,"exploratoria",IF($AQ13&gt;=2.2,"alta",IF($AQ13&gt;=1.2,"media","baja")))))</x:f>
      </x:c>
      <x:c r="AY13" s="81" t="str">
        <x:f>IF($E13="","",IF($AJ13=TRUE,"context_with_coverage_gap",IF($AI13="review","context_requires_confirmation","context_ready")))</x:f>
      </x:c>
      <x:c r="AZ13" s="81" t="str">
        <x:f>IF($E13="","",IF($AU13&lt;&gt;"selected_for_runtime","no",IF(OR($AY13="context_with_coverage_gap",$AX13="exploratoria"),"ready_with_flags","ready")))</x:f>
      </x:c>
      <x:c r="BA13" s="81" t="str"/>
      <x:c r="BB13" s="81" t="str"/>
      <x:c r="BC13" s="81" t="str"/>
      <x:c r="BD13" s="81" t="str"/>
      <x:c r="BE13" s="81" t="str"/>
    </x:row>
    <x:row r="14">
      <x:c r="A14" s="81" t="str"/>
      <x:c r="B14" s="81" t="str"/>
      <x:c r="C14" s="81" t="str"/>
      <x:c r="D14" s="81" t="str"/>
      <x:c r="E14" s="81" t="str"/>
      <x:c r="F14" s="81" t="str"/>
      <x:c r="G14" s="81" t="str"/>
      <x:c r="H14" s="81" t="str"/>
      <x:c r="I14" s="81" t="str"/>
      <x:c r="J14" s="81" t="str"/>
      <x:c r="K14" s="81" t="str"/>
      <x:c r="L14" s="81" t="str"/>
      <x:c r="M14" s="81" t="str"/>
      <x:c r="N14" s="81" t="str"/>
      <x:c r="O14" s="81" t="str"/>
      <x:c r="P14" s="81" t="str"/>
      <x:c r="Q14" s="81" t="str"/>
      <x:c r="R14" s="81" t="str"/>
      <x:c r="S14" s="82" t="str"/>
      <x:c r="T14" s="82" t="str"/>
      <x:c r="U14" s="82" t="str"/>
      <x:c r="V14" s="82" t="str"/>
      <x:c r="W14" s="82" t="str"/>
      <x:c r="X14" s="82" t="str"/>
      <x:c r="Y14" s="82" t="str"/>
      <x:c r="Z14" s="82" t="str"/>
      <x:c r="AA14" s="82" t="str"/>
      <x:c r="AB14" s="82" t="str"/>
      <x:c r="AC14" s="82" t="str"/>
      <x:c r="AD14" s="82" t="str"/>
      <x:c r="AE14" s="82" t="str"/>
      <x:c r="AF14" s="82" t="str"/>
      <x:c r="AG14" s="82" t="str"/>
      <x:c r="AH14" s="82" t="str"/>
      <x:c r="AI14" s="81" t="str"/>
      <x:c r="AJ14" s="81" t="str"/>
      <x:c r="AK14" s="81" t="str">
        <x:f>IF($E14="","",IF(AND($M14="yes",OR($N14="yes",$N14="review"),OR($O14="yes",$O14="review"),$P14="fit",OR($Q14="unique",$Q14="alias_review"),$R14&lt;&gt;"context_only"),"pass","review/block"))</x:f>
      </x:c>
      <x:c r="AL14" s="81" t="str">
        <x:f>IF($E14="","",IF($AK14="pass","eligible",IF(OR($M14="no",$O14="no",$P14="too_macro",$P14="too_micro",$P14="context_only",$Q14="duplicate_confirmed",$R14="context_only"),"not_eligible","review")))</x:f>
      </x:c>
      <x:c r="AM14" s="81" t="str">
        <x:f>IF($E14="","",IF($C14=0,"reentry_required",IF($C14&lt;=8,"non_competitive_inclusion","competitive_selection")))</x:f>
      </x:c>
      <x:c r="AN14" s="82" t="str">
        <x:f>IF($E14="","",AVERAGE($U14:$X14))</x:f>
      </x:c>
      <x:c r="AO14" s="82" t="str">
        <x:f>IF($E14="","",AVERAGE($S14:$T14))</x:f>
      </x:c>
      <x:c r="AP14" s="82" t="str">
        <x:f>IF($E14="","",($AF14*0.08)+($AG14*0.08)+($AH14*0.10))</x:f>
      </x:c>
      <x:c r="AQ14" s="82" t="str">
        <x:f>IF($E14="","",MAX(0,($AN14*0.30)+($Y14*0.20)+($Z14*0.15)+($AA14*0.15)+($AB14*0.10)+($AC14*0.10)+($AE14*0.05)-$AP14))</x:f>
      </x:c>
      <x:c r="AR14" s="81" t="str">
        <x:f>IF($E14="","",IF($AM14="competitive_selection",RANK.EQ($AQ14,$AQ$2:$AQ$201,0),""))</x:f>
      </x:c>
      <x:c r="AS14" s="81" t="str">
        <x:f>IF($E14="","",IF(AND($AM14="non_competitive_inclusion",$AL14="eligible"),"selected",""))</x:f>
      </x:c>
      <x:c r="AT14" s="81" t="str">
        <x:f>IF($E14="","",IF($AM14&lt;&gt;"competitive_selection","",IF(AND($AL14="eligible",$AR14&lt;=8),"selected","context/backlog")))</x:f>
      </x:c>
      <x:c r="AU14" s="81" t="str">
        <x:f>IF($E14="","",IF($AM14="reentry_required","not_selected_reentry",IF($AS14="selected","selected_for_runtime",IF($AT14="selected","selected_for_runtime",IF($AL14="review","manual_review","context_or_not_selected")))))</x:f>
      </x:c>
      <x:c r="AV14" s="81" t="str">
        <x:f>IF($E14="","",IF($AU14="selected_for_runtime",IF($AM14="competitive_selection",$AR14,COUNTIF($AU$2:AU14,"selected_for_runtime")),""))</x:f>
      </x:c>
      <x:c r="AW14" s="81" t="str">
        <x:f>IF($E14="","",IF($AU14="selected_for_runtime",IF($AD14&gt;=2,"base_40_plus_uncertainty_probes",IF($AE14&gt;=2,"base_40_plus_exploratory_probes","base_40_standard")),"no_runtime"))</x:f>
      </x:c>
      <x:c r="AX14" s="81" t="str">
        <x:f>IF($E14="","",IF($AU14&lt;&gt;"selected_for_runtime","none",IF($AE14&gt;=2,"exploratoria",IF($AQ14&gt;=2.2,"alta",IF($AQ14&gt;=1.2,"media","baja")))))</x:f>
      </x:c>
      <x:c r="AY14" s="81" t="str">
        <x:f>IF($E14="","",IF($AJ14=TRUE,"context_with_coverage_gap",IF($AI14="review","context_requires_confirmation","context_ready")))</x:f>
      </x:c>
      <x:c r="AZ14" s="81" t="str">
        <x:f>IF($E14="","",IF($AU14&lt;&gt;"selected_for_runtime","no",IF(OR($AY14="context_with_coverage_gap",$AX14="exploratoria"),"ready_with_flags","ready")))</x:f>
      </x:c>
      <x:c r="BA14" s="81" t="str"/>
      <x:c r="BB14" s="81" t="str"/>
      <x:c r="BC14" s="81" t="str"/>
      <x:c r="BD14" s="81" t="str"/>
      <x:c r="BE14" s="81" t="str"/>
    </x:row>
    <x:row r="15">
      <x:c r="A15" s="81" t="str"/>
      <x:c r="B15" s="81" t="str"/>
      <x:c r="C15" s="81" t="str"/>
      <x:c r="D15" s="81" t="str"/>
      <x:c r="E15" s="81" t="str"/>
      <x:c r="F15" s="81" t="str"/>
      <x:c r="G15" s="81" t="str"/>
      <x:c r="H15" s="81" t="str"/>
      <x:c r="I15" s="81" t="str"/>
      <x:c r="J15" s="81" t="str"/>
      <x:c r="K15" s="81" t="str"/>
      <x:c r="L15" s="81" t="str"/>
      <x:c r="M15" s="81" t="str"/>
      <x:c r="N15" s="81" t="str"/>
      <x:c r="O15" s="81" t="str"/>
      <x:c r="P15" s="81" t="str"/>
      <x:c r="Q15" s="81" t="str"/>
      <x:c r="R15" s="81" t="str"/>
      <x:c r="S15" s="82" t="str"/>
      <x:c r="T15" s="82" t="str"/>
      <x:c r="U15" s="82" t="str"/>
      <x:c r="V15" s="82" t="str"/>
      <x:c r="W15" s="82" t="str"/>
      <x:c r="X15" s="82" t="str"/>
      <x:c r="Y15" s="82" t="str"/>
      <x:c r="Z15" s="82" t="str"/>
      <x:c r="AA15" s="82" t="str"/>
      <x:c r="AB15" s="82" t="str"/>
      <x:c r="AC15" s="82" t="str"/>
      <x:c r="AD15" s="82" t="str"/>
      <x:c r="AE15" s="82" t="str"/>
      <x:c r="AF15" s="82" t="str"/>
      <x:c r="AG15" s="82" t="str"/>
      <x:c r="AH15" s="82" t="str"/>
      <x:c r="AI15" s="81" t="str"/>
      <x:c r="AJ15" s="81" t="str"/>
      <x:c r="AK15" s="81" t="str">
        <x:f>IF($E15="","",IF(AND($M15="yes",OR($N15="yes",$N15="review"),OR($O15="yes",$O15="review"),$P15="fit",OR($Q15="unique",$Q15="alias_review"),$R15&lt;&gt;"context_only"),"pass","review/block"))</x:f>
      </x:c>
      <x:c r="AL15" s="81" t="str">
        <x:f>IF($E15="","",IF($AK15="pass","eligible",IF(OR($M15="no",$O15="no",$P15="too_macro",$P15="too_micro",$P15="context_only",$Q15="duplicate_confirmed",$R15="context_only"),"not_eligible","review")))</x:f>
      </x:c>
      <x:c r="AM15" s="81" t="str">
        <x:f>IF($E15="","",IF($C15=0,"reentry_required",IF($C15&lt;=8,"non_competitive_inclusion","competitive_selection")))</x:f>
      </x:c>
      <x:c r="AN15" s="82" t="str">
        <x:f>IF($E15="","",AVERAGE($U15:$X15))</x:f>
      </x:c>
      <x:c r="AO15" s="82" t="str">
        <x:f>IF($E15="","",AVERAGE($S15:$T15))</x:f>
      </x:c>
      <x:c r="AP15" s="82" t="str">
        <x:f>IF($E15="","",($AF15*0.08)+($AG15*0.08)+($AH15*0.10))</x:f>
      </x:c>
      <x:c r="AQ15" s="82" t="str">
        <x:f>IF($E15="","",MAX(0,($AN15*0.30)+($Y15*0.20)+($Z15*0.15)+($AA15*0.15)+($AB15*0.10)+($AC15*0.10)+($AE15*0.05)-$AP15))</x:f>
      </x:c>
      <x:c r="AR15" s="81" t="str">
        <x:f>IF($E15="","",IF($AM15="competitive_selection",RANK.EQ($AQ15,$AQ$2:$AQ$201,0),""))</x:f>
      </x:c>
      <x:c r="AS15" s="81" t="str">
        <x:f>IF($E15="","",IF(AND($AM15="non_competitive_inclusion",$AL15="eligible"),"selected",""))</x:f>
      </x:c>
      <x:c r="AT15" s="81" t="str">
        <x:f>IF($E15="","",IF($AM15&lt;&gt;"competitive_selection","",IF(AND($AL15="eligible",$AR15&lt;=8),"selected","context/backlog")))</x:f>
      </x:c>
      <x:c r="AU15" s="81" t="str">
        <x:f>IF($E15="","",IF($AM15="reentry_required","not_selected_reentry",IF($AS15="selected","selected_for_runtime",IF($AT15="selected","selected_for_runtime",IF($AL15="review","manual_review","context_or_not_selected")))))</x:f>
      </x:c>
      <x:c r="AV15" s="81" t="str">
        <x:f>IF($E15="","",IF($AU15="selected_for_runtime",IF($AM15="competitive_selection",$AR15,COUNTIF($AU$2:AU15,"selected_for_runtime")),""))</x:f>
      </x:c>
      <x:c r="AW15" s="81" t="str">
        <x:f>IF($E15="","",IF($AU15="selected_for_runtime",IF($AD15&gt;=2,"base_40_plus_uncertainty_probes",IF($AE15&gt;=2,"base_40_plus_exploratory_probes","base_40_standard")),"no_runtime"))</x:f>
      </x:c>
      <x:c r="AX15" s="81" t="str">
        <x:f>IF($E15="","",IF($AU15&lt;&gt;"selected_for_runtime","none",IF($AE15&gt;=2,"exploratoria",IF($AQ15&gt;=2.2,"alta",IF($AQ15&gt;=1.2,"media","baja")))))</x:f>
      </x:c>
      <x:c r="AY15" s="81" t="str">
        <x:f>IF($E15="","",IF($AJ15=TRUE,"context_with_coverage_gap",IF($AI15="review","context_requires_confirmation","context_ready")))</x:f>
      </x:c>
      <x:c r="AZ15" s="81" t="str">
        <x:f>IF($E15="","",IF($AU15&lt;&gt;"selected_for_runtime","no",IF(OR($AY15="context_with_coverage_gap",$AX15="exploratoria"),"ready_with_flags","ready")))</x:f>
      </x:c>
      <x:c r="BA15" s="81" t="str"/>
      <x:c r="BB15" s="81" t="str"/>
      <x:c r="BC15" s="81" t="str"/>
      <x:c r="BD15" s="81" t="str"/>
      <x:c r="BE15" s="81" t="str"/>
    </x:row>
    <x:row r="16">
      <x:c r="A16" s="81" t="str"/>
      <x:c r="B16" s="81" t="str"/>
      <x:c r="C16" s="81" t="str"/>
      <x:c r="D16" s="81" t="str"/>
      <x:c r="E16" s="81" t="str"/>
      <x:c r="F16" s="81" t="str"/>
      <x:c r="G16" s="81" t="str"/>
      <x:c r="H16" s="81" t="str"/>
      <x:c r="I16" s="81" t="str"/>
      <x:c r="J16" s="81" t="str"/>
      <x:c r="K16" s="81" t="str"/>
      <x:c r="L16" s="81" t="str"/>
      <x:c r="M16" s="81" t="str"/>
      <x:c r="N16" s="81" t="str"/>
      <x:c r="O16" s="81" t="str"/>
      <x:c r="P16" s="81" t="str"/>
      <x:c r="Q16" s="81" t="str"/>
      <x:c r="R16" s="81" t="str"/>
      <x:c r="S16" s="82" t="str"/>
      <x:c r="T16" s="82" t="str"/>
      <x:c r="U16" s="82" t="str"/>
      <x:c r="V16" s="82" t="str"/>
      <x:c r="W16" s="82" t="str"/>
      <x:c r="X16" s="82" t="str"/>
      <x:c r="Y16" s="82" t="str"/>
      <x:c r="Z16" s="82" t="str"/>
      <x:c r="AA16" s="82" t="str"/>
      <x:c r="AB16" s="82" t="str"/>
      <x:c r="AC16" s="82" t="str"/>
      <x:c r="AD16" s="82" t="str"/>
      <x:c r="AE16" s="82" t="str"/>
      <x:c r="AF16" s="82" t="str"/>
      <x:c r="AG16" s="82" t="str"/>
      <x:c r="AH16" s="82" t="str"/>
      <x:c r="AI16" s="81" t="str"/>
      <x:c r="AJ16" s="81" t="str"/>
      <x:c r="AK16" s="81" t="str">
        <x:f>IF($E16="","",IF(AND($M16="yes",OR($N16="yes",$N16="review"),OR($O16="yes",$O16="review"),$P16="fit",OR($Q16="unique",$Q16="alias_review"),$R16&lt;&gt;"context_only"),"pass","review/block"))</x:f>
      </x:c>
      <x:c r="AL16" s="81" t="str">
        <x:f>IF($E16="","",IF($AK16="pass","eligible",IF(OR($M16="no",$O16="no",$P16="too_macro",$P16="too_micro",$P16="context_only",$Q16="duplicate_confirmed",$R16="context_only"),"not_eligible","review")))</x:f>
      </x:c>
      <x:c r="AM16" s="81" t="str">
        <x:f>IF($E16="","",IF($C16=0,"reentry_required",IF($C16&lt;=8,"non_competitive_inclusion","competitive_selection")))</x:f>
      </x:c>
      <x:c r="AN16" s="82" t="str">
        <x:f>IF($E16="","",AVERAGE($U16:$X16))</x:f>
      </x:c>
      <x:c r="AO16" s="82" t="str">
        <x:f>IF($E16="","",AVERAGE($S16:$T16))</x:f>
      </x:c>
      <x:c r="AP16" s="82" t="str">
        <x:f>IF($E16="","",($AF16*0.08)+($AG16*0.08)+($AH16*0.10))</x:f>
      </x:c>
      <x:c r="AQ16" s="82" t="str">
        <x:f>IF($E16="","",MAX(0,($AN16*0.30)+($Y16*0.20)+($Z16*0.15)+($AA16*0.15)+($AB16*0.10)+($AC16*0.10)+($AE16*0.05)-$AP16))</x:f>
      </x:c>
      <x:c r="AR16" s="81" t="str">
        <x:f>IF($E16="","",IF($AM16="competitive_selection",RANK.EQ($AQ16,$AQ$2:$AQ$201,0),""))</x:f>
      </x:c>
      <x:c r="AS16" s="81" t="str">
        <x:f>IF($E16="","",IF(AND($AM16="non_competitive_inclusion",$AL16="eligible"),"selected",""))</x:f>
      </x:c>
      <x:c r="AT16" s="81" t="str">
        <x:f>IF($E16="","",IF($AM16&lt;&gt;"competitive_selection","",IF(AND($AL16="eligible",$AR16&lt;=8),"selected","context/backlog")))</x:f>
      </x:c>
      <x:c r="AU16" s="81" t="str">
        <x:f>IF($E16="","",IF($AM16="reentry_required","not_selected_reentry",IF($AS16="selected","selected_for_runtime",IF($AT16="selected","selected_for_runtime",IF($AL16="review","manual_review","context_or_not_selected")))))</x:f>
      </x:c>
      <x:c r="AV16" s="81" t="str">
        <x:f>IF($E16="","",IF($AU16="selected_for_runtime",IF($AM16="competitive_selection",$AR16,COUNTIF($AU$2:AU16,"selected_for_runtime")),""))</x:f>
      </x:c>
      <x:c r="AW16" s="81" t="str">
        <x:f>IF($E16="","",IF($AU16="selected_for_runtime",IF($AD16&gt;=2,"base_40_plus_uncertainty_probes",IF($AE16&gt;=2,"base_40_plus_exploratory_probes","base_40_standard")),"no_runtime"))</x:f>
      </x:c>
      <x:c r="AX16" s="81" t="str">
        <x:f>IF($E16="","",IF($AU16&lt;&gt;"selected_for_runtime","none",IF($AE16&gt;=2,"exploratoria",IF($AQ16&gt;=2.2,"alta",IF($AQ16&gt;=1.2,"media","baja")))))</x:f>
      </x:c>
      <x:c r="AY16" s="81" t="str">
        <x:f>IF($E16="","",IF($AJ16=TRUE,"context_with_coverage_gap",IF($AI16="review","context_requires_confirmation","context_ready")))</x:f>
      </x:c>
      <x:c r="AZ16" s="81" t="str">
        <x:f>IF($E16="","",IF($AU16&lt;&gt;"selected_for_runtime","no",IF(OR($AY16="context_with_coverage_gap",$AX16="exploratoria"),"ready_with_flags","ready")))</x:f>
      </x:c>
      <x:c r="BA16" s="81" t="str"/>
      <x:c r="BB16" s="81" t="str"/>
      <x:c r="BC16" s="81" t="str"/>
      <x:c r="BD16" s="81" t="str"/>
      <x:c r="BE16" s="81" t="str"/>
    </x:row>
    <x:row r="17">
      <x:c r="A17" s="81" t="str"/>
      <x:c r="B17" s="81" t="str"/>
      <x:c r="C17" s="81" t="str"/>
      <x:c r="D17" s="81" t="str"/>
      <x:c r="E17" s="81" t="str"/>
      <x:c r="F17" s="81" t="str"/>
      <x:c r="G17" s="81" t="str"/>
      <x:c r="H17" s="81" t="str"/>
      <x:c r="I17" s="81" t="str"/>
      <x:c r="J17" s="81" t="str"/>
      <x:c r="K17" s="81" t="str"/>
      <x:c r="L17" s="81" t="str"/>
      <x:c r="M17" s="81" t="str"/>
      <x:c r="N17" s="81" t="str"/>
      <x:c r="O17" s="81" t="str"/>
      <x:c r="P17" s="81" t="str"/>
      <x:c r="Q17" s="81" t="str"/>
      <x:c r="R17" s="81" t="str"/>
      <x:c r="S17" s="82" t="str"/>
      <x:c r="T17" s="82" t="str"/>
      <x:c r="U17" s="82" t="str"/>
      <x:c r="V17" s="82" t="str"/>
      <x:c r="W17" s="82" t="str"/>
      <x:c r="X17" s="82" t="str"/>
      <x:c r="Y17" s="82" t="str"/>
      <x:c r="Z17" s="82" t="str"/>
      <x:c r="AA17" s="82" t="str"/>
      <x:c r="AB17" s="82" t="str"/>
      <x:c r="AC17" s="82" t="str"/>
      <x:c r="AD17" s="82" t="str"/>
      <x:c r="AE17" s="82" t="str"/>
      <x:c r="AF17" s="82" t="str"/>
      <x:c r="AG17" s="82" t="str"/>
      <x:c r="AH17" s="82" t="str"/>
      <x:c r="AI17" s="81" t="str"/>
      <x:c r="AJ17" s="81" t="str"/>
      <x:c r="AK17" s="81" t="str">
        <x:f>IF($E17="","",IF(AND($M17="yes",OR($N17="yes",$N17="review"),OR($O17="yes",$O17="review"),$P17="fit",OR($Q17="unique",$Q17="alias_review"),$R17&lt;&gt;"context_only"),"pass","review/block"))</x:f>
      </x:c>
      <x:c r="AL17" s="81" t="str">
        <x:f>IF($E17="","",IF($AK17="pass","eligible",IF(OR($M17="no",$O17="no",$P17="too_macro",$P17="too_micro",$P17="context_only",$Q17="duplicate_confirmed",$R17="context_only"),"not_eligible","review")))</x:f>
      </x:c>
      <x:c r="AM17" s="81" t="str">
        <x:f>IF($E17="","",IF($C17=0,"reentry_required",IF($C17&lt;=8,"non_competitive_inclusion","competitive_selection")))</x:f>
      </x:c>
      <x:c r="AN17" s="82" t="str">
        <x:f>IF($E17="","",AVERAGE($U17:$X17))</x:f>
      </x:c>
      <x:c r="AO17" s="82" t="str">
        <x:f>IF($E17="","",AVERAGE($S17:$T17))</x:f>
      </x:c>
      <x:c r="AP17" s="82" t="str">
        <x:f>IF($E17="","",($AF17*0.08)+($AG17*0.08)+($AH17*0.10))</x:f>
      </x:c>
      <x:c r="AQ17" s="82" t="str">
        <x:f>IF($E17="","",MAX(0,($AN17*0.30)+($Y17*0.20)+($Z17*0.15)+($AA17*0.15)+($AB17*0.10)+($AC17*0.10)+($AE17*0.05)-$AP17))</x:f>
      </x:c>
      <x:c r="AR17" s="81" t="str">
        <x:f>IF($E17="","",IF($AM17="competitive_selection",RANK.EQ($AQ17,$AQ$2:$AQ$201,0),""))</x:f>
      </x:c>
      <x:c r="AS17" s="81" t="str">
        <x:f>IF($E17="","",IF(AND($AM17="non_competitive_inclusion",$AL17="eligible"),"selected",""))</x:f>
      </x:c>
      <x:c r="AT17" s="81" t="str">
        <x:f>IF($E17="","",IF($AM17&lt;&gt;"competitive_selection","",IF(AND($AL17="eligible",$AR17&lt;=8),"selected","context/backlog")))</x:f>
      </x:c>
      <x:c r="AU17" s="81" t="str">
        <x:f>IF($E17="","",IF($AM17="reentry_required","not_selected_reentry",IF($AS17="selected","selected_for_runtime",IF($AT17="selected","selected_for_runtime",IF($AL17="review","manual_review","context_or_not_selected")))))</x:f>
      </x:c>
      <x:c r="AV17" s="81" t="str">
        <x:f>IF($E17="","",IF($AU17="selected_for_runtime",IF($AM17="competitive_selection",$AR17,COUNTIF($AU$2:AU17,"selected_for_runtime")),""))</x:f>
      </x:c>
      <x:c r="AW17" s="81" t="str">
        <x:f>IF($E17="","",IF($AU17="selected_for_runtime",IF($AD17&gt;=2,"base_40_plus_uncertainty_probes",IF($AE17&gt;=2,"base_40_plus_exploratory_probes","base_40_standard")),"no_runtime"))</x:f>
      </x:c>
      <x:c r="AX17" s="81" t="str">
        <x:f>IF($E17="","",IF($AU17&lt;&gt;"selected_for_runtime","none",IF($AE17&gt;=2,"exploratoria",IF($AQ17&gt;=2.2,"alta",IF($AQ17&gt;=1.2,"media","baja")))))</x:f>
      </x:c>
      <x:c r="AY17" s="81" t="str">
        <x:f>IF($E17="","",IF($AJ17=TRUE,"context_with_coverage_gap",IF($AI17="review","context_requires_confirmation","context_ready")))</x:f>
      </x:c>
      <x:c r="AZ17" s="81" t="str">
        <x:f>IF($E17="","",IF($AU17&lt;&gt;"selected_for_runtime","no",IF(OR($AY17="context_with_coverage_gap",$AX17="exploratoria"),"ready_with_flags","ready")))</x:f>
      </x:c>
      <x:c r="BA17" s="81" t="str"/>
      <x:c r="BB17" s="81" t="str"/>
      <x:c r="BC17" s="81" t="str"/>
      <x:c r="BD17" s="81" t="str"/>
      <x:c r="BE17" s="81" t="str"/>
    </x:row>
    <x:row r="18">
      <x:c r="A18" s="81" t="str"/>
      <x:c r="B18" s="81" t="str"/>
      <x:c r="C18" s="81" t="str"/>
      <x:c r="D18" s="81" t="str"/>
      <x:c r="E18" s="81" t="str"/>
      <x:c r="F18" s="81" t="str"/>
      <x:c r="G18" s="81" t="str"/>
      <x:c r="H18" s="81" t="str"/>
      <x:c r="I18" s="81" t="str"/>
      <x:c r="J18" s="81" t="str"/>
      <x:c r="K18" s="81" t="str"/>
      <x:c r="L18" s="81" t="str"/>
      <x:c r="M18" s="81" t="str"/>
      <x:c r="N18" s="81" t="str"/>
      <x:c r="O18" s="81" t="str"/>
      <x:c r="P18" s="81" t="str"/>
      <x:c r="Q18" s="81" t="str"/>
      <x:c r="R18" s="81" t="str"/>
      <x:c r="S18" s="82" t="str"/>
      <x:c r="T18" s="82" t="str"/>
      <x:c r="U18" s="82" t="str"/>
      <x:c r="V18" s="82" t="str"/>
      <x:c r="W18" s="82" t="str"/>
      <x:c r="X18" s="82" t="str"/>
      <x:c r="Y18" s="82" t="str"/>
      <x:c r="Z18" s="82" t="str"/>
      <x:c r="AA18" s="82" t="str"/>
      <x:c r="AB18" s="82" t="str"/>
      <x:c r="AC18" s="82" t="str"/>
      <x:c r="AD18" s="82" t="str"/>
      <x:c r="AE18" s="82" t="str"/>
      <x:c r="AF18" s="82" t="str"/>
      <x:c r="AG18" s="82" t="str"/>
      <x:c r="AH18" s="82" t="str"/>
      <x:c r="AI18" s="81" t="str"/>
      <x:c r="AJ18" s="81" t="str"/>
      <x:c r="AK18" s="81" t="str">
        <x:f>IF($E18="","",IF(AND($M18="yes",OR($N18="yes",$N18="review"),OR($O18="yes",$O18="review"),$P18="fit",OR($Q18="unique",$Q18="alias_review"),$R18&lt;&gt;"context_only"),"pass","review/block"))</x:f>
      </x:c>
      <x:c r="AL18" s="81" t="str">
        <x:f>IF($E18="","",IF($AK18="pass","eligible",IF(OR($M18="no",$O18="no",$P18="too_macro",$P18="too_micro",$P18="context_only",$Q18="duplicate_confirmed",$R18="context_only"),"not_eligible","review")))</x:f>
      </x:c>
      <x:c r="AM18" s="81" t="str">
        <x:f>IF($E18="","",IF($C18=0,"reentry_required",IF($C18&lt;=8,"non_competitive_inclusion","competitive_selection")))</x:f>
      </x:c>
      <x:c r="AN18" s="82" t="str">
        <x:f>IF($E18="","",AVERAGE($U18:$X18))</x:f>
      </x:c>
      <x:c r="AO18" s="82" t="str">
        <x:f>IF($E18="","",AVERAGE($S18:$T18))</x:f>
      </x:c>
      <x:c r="AP18" s="82" t="str">
        <x:f>IF($E18="","",($AF18*0.08)+($AG18*0.08)+($AH18*0.10))</x:f>
      </x:c>
      <x:c r="AQ18" s="82" t="str">
        <x:f>IF($E18="","",MAX(0,($AN18*0.30)+($Y18*0.20)+($Z18*0.15)+($AA18*0.15)+($AB18*0.10)+($AC18*0.10)+($AE18*0.05)-$AP18))</x:f>
      </x:c>
      <x:c r="AR18" s="81" t="str">
        <x:f>IF($E18="","",IF($AM18="competitive_selection",RANK.EQ($AQ18,$AQ$2:$AQ$201,0),""))</x:f>
      </x:c>
      <x:c r="AS18" s="81" t="str">
        <x:f>IF($E18="","",IF(AND($AM18="non_competitive_inclusion",$AL18="eligible"),"selected",""))</x:f>
      </x:c>
      <x:c r="AT18" s="81" t="str">
        <x:f>IF($E18="","",IF($AM18&lt;&gt;"competitive_selection","",IF(AND($AL18="eligible",$AR18&lt;=8),"selected","context/backlog")))</x:f>
      </x:c>
      <x:c r="AU18" s="81" t="str">
        <x:f>IF($E18="","",IF($AM18="reentry_required","not_selected_reentry",IF($AS18="selected","selected_for_runtime",IF($AT18="selected","selected_for_runtime",IF($AL18="review","manual_review","context_or_not_selected")))))</x:f>
      </x:c>
      <x:c r="AV18" s="81" t="str">
        <x:f>IF($E18="","",IF($AU18="selected_for_runtime",IF($AM18="competitive_selection",$AR18,COUNTIF($AU$2:AU18,"selected_for_runtime")),""))</x:f>
      </x:c>
      <x:c r="AW18" s="81" t="str">
        <x:f>IF($E18="","",IF($AU18="selected_for_runtime",IF($AD18&gt;=2,"base_40_plus_uncertainty_probes",IF($AE18&gt;=2,"base_40_plus_exploratory_probes","base_40_standard")),"no_runtime"))</x:f>
      </x:c>
      <x:c r="AX18" s="81" t="str">
        <x:f>IF($E18="","",IF($AU18&lt;&gt;"selected_for_runtime","none",IF($AE18&gt;=2,"exploratoria",IF($AQ18&gt;=2.2,"alta",IF($AQ18&gt;=1.2,"media","baja")))))</x:f>
      </x:c>
      <x:c r="AY18" s="81" t="str">
        <x:f>IF($E18="","",IF($AJ18=TRUE,"context_with_coverage_gap",IF($AI18="review","context_requires_confirmation","context_ready")))</x:f>
      </x:c>
      <x:c r="AZ18" s="81" t="str">
        <x:f>IF($E18="","",IF($AU18&lt;&gt;"selected_for_runtime","no",IF(OR($AY18="context_with_coverage_gap",$AX18="exploratoria"),"ready_with_flags","ready")))</x:f>
      </x:c>
      <x:c r="BA18" s="81" t="str"/>
      <x:c r="BB18" s="81" t="str"/>
      <x:c r="BC18" s="81" t="str"/>
      <x:c r="BD18" s="81" t="str"/>
      <x:c r="BE18" s="81" t="str"/>
    </x:row>
    <x:row r="19">
      <x:c r="A19" s="81" t="str"/>
      <x:c r="B19" s="81" t="str"/>
      <x:c r="C19" s="81" t="str"/>
      <x:c r="D19" s="81" t="str"/>
      <x:c r="E19" s="81" t="str"/>
      <x:c r="F19" s="81" t="str"/>
      <x:c r="G19" s="81" t="str"/>
      <x:c r="H19" s="81" t="str"/>
      <x:c r="I19" s="81" t="str"/>
      <x:c r="J19" s="81" t="str"/>
      <x:c r="K19" s="81" t="str"/>
      <x:c r="L19" s="81" t="str"/>
      <x:c r="M19" s="81" t="str"/>
      <x:c r="N19" s="81" t="str"/>
      <x:c r="O19" s="81" t="str"/>
      <x:c r="P19" s="81" t="str"/>
      <x:c r="Q19" s="81" t="str"/>
      <x:c r="R19" s="81" t="str"/>
      <x:c r="S19" s="82" t="str"/>
      <x:c r="T19" s="82" t="str"/>
      <x:c r="U19" s="82" t="str"/>
      <x:c r="V19" s="82" t="str"/>
      <x:c r="W19" s="82" t="str"/>
      <x:c r="X19" s="82" t="str"/>
      <x:c r="Y19" s="82" t="str"/>
      <x:c r="Z19" s="82" t="str"/>
      <x:c r="AA19" s="82" t="str"/>
      <x:c r="AB19" s="82" t="str"/>
      <x:c r="AC19" s="82" t="str"/>
      <x:c r="AD19" s="82" t="str"/>
      <x:c r="AE19" s="82" t="str"/>
      <x:c r="AF19" s="82" t="str"/>
      <x:c r="AG19" s="82" t="str"/>
      <x:c r="AH19" s="82" t="str"/>
      <x:c r="AI19" s="81" t="str"/>
      <x:c r="AJ19" s="81" t="str"/>
      <x:c r="AK19" s="81" t="str">
        <x:f>IF($E19="","",IF(AND($M19="yes",OR($N19="yes",$N19="review"),OR($O19="yes",$O19="review"),$P19="fit",OR($Q19="unique",$Q19="alias_review"),$R19&lt;&gt;"context_only"),"pass","review/block"))</x:f>
      </x:c>
      <x:c r="AL19" s="81" t="str">
        <x:f>IF($E19="","",IF($AK19="pass","eligible",IF(OR($M19="no",$O19="no",$P19="too_macro",$P19="too_micro",$P19="context_only",$Q19="duplicate_confirmed",$R19="context_only"),"not_eligible","review")))</x:f>
      </x:c>
      <x:c r="AM19" s="81" t="str">
        <x:f>IF($E19="","",IF($C19=0,"reentry_required",IF($C19&lt;=8,"non_competitive_inclusion","competitive_selection")))</x:f>
      </x:c>
      <x:c r="AN19" s="82" t="str">
        <x:f>IF($E19="","",AVERAGE($U19:$X19))</x:f>
      </x:c>
      <x:c r="AO19" s="82" t="str">
        <x:f>IF($E19="","",AVERAGE($S19:$T19))</x:f>
      </x:c>
      <x:c r="AP19" s="82" t="str">
        <x:f>IF($E19="","",($AF19*0.08)+($AG19*0.08)+($AH19*0.10))</x:f>
      </x:c>
      <x:c r="AQ19" s="82" t="str">
        <x:f>IF($E19="","",MAX(0,($AN19*0.30)+($Y19*0.20)+($Z19*0.15)+($AA19*0.15)+($AB19*0.10)+($AC19*0.10)+($AE19*0.05)-$AP19))</x:f>
      </x:c>
      <x:c r="AR19" s="81" t="str">
        <x:f>IF($E19="","",IF($AM19="competitive_selection",RANK.EQ($AQ19,$AQ$2:$AQ$201,0),""))</x:f>
      </x:c>
      <x:c r="AS19" s="81" t="str">
        <x:f>IF($E19="","",IF(AND($AM19="non_competitive_inclusion",$AL19="eligible"),"selected",""))</x:f>
      </x:c>
      <x:c r="AT19" s="81" t="str">
        <x:f>IF($E19="","",IF($AM19&lt;&gt;"competitive_selection","",IF(AND($AL19="eligible",$AR19&lt;=8),"selected","context/backlog")))</x:f>
      </x:c>
      <x:c r="AU19" s="81" t="str">
        <x:f>IF($E19="","",IF($AM19="reentry_required","not_selected_reentry",IF($AS19="selected","selected_for_runtime",IF($AT19="selected","selected_for_runtime",IF($AL19="review","manual_review","context_or_not_selected")))))</x:f>
      </x:c>
      <x:c r="AV19" s="81" t="str">
        <x:f>IF($E19="","",IF($AU19="selected_for_runtime",IF($AM19="competitive_selection",$AR19,COUNTIF($AU$2:AU19,"selected_for_runtime")),""))</x:f>
      </x:c>
      <x:c r="AW19" s="81" t="str">
        <x:f>IF($E19="","",IF($AU19="selected_for_runtime",IF($AD19&gt;=2,"base_40_plus_uncertainty_probes",IF($AE19&gt;=2,"base_40_plus_exploratory_probes","base_40_standard")),"no_runtime"))</x:f>
      </x:c>
      <x:c r="AX19" s="81" t="str">
        <x:f>IF($E19="","",IF($AU19&lt;&gt;"selected_for_runtime","none",IF($AE19&gt;=2,"exploratoria",IF($AQ19&gt;=2.2,"alta",IF($AQ19&gt;=1.2,"media","baja")))))</x:f>
      </x:c>
      <x:c r="AY19" s="81" t="str">
        <x:f>IF($E19="","",IF($AJ19=TRUE,"context_with_coverage_gap",IF($AI19="review","context_requires_confirmation","context_ready")))</x:f>
      </x:c>
      <x:c r="AZ19" s="81" t="str">
        <x:f>IF($E19="","",IF($AU19&lt;&gt;"selected_for_runtime","no",IF(OR($AY19="context_with_coverage_gap",$AX19="exploratoria"),"ready_with_flags","ready")))</x:f>
      </x:c>
      <x:c r="BA19" s="81" t="str"/>
      <x:c r="BB19" s="81" t="str"/>
      <x:c r="BC19" s="81" t="str"/>
      <x:c r="BD19" s="81" t="str"/>
      <x:c r="BE19" s="81" t="str"/>
    </x:row>
    <x:row r="20">
      <x:c r="A20" s="81" t="str"/>
      <x:c r="B20" s="81" t="str"/>
      <x:c r="C20" s="81" t="str"/>
      <x:c r="D20" s="81" t="str"/>
      <x:c r="E20" s="81" t="str"/>
      <x:c r="F20" s="81" t="str"/>
      <x:c r="G20" s="81" t="str"/>
      <x:c r="H20" s="81" t="str"/>
      <x:c r="I20" s="81" t="str"/>
      <x:c r="J20" s="81" t="str"/>
      <x:c r="K20" s="81" t="str"/>
      <x:c r="L20" s="81" t="str"/>
      <x:c r="M20" s="81" t="str"/>
      <x:c r="N20" s="81" t="str"/>
      <x:c r="O20" s="81" t="str"/>
      <x:c r="P20" s="81" t="str"/>
      <x:c r="Q20" s="81" t="str"/>
      <x:c r="R20" s="81" t="str"/>
      <x:c r="S20" s="82" t="str"/>
      <x:c r="T20" s="82" t="str"/>
      <x:c r="U20" s="82" t="str"/>
      <x:c r="V20" s="82" t="str"/>
      <x:c r="W20" s="82" t="str"/>
      <x:c r="X20" s="82" t="str"/>
      <x:c r="Y20" s="82" t="str"/>
      <x:c r="Z20" s="82" t="str"/>
      <x:c r="AA20" s="82" t="str"/>
      <x:c r="AB20" s="82" t="str"/>
      <x:c r="AC20" s="82" t="str"/>
      <x:c r="AD20" s="82" t="str"/>
      <x:c r="AE20" s="82" t="str"/>
      <x:c r="AF20" s="82" t="str"/>
      <x:c r="AG20" s="82" t="str"/>
      <x:c r="AH20" s="82" t="str"/>
      <x:c r="AI20" s="81" t="str"/>
      <x:c r="AJ20" s="81" t="str"/>
      <x:c r="AK20" s="81" t="str">
        <x:f>IF($E20="","",IF(AND($M20="yes",OR($N20="yes",$N20="review"),OR($O20="yes",$O20="review"),$P20="fit",OR($Q20="unique",$Q20="alias_review"),$R20&lt;&gt;"context_only"),"pass","review/block"))</x:f>
      </x:c>
      <x:c r="AL20" s="81" t="str">
        <x:f>IF($E20="","",IF($AK20="pass","eligible",IF(OR($M20="no",$O20="no",$P20="too_macro",$P20="too_micro",$P20="context_only",$Q20="duplicate_confirmed",$R20="context_only"),"not_eligible","review")))</x:f>
      </x:c>
      <x:c r="AM20" s="81" t="str">
        <x:f>IF($E20="","",IF($C20=0,"reentry_required",IF($C20&lt;=8,"non_competitive_inclusion","competitive_selection")))</x:f>
      </x:c>
      <x:c r="AN20" s="82" t="str">
        <x:f>IF($E20="","",AVERAGE($U20:$X20))</x:f>
      </x:c>
      <x:c r="AO20" s="82" t="str">
        <x:f>IF($E20="","",AVERAGE($S20:$T20))</x:f>
      </x:c>
      <x:c r="AP20" s="82" t="str">
        <x:f>IF($E20="","",($AF20*0.08)+($AG20*0.08)+($AH20*0.10))</x:f>
      </x:c>
      <x:c r="AQ20" s="82" t="str">
        <x:f>IF($E20="","",MAX(0,($AN20*0.30)+($Y20*0.20)+($Z20*0.15)+($AA20*0.15)+($AB20*0.10)+($AC20*0.10)+($AE20*0.05)-$AP20))</x:f>
      </x:c>
      <x:c r="AR20" s="81" t="str">
        <x:f>IF($E20="","",IF($AM20="competitive_selection",RANK.EQ($AQ20,$AQ$2:$AQ$201,0),""))</x:f>
      </x:c>
      <x:c r="AS20" s="81" t="str">
        <x:f>IF($E20="","",IF(AND($AM20="non_competitive_inclusion",$AL20="eligible"),"selected",""))</x:f>
      </x:c>
      <x:c r="AT20" s="81" t="str">
        <x:f>IF($E20="","",IF($AM20&lt;&gt;"competitive_selection","",IF(AND($AL20="eligible",$AR20&lt;=8),"selected","context/backlog")))</x:f>
      </x:c>
      <x:c r="AU20" s="81" t="str">
        <x:f>IF($E20="","",IF($AM20="reentry_required","not_selected_reentry",IF($AS20="selected","selected_for_runtime",IF($AT20="selected","selected_for_runtime",IF($AL20="review","manual_review","context_or_not_selected")))))</x:f>
      </x:c>
      <x:c r="AV20" s="81" t="str">
        <x:f>IF($E20="","",IF($AU20="selected_for_runtime",IF($AM20="competitive_selection",$AR20,COUNTIF($AU$2:AU20,"selected_for_runtime")),""))</x:f>
      </x:c>
      <x:c r="AW20" s="81" t="str">
        <x:f>IF($E20="","",IF($AU20="selected_for_runtime",IF($AD20&gt;=2,"base_40_plus_uncertainty_probes",IF($AE20&gt;=2,"base_40_plus_exploratory_probes","base_40_standard")),"no_runtime"))</x:f>
      </x:c>
      <x:c r="AX20" s="81" t="str">
        <x:f>IF($E20="","",IF($AU20&lt;&gt;"selected_for_runtime","none",IF($AE20&gt;=2,"exploratoria",IF($AQ20&gt;=2.2,"alta",IF($AQ20&gt;=1.2,"media","baja")))))</x:f>
      </x:c>
      <x:c r="AY20" s="81" t="str">
        <x:f>IF($E20="","",IF($AJ20=TRUE,"context_with_coverage_gap",IF($AI20="review","context_requires_confirmation","context_ready")))</x:f>
      </x:c>
      <x:c r="AZ20" s="81" t="str">
        <x:f>IF($E20="","",IF($AU20&lt;&gt;"selected_for_runtime","no",IF(OR($AY20="context_with_coverage_gap",$AX20="exploratoria"),"ready_with_flags","ready")))</x:f>
      </x:c>
      <x:c r="BA20" s="81" t="str"/>
      <x:c r="BB20" s="81" t="str"/>
      <x:c r="BC20" s="81" t="str"/>
      <x:c r="BD20" s="81" t="str"/>
      <x:c r="BE20" s="81" t="str"/>
    </x:row>
    <x:row r="21">
      <x:c r="A21" s="81" t="str"/>
      <x:c r="B21" s="81" t="str"/>
      <x:c r="C21" s="81" t="str"/>
      <x:c r="D21" s="81" t="str"/>
      <x:c r="E21" s="81" t="str"/>
      <x:c r="F21" s="81" t="str"/>
      <x:c r="G21" s="81" t="str"/>
      <x:c r="H21" s="81" t="str"/>
      <x:c r="I21" s="81" t="str"/>
      <x:c r="J21" s="81" t="str"/>
      <x:c r="K21" s="81" t="str"/>
      <x:c r="L21" s="81" t="str"/>
      <x:c r="M21" s="81" t="str"/>
      <x:c r="N21" s="81" t="str"/>
      <x:c r="O21" s="81" t="str"/>
      <x:c r="P21" s="81" t="str"/>
      <x:c r="Q21" s="81" t="str"/>
      <x:c r="R21" s="81" t="str"/>
      <x:c r="S21" s="82" t="str"/>
      <x:c r="T21" s="82" t="str"/>
      <x:c r="U21" s="82" t="str"/>
      <x:c r="V21" s="82" t="str"/>
      <x:c r="W21" s="82" t="str"/>
      <x:c r="X21" s="82" t="str"/>
      <x:c r="Y21" s="82" t="str"/>
      <x:c r="Z21" s="82" t="str"/>
      <x:c r="AA21" s="82" t="str"/>
      <x:c r="AB21" s="82" t="str"/>
      <x:c r="AC21" s="82" t="str"/>
      <x:c r="AD21" s="82" t="str"/>
      <x:c r="AE21" s="82" t="str"/>
      <x:c r="AF21" s="82" t="str"/>
      <x:c r="AG21" s="82" t="str"/>
      <x:c r="AH21" s="82" t="str"/>
      <x:c r="AI21" s="81" t="str"/>
      <x:c r="AJ21" s="81" t="str"/>
      <x:c r="AK21" s="81" t="str">
        <x:f>IF($E21="","",IF(AND($M21="yes",OR($N21="yes",$N21="review"),OR($O21="yes",$O21="review"),$P21="fit",OR($Q21="unique",$Q21="alias_review"),$R21&lt;&gt;"context_only"),"pass","review/block"))</x:f>
      </x:c>
      <x:c r="AL21" s="81" t="str">
        <x:f>IF($E21="","",IF($AK21="pass","eligible",IF(OR($M21="no",$O21="no",$P21="too_macro",$P21="too_micro",$P21="context_only",$Q21="duplicate_confirmed",$R21="context_only"),"not_eligible","review")))</x:f>
      </x:c>
      <x:c r="AM21" s="81" t="str">
        <x:f>IF($E21="","",IF($C21=0,"reentry_required",IF($C21&lt;=8,"non_competitive_inclusion","competitive_selection")))</x:f>
      </x:c>
      <x:c r="AN21" s="82" t="str">
        <x:f>IF($E21="","",AVERAGE($U21:$X21))</x:f>
      </x:c>
      <x:c r="AO21" s="82" t="str">
        <x:f>IF($E21="","",AVERAGE($S21:$T21))</x:f>
      </x:c>
      <x:c r="AP21" s="82" t="str">
        <x:f>IF($E21="","",($AF21*0.08)+($AG21*0.08)+($AH21*0.10))</x:f>
      </x:c>
      <x:c r="AQ21" s="82" t="str">
        <x:f>IF($E21="","",MAX(0,($AN21*0.30)+($Y21*0.20)+($Z21*0.15)+($AA21*0.15)+($AB21*0.10)+($AC21*0.10)+($AE21*0.05)-$AP21))</x:f>
      </x:c>
      <x:c r="AR21" s="81" t="str">
        <x:f>IF($E21="","",IF($AM21="competitive_selection",RANK.EQ($AQ21,$AQ$2:$AQ$201,0),""))</x:f>
      </x:c>
      <x:c r="AS21" s="81" t="str">
        <x:f>IF($E21="","",IF(AND($AM21="non_competitive_inclusion",$AL21="eligible"),"selected",""))</x:f>
      </x:c>
      <x:c r="AT21" s="81" t="str">
        <x:f>IF($E21="","",IF($AM21&lt;&gt;"competitive_selection","",IF(AND($AL21="eligible",$AR21&lt;=8),"selected","context/backlog")))</x:f>
      </x:c>
      <x:c r="AU21" s="81" t="str">
        <x:f>IF($E21="","",IF($AM21="reentry_required","not_selected_reentry",IF($AS21="selected","selected_for_runtime",IF($AT21="selected","selected_for_runtime",IF($AL21="review","manual_review","context_or_not_selected")))))</x:f>
      </x:c>
      <x:c r="AV21" s="81" t="str">
        <x:f>IF($E21="","",IF($AU21="selected_for_runtime",IF($AM21="competitive_selection",$AR21,COUNTIF($AU$2:AU21,"selected_for_runtime")),""))</x:f>
      </x:c>
      <x:c r="AW21" s="81" t="str">
        <x:f>IF($E21="","",IF($AU21="selected_for_runtime",IF($AD21&gt;=2,"base_40_plus_uncertainty_probes",IF($AE21&gt;=2,"base_40_plus_exploratory_probes","base_40_standard")),"no_runtime"))</x:f>
      </x:c>
      <x:c r="AX21" s="81" t="str">
        <x:f>IF($E21="","",IF($AU21&lt;&gt;"selected_for_runtime","none",IF($AE21&gt;=2,"exploratoria",IF($AQ21&gt;=2.2,"alta",IF($AQ21&gt;=1.2,"media","baja")))))</x:f>
      </x:c>
      <x:c r="AY21" s="81" t="str">
        <x:f>IF($E21="","",IF($AJ21=TRUE,"context_with_coverage_gap",IF($AI21="review","context_requires_confirmation","context_ready")))</x:f>
      </x:c>
      <x:c r="AZ21" s="81" t="str">
        <x:f>IF($E21="","",IF($AU21&lt;&gt;"selected_for_runtime","no",IF(OR($AY21="context_with_coverage_gap",$AX21="exploratoria"),"ready_with_flags","ready")))</x:f>
      </x:c>
      <x:c r="BA21" s="81" t="str"/>
      <x:c r="BB21" s="81" t="str"/>
      <x:c r="BC21" s="81" t="str"/>
      <x:c r="BD21" s="81" t="str"/>
      <x:c r="BE21" s="81" t="str"/>
    </x:row>
    <x:row r="22">
      <x:c r="A22" s="81" t="str"/>
      <x:c r="B22" s="81" t="str"/>
      <x:c r="C22" s="81" t="str"/>
      <x:c r="D22" s="81" t="str"/>
      <x:c r="E22" s="81" t="str"/>
      <x:c r="F22" s="81" t="str"/>
      <x:c r="G22" s="81" t="str"/>
      <x:c r="H22" s="81" t="str"/>
      <x:c r="I22" s="81" t="str"/>
      <x:c r="J22" s="81" t="str"/>
      <x:c r="K22" s="81" t="str"/>
      <x:c r="L22" s="81" t="str"/>
      <x:c r="M22" s="81" t="str"/>
      <x:c r="N22" s="81" t="str"/>
      <x:c r="O22" s="81" t="str"/>
      <x:c r="P22" s="81" t="str"/>
      <x:c r="Q22" s="81" t="str"/>
      <x:c r="R22" s="81" t="str"/>
      <x:c r="S22" s="82" t="str"/>
      <x:c r="T22" s="82" t="str"/>
      <x:c r="U22" s="82" t="str"/>
      <x:c r="V22" s="82" t="str"/>
      <x:c r="W22" s="82" t="str"/>
      <x:c r="X22" s="82" t="str"/>
      <x:c r="Y22" s="82" t="str"/>
      <x:c r="Z22" s="82" t="str"/>
      <x:c r="AA22" s="82" t="str"/>
      <x:c r="AB22" s="82" t="str"/>
      <x:c r="AC22" s="82" t="str"/>
      <x:c r="AD22" s="82" t="str"/>
      <x:c r="AE22" s="82" t="str"/>
      <x:c r="AF22" s="82" t="str"/>
      <x:c r="AG22" s="82" t="str"/>
      <x:c r="AH22" s="82" t="str"/>
      <x:c r="AI22" s="81" t="str"/>
      <x:c r="AJ22" s="81" t="str"/>
      <x:c r="AK22" s="81" t="str">
        <x:f>IF($E22="","",IF(AND($M22="yes",OR($N22="yes",$N22="review"),OR($O22="yes",$O22="review"),$P22="fit",OR($Q22="unique",$Q22="alias_review"),$R22&lt;&gt;"context_only"),"pass","review/block"))</x:f>
      </x:c>
      <x:c r="AL22" s="81" t="str">
        <x:f>IF($E22="","",IF($AK22="pass","eligible",IF(OR($M22="no",$O22="no",$P22="too_macro",$P22="too_micro",$P22="context_only",$Q22="duplicate_confirmed",$R22="context_only"),"not_eligible","review")))</x:f>
      </x:c>
      <x:c r="AM22" s="81" t="str">
        <x:f>IF($E22="","",IF($C22=0,"reentry_required",IF($C22&lt;=8,"non_competitive_inclusion","competitive_selection")))</x:f>
      </x:c>
      <x:c r="AN22" s="82" t="str">
        <x:f>IF($E22="","",AVERAGE($U22:$X22))</x:f>
      </x:c>
      <x:c r="AO22" s="82" t="str">
        <x:f>IF($E22="","",AVERAGE($S22:$T22))</x:f>
      </x:c>
      <x:c r="AP22" s="82" t="str">
        <x:f>IF($E22="","",($AF22*0.08)+($AG22*0.08)+($AH22*0.10))</x:f>
      </x:c>
      <x:c r="AQ22" s="82" t="str">
        <x:f>IF($E22="","",MAX(0,($AN22*0.30)+($Y22*0.20)+($Z22*0.15)+($AA22*0.15)+($AB22*0.10)+($AC22*0.10)+($AE22*0.05)-$AP22))</x:f>
      </x:c>
      <x:c r="AR22" s="81" t="str">
        <x:f>IF($E22="","",IF($AM22="competitive_selection",RANK.EQ($AQ22,$AQ$2:$AQ$201,0),""))</x:f>
      </x:c>
      <x:c r="AS22" s="81" t="str">
        <x:f>IF($E22="","",IF(AND($AM22="non_competitive_inclusion",$AL22="eligible"),"selected",""))</x:f>
      </x:c>
      <x:c r="AT22" s="81" t="str">
        <x:f>IF($E22="","",IF($AM22&lt;&gt;"competitive_selection","",IF(AND($AL22="eligible",$AR22&lt;=8),"selected","context/backlog")))</x:f>
      </x:c>
      <x:c r="AU22" s="81" t="str">
        <x:f>IF($E22="","",IF($AM22="reentry_required","not_selected_reentry",IF($AS22="selected","selected_for_runtime",IF($AT22="selected","selected_for_runtime",IF($AL22="review","manual_review","context_or_not_selected")))))</x:f>
      </x:c>
      <x:c r="AV22" s="81" t="str">
        <x:f>IF($E22="","",IF($AU22="selected_for_runtime",IF($AM22="competitive_selection",$AR22,COUNTIF($AU$2:AU22,"selected_for_runtime")),""))</x:f>
      </x:c>
      <x:c r="AW22" s="81" t="str">
        <x:f>IF($E22="","",IF($AU22="selected_for_runtime",IF($AD22&gt;=2,"base_40_plus_uncertainty_probes",IF($AE22&gt;=2,"base_40_plus_exploratory_probes","base_40_standard")),"no_runtime"))</x:f>
      </x:c>
      <x:c r="AX22" s="81" t="str">
        <x:f>IF($E22="","",IF($AU22&lt;&gt;"selected_for_runtime","none",IF($AE22&gt;=2,"exploratoria",IF($AQ22&gt;=2.2,"alta",IF($AQ22&gt;=1.2,"media","baja")))))</x:f>
      </x:c>
      <x:c r="AY22" s="81" t="str">
        <x:f>IF($E22="","",IF($AJ22=TRUE,"context_with_coverage_gap",IF($AI22="review","context_requires_confirmation","context_ready")))</x:f>
      </x:c>
      <x:c r="AZ22" s="81" t="str">
        <x:f>IF($E22="","",IF($AU22&lt;&gt;"selected_for_runtime","no",IF(OR($AY22="context_with_coverage_gap",$AX22="exploratoria"),"ready_with_flags","ready")))</x:f>
      </x:c>
      <x:c r="BA22" s="81" t="str"/>
      <x:c r="BB22" s="81" t="str"/>
      <x:c r="BC22" s="81" t="str"/>
      <x:c r="BD22" s="81" t="str"/>
      <x:c r="BE22" s="81" t="str"/>
    </x:row>
    <x:row r="23">
      <x:c r="A23" s="81" t="str"/>
      <x:c r="B23" s="81" t="str"/>
      <x:c r="C23" s="81" t="str"/>
      <x:c r="D23" s="81" t="str"/>
      <x:c r="E23" s="81" t="str"/>
      <x:c r="F23" s="81" t="str"/>
      <x:c r="G23" s="81" t="str"/>
      <x:c r="H23" s="81" t="str"/>
      <x:c r="I23" s="81" t="str"/>
      <x:c r="J23" s="81" t="str"/>
      <x:c r="K23" s="81" t="str"/>
      <x:c r="L23" s="81" t="str"/>
      <x:c r="M23" s="81" t="str"/>
      <x:c r="N23" s="81" t="str"/>
      <x:c r="O23" s="81" t="str"/>
      <x:c r="P23" s="81" t="str"/>
      <x:c r="Q23" s="81" t="str"/>
      <x:c r="R23" s="81" t="str"/>
      <x:c r="S23" s="82" t="str"/>
      <x:c r="T23" s="82" t="str"/>
      <x:c r="U23" s="82" t="str"/>
      <x:c r="V23" s="82" t="str"/>
      <x:c r="W23" s="82" t="str"/>
      <x:c r="X23" s="82" t="str"/>
      <x:c r="Y23" s="82" t="str"/>
      <x:c r="Z23" s="82" t="str"/>
      <x:c r="AA23" s="82" t="str"/>
      <x:c r="AB23" s="82" t="str"/>
      <x:c r="AC23" s="82" t="str"/>
      <x:c r="AD23" s="82" t="str"/>
      <x:c r="AE23" s="82" t="str"/>
      <x:c r="AF23" s="82" t="str"/>
      <x:c r="AG23" s="82" t="str"/>
      <x:c r="AH23" s="82" t="str"/>
      <x:c r="AI23" s="81" t="str"/>
      <x:c r="AJ23" s="81" t="str"/>
      <x:c r="AK23" s="81" t="str">
        <x:f>IF($E23="","",IF(AND($M23="yes",OR($N23="yes",$N23="review"),OR($O23="yes",$O23="review"),$P23="fit",OR($Q23="unique",$Q23="alias_review"),$R23&lt;&gt;"context_only"),"pass","review/block"))</x:f>
      </x:c>
      <x:c r="AL23" s="81" t="str">
        <x:f>IF($E23="","",IF($AK23="pass","eligible",IF(OR($M23="no",$O23="no",$P23="too_macro",$P23="too_micro",$P23="context_only",$Q23="duplicate_confirmed",$R23="context_only"),"not_eligible","review")))</x:f>
      </x:c>
      <x:c r="AM23" s="81" t="str">
        <x:f>IF($E23="","",IF($C23=0,"reentry_required",IF($C23&lt;=8,"non_competitive_inclusion","competitive_selection")))</x:f>
      </x:c>
      <x:c r="AN23" s="82" t="str">
        <x:f>IF($E23="","",AVERAGE($U23:$X23))</x:f>
      </x:c>
      <x:c r="AO23" s="82" t="str">
        <x:f>IF($E23="","",AVERAGE($S23:$T23))</x:f>
      </x:c>
      <x:c r="AP23" s="82" t="str">
        <x:f>IF($E23="","",($AF23*0.08)+($AG23*0.08)+($AH23*0.10))</x:f>
      </x:c>
      <x:c r="AQ23" s="82" t="str">
        <x:f>IF($E23="","",MAX(0,($AN23*0.30)+($Y23*0.20)+($Z23*0.15)+($AA23*0.15)+($AB23*0.10)+($AC23*0.10)+($AE23*0.05)-$AP23))</x:f>
      </x:c>
      <x:c r="AR23" s="81" t="str">
        <x:f>IF($E23="","",IF($AM23="competitive_selection",RANK.EQ($AQ23,$AQ$2:$AQ$201,0),""))</x:f>
      </x:c>
      <x:c r="AS23" s="81" t="str">
        <x:f>IF($E23="","",IF(AND($AM23="non_competitive_inclusion",$AL23="eligible"),"selected",""))</x:f>
      </x:c>
      <x:c r="AT23" s="81" t="str">
        <x:f>IF($E23="","",IF($AM23&lt;&gt;"competitive_selection","",IF(AND($AL23="eligible",$AR23&lt;=8),"selected","context/backlog")))</x:f>
      </x:c>
      <x:c r="AU23" s="81" t="str">
        <x:f>IF($E23="","",IF($AM23="reentry_required","not_selected_reentry",IF($AS23="selected","selected_for_runtime",IF($AT23="selected","selected_for_runtime",IF($AL23="review","manual_review","context_or_not_selected")))))</x:f>
      </x:c>
      <x:c r="AV23" s="81" t="str">
        <x:f>IF($E23="","",IF($AU23="selected_for_runtime",IF($AM23="competitive_selection",$AR23,COUNTIF($AU$2:AU23,"selected_for_runtime")),""))</x:f>
      </x:c>
      <x:c r="AW23" s="81" t="str">
        <x:f>IF($E23="","",IF($AU23="selected_for_runtime",IF($AD23&gt;=2,"base_40_plus_uncertainty_probes",IF($AE23&gt;=2,"base_40_plus_exploratory_probes","base_40_standard")),"no_runtime"))</x:f>
      </x:c>
      <x:c r="AX23" s="81" t="str">
        <x:f>IF($E23="","",IF($AU23&lt;&gt;"selected_for_runtime","none",IF($AE23&gt;=2,"exploratoria",IF($AQ23&gt;=2.2,"alta",IF($AQ23&gt;=1.2,"media","baja")))))</x:f>
      </x:c>
      <x:c r="AY23" s="81" t="str">
        <x:f>IF($E23="","",IF($AJ23=TRUE,"context_with_coverage_gap",IF($AI23="review","context_requires_confirmation","context_ready")))</x:f>
      </x:c>
      <x:c r="AZ23" s="81" t="str">
        <x:f>IF($E23="","",IF($AU23&lt;&gt;"selected_for_runtime","no",IF(OR($AY23="context_with_coverage_gap",$AX23="exploratoria"),"ready_with_flags","ready")))</x:f>
      </x:c>
      <x:c r="BA23" s="81" t="str"/>
      <x:c r="BB23" s="81" t="str"/>
      <x:c r="BC23" s="81" t="str"/>
      <x:c r="BD23" s="81" t="str"/>
      <x:c r="BE23" s="81" t="str"/>
    </x:row>
    <x:row r="24">
      <x:c r="A24" s="81" t="str"/>
      <x:c r="B24" s="81" t="str"/>
      <x:c r="C24" s="81" t="str"/>
      <x:c r="D24" s="81" t="str"/>
      <x:c r="E24" s="81" t="str"/>
      <x:c r="F24" s="81" t="str"/>
      <x:c r="G24" s="81" t="str"/>
      <x:c r="H24" s="81" t="str"/>
      <x:c r="I24" s="81" t="str"/>
      <x:c r="J24" s="81" t="str"/>
      <x:c r="K24" s="81" t="str"/>
      <x:c r="L24" s="81" t="str"/>
      <x:c r="M24" s="81" t="str"/>
      <x:c r="N24" s="81" t="str"/>
      <x:c r="O24" s="81" t="str"/>
      <x:c r="P24" s="81" t="str"/>
      <x:c r="Q24" s="81" t="str"/>
      <x:c r="R24" s="81" t="str"/>
      <x:c r="S24" s="82" t="str"/>
      <x:c r="T24" s="82" t="str"/>
      <x:c r="U24" s="82" t="str"/>
      <x:c r="V24" s="82" t="str"/>
      <x:c r="W24" s="82" t="str"/>
      <x:c r="X24" s="82" t="str"/>
      <x:c r="Y24" s="82" t="str"/>
      <x:c r="Z24" s="82" t="str"/>
      <x:c r="AA24" s="82" t="str"/>
      <x:c r="AB24" s="82" t="str"/>
      <x:c r="AC24" s="82" t="str"/>
      <x:c r="AD24" s="82" t="str"/>
      <x:c r="AE24" s="82" t="str"/>
      <x:c r="AF24" s="82" t="str"/>
      <x:c r="AG24" s="82" t="str"/>
      <x:c r="AH24" s="82" t="str"/>
      <x:c r="AI24" s="81" t="str"/>
      <x:c r="AJ24" s="81" t="str"/>
      <x:c r="AK24" s="81" t="str">
        <x:f>IF($E24="","",IF(AND($M24="yes",OR($N24="yes",$N24="review"),OR($O24="yes",$O24="review"),$P24="fit",OR($Q24="unique",$Q24="alias_review"),$R24&lt;&gt;"context_only"),"pass","review/block"))</x:f>
      </x:c>
      <x:c r="AL24" s="81" t="str">
        <x:f>IF($E24="","",IF($AK24="pass","eligible",IF(OR($M24="no",$O24="no",$P24="too_macro",$P24="too_micro",$P24="context_only",$Q24="duplicate_confirmed",$R24="context_only"),"not_eligible","review")))</x:f>
      </x:c>
      <x:c r="AM24" s="81" t="str">
        <x:f>IF($E24="","",IF($C24=0,"reentry_required",IF($C24&lt;=8,"non_competitive_inclusion","competitive_selection")))</x:f>
      </x:c>
      <x:c r="AN24" s="82" t="str">
        <x:f>IF($E24="","",AVERAGE($U24:$X24))</x:f>
      </x:c>
      <x:c r="AO24" s="82" t="str">
        <x:f>IF($E24="","",AVERAGE($S24:$T24))</x:f>
      </x:c>
      <x:c r="AP24" s="82" t="str">
        <x:f>IF($E24="","",($AF24*0.08)+($AG24*0.08)+($AH24*0.10))</x:f>
      </x:c>
      <x:c r="AQ24" s="82" t="str">
        <x:f>IF($E24="","",MAX(0,($AN24*0.30)+($Y24*0.20)+($Z24*0.15)+($AA24*0.15)+($AB24*0.10)+($AC24*0.10)+($AE24*0.05)-$AP24))</x:f>
      </x:c>
      <x:c r="AR24" s="81" t="str">
        <x:f>IF($E24="","",IF($AM24="competitive_selection",RANK.EQ($AQ24,$AQ$2:$AQ$201,0),""))</x:f>
      </x:c>
      <x:c r="AS24" s="81" t="str">
        <x:f>IF($E24="","",IF(AND($AM24="non_competitive_inclusion",$AL24="eligible"),"selected",""))</x:f>
      </x:c>
      <x:c r="AT24" s="81" t="str">
        <x:f>IF($E24="","",IF($AM24&lt;&gt;"competitive_selection","",IF(AND($AL24="eligible",$AR24&lt;=8),"selected","context/backlog")))</x:f>
      </x:c>
      <x:c r="AU24" s="81" t="str">
        <x:f>IF($E24="","",IF($AM24="reentry_required","not_selected_reentry",IF($AS24="selected","selected_for_runtime",IF($AT24="selected","selected_for_runtime",IF($AL24="review","manual_review","context_or_not_selected")))))</x:f>
      </x:c>
      <x:c r="AV24" s="81" t="str">
        <x:f>IF($E24="","",IF($AU24="selected_for_runtime",IF($AM24="competitive_selection",$AR24,COUNTIF($AU$2:AU24,"selected_for_runtime")),""))</x:f>
      </x:c>
      <x:c r="AW24" s="81" t="str">
        <x:f>IF($E24="","",IF($AU24="selected_for_runtime",IF($AD24&gt;=2,"base_40_plus_uncertainty_probes",IF($AE24&gt;=2,"base_40_plus_exploratory_probes","base_40_standard")),"no_runtime"))</x:f>
      </x:c>
      <x:c r="AX24" s="81" t="str">
        <x:f>IF($E24="","",IF($AU24&lt;&gt;"selected_for_runtime","none",IF($AE24&gt;=2,"exploratoria",IF($AQ24&gt;=2.2,"alta",IF($AQ24&gt;=1.2,"media","baja")))))</x:f>
      </x:c>
      <x:c r="AY24" s="81" t="str">
        <x:f>IF($E24="","",IF($AJ24=TRUE,"context_with_coverage_gap",IF($AI24="review","context_requires_confirmation","context_ready")))</x:f>
      </x:c>
      <x:c r="AZ24" s="81" t="str">
        <x:f>IF($E24="","",IF($AU24&lt;&gt;"selected_for_runtime","no",IF(OR($AY24="context_with_coverage_gap",$AX24="exploratoria"),"ready_with_flags","ready")))</x:f>
      </x:c>
      <x:c r="BA24" s="81" t="str"/>
      <x:c r="BB24" s="81" t="str"/>
      <x:c r="BC24" s="81" t="str"/>
      <x:c r="BD24" s="81" t="str"/>
      <x:c r="BE24" s="81" t="str"/>
    </x:row>
    <x:row r="25">
      <x:c r="A25" s="81" t="str"/>
      <x:c r="B25" s="81" t="str"/>
      <x:c r="C25" s="81" t="str"/>
      <x:c r="D25" s="81" t="str"/>
      <x:c r="E25" s="81" t="str"/>
      <x:c r="F25" s="81" t="str"/>
      <x:c r="G25" s="81" t="str"/>
      <x:c r="H25" s="81" t="str"/>
      <x:c r="I25" s="81" t="str"/>
      <x:c r="J25" s="81" t="str"/>
      <x:c r="K25" s="81" t="str"/>
      <x:c r="L25" s="81" t="str"/>
      <x:c r="M25" s="81" t="str"/>
      <x:c r="N25" s="81" t="str"/>
      <x:c r="O25" s="81" t="str"/>
      <x:c r="P25" s="81" t="str"/>
      <x:c r="Q25" s="81" t="str"/>
      <x:c r="R25" s="81" t="str"/>
      <x:c r="S25" s="82" t="str"/>
      <x:c r="T25" s="82" t="str"/>
      <x:c r="U25" s="82" t="str"/>
      <x:c r="V25" s="82" t="str"/>
      <x:c r="W25" s="82" t="str"/>
      <x:c r="X25" s="82" t="str"/>
      <x:c r="Y25" s="82" t="str"/>
      <x:c r="Z25" s="82" t="str"/>
      <x:c r="AA25" s="82" t="str"/>
      <x:c r="AB25" s="82" t="str"/>
      <x:c r="AC25" s="82" t="str"/>
      <x:c r="AD25" s="82" t="str"/>
      <x:c r="AE25" s="82" t="str"/>
      <x:c r="AF25" s="82" t="str"/>
      <x:c r="AG25" s="82" t="str"/>
      <x:c r="AH25" s="82" t="str"/>
      <x:c r="AI25" s="81" t="str"/>
      <x:c r="AJ25" s="81" t="str"/>
      <x:c r="AK25" s="81" t="str">
        <x:f>IF($E25="","",IF(AND($M25="yes",OR($N25="yes",$N25="review"),OR($O25="yes",$O25="review"),$P25="fit",OR($Q25="unique",$Q25="alias_review"),$R25&lt;&gt;"context_only"),"pass","review/block"))</x:f>
      </x:c>
      <x:c r="AL25" s="81" t="str">
        <x:f>IF($E25="","",IF($AK25="pass","eligible",IF(OR($M25="no",$O25="no",$P25="too_macro",$P25="too_micro",$P25="context_only",$Q25="duplicate_confirmed",$R25="context_only"),"not_eligible","review")))</x:f>
      </x:c>
      <x:c r="AM25" s="81" t="str">
        <x:f>IF($E25="","",IF($C25=0,"reentry_required",IF($C25&lt;=8,"non_competitive_inclusion","competitive_selection")))</x:f>
      </x:c>
      <x:c r="AN25" s="82" t="str">
        <x:f>IF($E25="","",AVERAGE($U25:$X25))</x:f>
      </x:c>
      <x:c r="AO25" s="82" t="str">
        <x:f>IF($E25="","",AVERAGE($S25:$T25))</x:f>
      </x:c>
      <x:c r="AP25" s="82" t="str">
        <x:f>IF($E25="","",($AF25*0.08)+($AG25*0.08)+($AH25*0.10))</x:f>
      </x:c>
      <x:c r="AQ25" s="82" t="str">
        <x:f>IF($E25="","",MAX(0,($AN25*0.30)+($Y25*0.20)+($Z25*0.15)+($AA25*0.15)+($AB25*0.10)+($AC25*0.10)+($AE25*0.05)-$AP25))</x:f>
      </x:c>
      <x:c r="AR25" s="81" t="str">
        <x:f>IF($E25="","",IF($AM25="competitive_selection",RANK.EQ($AQ25,$AQ$2:$AQ$201,0),""))</x:f>
      </x:c>
      <x:c r="AS25" s="81" t="str">
        <x:f>IF($E25="","",IF(AND($AM25="non_competitive_inclusion",$AL25="eligible"),"selected",""))</x:f>
      </x:c>
      <x:c r="AT25" s="81" t="str">
        <x:f>IF($E25="","",IF($AM25&lt;&gt;"competitive_selection","",IF(AND($AL25="eligible",$AR25&lt;=8),"selected","context/backlog")))</x:f>
      </x:c>
      <x:c r="AU25" s="81" t="str">
        <x:f>IF($E25="","",IF($AM25="reentry_required","not_selected_reentry",IF($AS25="selected","selected_for_runtime",IF($AT25="selected","selected_for_runtime",IF($AL25="review","manual_review","context_or_not_selected")))))</x:f>
      </x:c>
      <x:c r="AV25" s="81" t="str">
        <x:f>IF($E25="","",IF($AU25="selected_for_runtime",IF($AM25="competitive_selection",$AR25,COUNTIF($AU$2:AU25,"selected_for_runtime")),""))</x:f>
      </x:c>
      <x:c r="AW25" s="81" t="str">
        <x:f>IF($E25="","",IF($AU25="selected_for_runtime",IF($AD25&gt;=2,"base_40_plus_uncertainty_probes",IF($AE25&gt;=2,"base_40_plus_exploratory_probes","base_40_standard")),"no_runtime"))</x:f>
      </x:c>
      <x:c r="AX25" s="81" t="str">
        <x:f>IF($E25="","",IF($AU25&lt;&gt;"selected_for_runtime","none",IF($AE25&gt;=2,"exploratoria",IF($AQ25&gt;=2.2,"alta",IF($AQ25&gt;=1.2,"media","baja")))))</x:f>
      </x:c>
      <x:c r="AY25" s="81" t="str">
        <x:f>IF($E25="","",IF($AJ25=TRUE,"context_with_coverage_gap",IF($AI25="review","context_requires_confirmation","context_ready")))</x:f>
      </x:c>
      <x:c r="AZ25" s="81" t="str">
        <x:f>IF($E25="","",IF($AU25&lt;&gt;"selected_for_runtime","no",IF(OR($AY25="context_with_coverage_gap",$AX25="exploratoria"),"ready_with_flags","ready")))</x:f>
      </x:c>
      <x:c r="BA25" s="81" t="str"/>
      <x:c r="BB25" s="81" t="str"/>
      <x:c r="BC25" s="81" t="str"/>
      <x:c r="BD25" s="81" t="str"/>
      <x:c r="BE25" s="81" t="str"/>
    </x:row>
    <x:row r="26">
      <x:c r="A26" s="81" t="str"/>
      <x:c r="B26" s="81" t="str"/>
      <x:c r="C26" s="81" t="str"/>
      <x:c r="D26" s="81" t="str"/>
      <x:c r="E26" s="81" t="str"/>
      <x:c r="F26" s="81" t="str"/>
      <x:c r="G26" s="81" t="str"/>
      <x:c r="H26" s="81" t="str"/>
      <x:c r="I26" s="81" t="str"/>
      <x:c r="J26" s="81" t="str"/>
      <x:c r="K26" s="81" t="str"/>
      <x:c r="L26" s="81" t="str"/>
      <x:c r="M26" s="81" t="str"/>
      <x:c r="N26" s="81" t="str"/>
      <x:c r="O26" s="81" t="str"/>
      <x:c r="P26" s="81" t="str"/>
      <x:c r="Q26" s="81" t="str"/>
      <x:c r="R26" s="81" t="str"/>
      <x:c r="S26" s="82" t="str"/>
      <x:c r="T26" s="82" t="str"/>
      <x:c r="U26" s="82" t="str"/>
      <x:c r="V26" s="82" t="str"/>
      <x:c r="W26" s="82" t="str"/>
      <x:c r="X26" s="82" t="str"/>
      <x:c r="Y26" s="82" t="str"/>
      <x:c r="Z26" s="82" t="str"/>
      <x:c r="AA26" s="82" t="str"/>
      <x:c r="AB26" s="82" t="str"/>
      <x:c r="AC26" s="82" t="str"/>
      <x:c r="AD26" s="82" t="str"/>
      <x:c r="AE26" s="82" t="str"/>
      <x:c r="AF26" s="82" t="str"/>
      <x:c r="AG26" s="82" t="str"/>
      <x:c r="AH26" s="82" t="str"/>
      <x:c r="AI26" s="81" t="str"/>
      <x:c r="AJ26" s="81" t="str"/>
      <x:c r="AK26" s="81" t="str">
        <x:f>IF($E26="","",IF(AND($M26="yes",OR($N26="yes",$N26="review"),OR($O26="yes",$O26="review"),$P26="fit",OR($Q26="unique",$Q26="alias_review"),$R26&lt;&gt;"context_only"),"pass","review/block"))</x:f>
      </x:c>
      <x:c r="AL26" s="81" t="str">
        <x:f>IF($E26="","",IF($AK26="pass","eligible",IF(OR($M26="no",$O26="no",$P26="too_macro",$P26="too_micro",$P26="context_only",$Q26="duplicate_confirmed",$R26="context_only"),"not_eligible","review")))</x:f>
      </x:c>
      <x:c r="AM26" s="81" t="str">
        <x:f>IF($E26="","",IF($C26=0,"reentry_required",IF($C26&lt;=8,"non_competitive_inclusion","competitive_selection")))</x:f>
      </x:c>
      <x:c r="AN26" s="82" t="str">
        <x:f>IF($E26="","",AVERAGE($U26:$X26))</x:f>
      </x:c>
      <x:c r="AO26" s="82" t="str">
        <x:f>IF($E26="","",AVERAGE($S26:$T26))</x:f>
      </x:c>
      <x:c r="AP26" s="82" t="str">
        <x:f>IF($E26="","",($AF26*0.08)+($AG26*0.08)+($AH26*0.10))</x:f>
      </x:c>
      <x:c r="AQ26" s="82" t="str">
        <x:f>IF($E26="","",MAX(0,($AN26*0.30)+($Y26*0.20)+($Z26*0.15)+($AA26*0.15)+($AB26*0.10)+($AC26*0.10)+($AE26*0.05)-$AP26))</x:f>
      </x:c>
      <x:c r="AR26" s="81" t="str">
        <x:f>IF($E26="","",IF($AM26="competitive_selection",RANK.EQ($AQ26,$AQ$2:$AQ$201,0),""))</x:f>
      </x:c>
      <x:c r="AS26" s="81" t="str">
        <x:f>IF($E26="","",IF(AND($AM26="non_competitive_inclusion",$AL26="eligible"),"selected",""))</x:f>
      </x:c>
      <x:c r="AT26" s="81" t="str">
        <x:f>IF($E26="","",IF($AM26&lt;&gt;"competitive_selection","",IF(AND($AL26="eligible",$AR26&lt;=8),"selected","context/backlog")))</x:f>
      </x:c>
      <x:c r="AU26" s="81" t="str">
        <x:f>IF($E26="","",IF($AM26="reentry_required","not_selected_reentry",IF($AS26="selected","selected_for_runtime",IF($AT26="selected","selected_for_runtime",IF($AL26="review","manual_review","context_or_not_selected")))))</x:f>
      </x:c>
      <x:c r="AV26" s="81" t="str">
        <x:f>IF($E26="","",IF($AU26="selected_for_runtime",IF($AM26="competitive_selection",$AR26,COUNTIF($AU$2:AU26,"selected_for_runtime")),""))</x:f>
      </x:c>
      <x:c r="AW26" s="81" t="str">
        <x:f>IF($E26="","",IF($AU26="selected_for_runtime",IF($AD26&gt;=2,"base_40_plus_uncertainty_probes",IF($AE26&gt;=2,"base_40_plus_exploratory_probes","base_40_standard")),"no_runtime"))</x:f>
      </x:c>
      <x:c r="AX26" s="81" t="str">
        <x:f>IF($E26="","",IF($AU26&lt;&gt;"selected_for_runtime","none",IF($AE26&gt;=2,"exploratoria",IF($AQ26&gt;=2.2,"alta",IF($AQ26&gt;=1.2,"media","baja")))))</x:f>
      </x:c>
      <x:c r="AY26" s="81" t="str">
        <x:f>IF($E26="","",IF($AJ26=TRUE,"context_with_coverage_gap",IF($AI26="review","context_requires_confirmation","context_ready")))</x:f>
      </x:c>
      <x:c r="AZ26" s="81" t="str">
        <x:f>IF($E26="","",IF($AU26&lt;&gt;"selected_for_runtime","no",IF(OR($AY26="context_with_coverage_gap",$AX26="exploratoria"),"ready_with_flags","ready")))</x:f>
      </x:c>
      <x:c r="BA26" s="81" t="str"/>
      <x:c r="BB26" s="81" t="str"/>
      <x:c r="BC26" s="81" t="str"/>
      <x:c r="BD26" s="81" t="str"/>
      <x:c r="BE26" s="81" t="str"/>
    </x:row>
    <x:row r="27">
      <x:c r="A27" s="81" t="str"/>
      <x:c r="B27" s="81" t="str"/>
      <x:c r="C27" s="81" t="str"/>
      <x:c r="D27" s="81" t="str"/>
      <x:c r="E27" s="81" t="str"/>
      <x:c r="F27" s="81" t="str"/>
      <x:c r="G27" s="81" t="str"/>
      <x:c r="H27" s="81" t="str"/>
      <x:c r="I27" s="81" t="str"/>
      <x:c r="J27" s="81" t="str"/>
      <x:c r="K27" s="81" t="str"/>
      <x:c r="L27" s="81" t="str"/>
      <x:c r="M27" s="81" t="str"/>
      <x:c r="N27" s="81" t="str"/>
      <x:c r="O27" s="81" t="str"/>
      <x:c r="P27" s="81" t="str"/>
      <x:c r="Q27" s="81" t="str"/>
      <x:c r="R27" s="81" t="str"/>
      <x:c r="S27" s="82" t="str"/>
      <x:c r="T27" s="82" t="str"/>
      <x:c r="U27" s="82" t="str"/>
      <x:c r="V27" s="82" t="str"/>
      <x:c r="W27" s="82" t="str"/>
      <x:c r="X27" s="82" t="str"/>
      <x:c r="Y27" s="82" t="str"/>
      <x:c r="Z27" s="82" t="str"/>
      <x:c r="AA27" s="82" t="str"/>
      <x:c r="AB27" s="82" t="str"/>
      <x:c r="AC27" s="82" t="str"/>
      <x:c r="AD27" s="82" t="str"/>
      <x:c r="AE27" s="82" t="str"/>
      <x:c r="AF27" s="82" t="str"/>
      <x:c r="AG27" s="82" t="str"/>
      <x:c r="AH27" s="82" t="str"/>
      <x:c r="AI27" s="81" t="str"/>
      <x:c r="AJ27" s="81" t="str"/>
      <x:c r="AK27" s="81" t="str">
        <x:f>IF($E27="","",IF(AND($M27="yes",OR($N27="yes",$N27="review"),OR($O27="yes",$O27="review"),$P27="fit",OR($Q27="unique",$Q27="alias_review"),$R27&lt;&gt;"context_only"),"pass","review/block"))</x:f>
      </x:c>
      <x:c r="AL27" s="81" t="str">
        <x:f>IF($E27="","",IF($AK27="pass","eligible",IF(OR($M27="no",$O27="no",$P27="too_macro",$P27="too_micro",$P27="context_only",$Q27="duplicate_confirmed",$R27="context_only"),"not_eligible","review")))</x:f>
      </x:c>
      <x:c r="AM27" s="81" t="str">
        <x:f>IF($E27="","",IF($C27=0,"reentry_required",IF($C27&lt;=8,"non_competitive_inclusion","competitive_selection")))</x:f>
      </x:c>
      <x:c r="AN27" s="82" t="str">
        <x:f>IF($E27="","",AVERAGE($U27:$X27))</x:f>
      </x:c>
      <x:c r="AO27" s="82" t="str">
        <x:f>IF($E27="","",AVERAGE($S27:$T27))</x:f>
      </x:c>
      <x:c r="AP27" s="82" t="str">
        <x:f>IF($E27="","",($AF27*0.08)+($AG27*0.08)+($AH27*0.10))</x:f>
      </x:c>
      <x:c r="AQ27" s="82" t="str">
        <x:f>IF($E27="","",MAX(0,($AN27*0.30)+($Y27*0.20)+($Z27*0.15)+($AA27*0.15)+($AB27*0.10)+($AC27*0.10)+($AE27*0.05)-$AP27))</x:f>
      </x:c>
      <x:c r="AR27" s="81" t="str">
        <x:f>IF($E27="","",IF($AM27="competitive_selection",RANK.EQ($AQ27,$AQ$2:$AQ$201,0),""))</x:f>
      </x:c>
      <x:c r="AS27" s="81" t="str">
        <x:f>IF($E27="","",IF(AND($AM27="non_competitive_inclusion",$AL27="eligible"),"selected",""))</x:f>
      </x:c>
      <x:c r="AT27" s="81" t="str">
        <x:f>IF($E27="","",IF($AM27&lt;&gt;"competitive_selection","",IF(AND($AL27="eligible",$AR27&lt;=8),"selected","context/backlog")))</x:f>
      </x:c>
      <x:c r="AU27" s="81" t="str">
        <x:f>IF($E27="","",IF($AM27="reentry_required","not_selected_reentry",IF($AS27="selected","selected_for_runtime",IF($AT27="selected","selected_for_runtime",IF($AL27="review","manual_review","context_or_not_selected")))))</x:f>
      </x:c>
      <x:c r="AV27" s="81" t="str">
        <x:f>IF($E27="","",IF($AU27="selected_for_runtime",IF($AM27="competitive_selection",$AR27,COUNTIF($AU$2:AU27,"selected_for_runtime")),""))</x:f>
      </x:c>
      <x:c r="AW27" s="81" t="str">
        <x:f>IF($E27="","",IF($AU27="selected_for_runtime",IF($AD27&gt;=2,"base_40_plus_uncertainty_probes",IF($AE27&gt;=2,"base_40_plus_exploratory_probes","base_40_standard")),"no_runtime"))</x:f>
      </x:c>
      <x:c r="AX27" s="81" t="str">
        <x:f>IF($E27="","",IF($AU27&lt;&gt;"selected_for_runtime","none",IF($AE27&gt;=2,"exploratoria",IF($AQ27&gt;=2.2,"alta",IF($AQ27&gt;=1.2,"media","baja")))))</x:f>
      </x:c>
      <x:c r="AY27" s="81" t="str">
        <x:f>IF($E27="","",IF($AJ27=TRUE,"context_with_coverage_gap",IF($AI27="review","context_requires_confirmation","context_ready")))</x:f>
      </x:c>
      <x:c r="AZ27" s="81" t="str">
        <x:f>IF($E27="","",IF($AU27&lt;&gt;"selected_for_runtime","no",IF(OR($AY27="context_with_coverage_gap",$AX27="exploratoria"),"ready_with_flags","ready")))</x:f>
      </x:c>
      <x:c r="BA27" s="81" t="str"/>
      <x:c r="BB27" s="81" t="str"/>
      <x:c r="BC27" s="81" t="str"/>
      <x:c r="BD27" s="81" t="str"/>
      <x:c r="BE27" s="81" t="str"/>
    </x:row>
    <x:row r="28">
      <x:c r="A28" s="81" t="str"/>
      <x:c r="B28" s="81" t="str"/>
      <x:c r="C28" s="81" t="str"/>
      <x:c r="D28" s="81" t="str"/>
      <x:c r="E28" s="81" t="str"/>
      <x:c r="F28" s="81" t="str"/>
      <x:c r="G28" s="81" t="str"/>
      <x:c r="H28" s="81" t="str"/>
      <x:c r="I28" s="81" t="str"/>
      <x:c r="J28" s="81" t="str"/>
      <x:c r="K28" s="81" t="str"/>
      <x:c r="L28" s="81" t="str"/>
      <x:c r="M28" s="81" t="str"/>
      <x:c r="N28" s="81" t="str"/>
      <x:c r="O28" s="81" t="str"/>
      <x:c r="P28" s="81" t="str"/>
      <x:c r="Q28" s="81" t="str"/>
      <x:c r="R28" s="81" t="str"/>
      <x:c r="S28" s="82" t="str"/>
      <x:c r="T28" s="82" t="str"/>
      <x:c r="U28" s="82" t="str"/>
      <x:c r="V28" s="82" t="str"/>
      <x:c r="W28" s="82" t="str"/>
      <x:c r="X28" s="82" t="str"/>
      <x:c r="Y28" s="82" t="str"/>
      <x:c r="Z28" s="82" t="str"/>
      <x:c r="AA28" s="82" t="str"/>
      <x:c r="AB28" s="82" t="str"/>
      <x:c r="AC28" s="82" t="str"/>
      <x:c r="AD28" s="82" t="str"/>
      <x:c r="AE28" s="82" t="str"/>
      <x:c r="AF28" s="82" t="str"/>
      <x:c r="AG28" s="82" t="str"/>
      <x:c r="AH28" s="82" t="str"/>
      <x:c r="AI28" s="81" t="str"/>
      <x:c r="AJ28" s="81" t="str"/>
      <x:c r="AK28" s="81" t="str">
        <x:f>IF($E28="","",IF(AND($M28="yes",OR($N28="yes",$N28="review"),OR($O28="yes",$O28="review"),$P28="fit",OR($Q28="unique",$Q28="alias_review"),$R28&lt;&gt;"context_only"),"pass","review/block"))</x:f>
      </x:c>
      <x:c r="AL28" s="81" t="str">
        <x:f>IF($E28="","",IF($AK28="pass","eligible",IF(OR($M28="no",$O28="no",$P28="too_macro",$P28="too_micro",$P28="context_only",$Q28="duplicate_confirmed",$R28="context_only"),"not_eligible","review")))</x:f>
      </x:c>
      <x:c r="AM28" s="81" t="str">
        <x:f>IF($E28="","",IF($C28=0,"reentry_required",IF($C28&lt;=8,"non_competitive_inclusion","competitive_selection")))</x:f>
      </x:c>
      <x:c r="AN28" s="82" t="str">
        <x:f>IF($E28="","",AVERAGE($U28:$X28))</x:f>
      </x:c>
      <x:c r="AO28" s="82" t="str">
        <x:f>IF($E28="","",AVERAGE($S28:$T28))</x:f>
      </x:c>
      <x:c r="AP28" s="82" t="str">
        <x:f>IF($E28="","",($AF28*0.08)+($AG28*0.08)+($AH28*0.10))</x:f>
      </x:c>
      <x:c r="AQ28" s="82" t="str">
        <x:f>IF($E28="","",MAX(0,($AN28*0.30)+($Y28*0.20)+($Z28*0.15)+($AA28*0.15)+($AB28*0.10)+($AC28*0.10)+($AE28*0.05)-$AP28))</x:f>
      </x:c>
      <x:c r="AR28" s="81" t="str">
        <x:f>IF($E28="","",IF($AM28="competitive_selection",RANK.EQ($AQ28,$AQ$2:$AQ$201,0),""))</x:f>
      </x:c>
      <x:c r="AS28" s="81" t="str">
        <x:f>IF($E28="","",IF(AND($AM28="non_competitive_inclusion",$AL28="eligible"),"selected",""))</x:f>
      </x:c>
      <x:c r="AT28" s="81" t="str">
        <x:f>IF($E28="","",IF($AM28&lt;&gt;"competitive_selection","",IF(AND($AL28="eligible",$AR28&lt;=8),"selected","context/backlog")))</x:f>
      </x:c>
      <x:c r="AU28" s="81" t="str">
        <x:f>IF($E28="","",IF($AM28="reentry_required","not_selected_reentry",IF($AS28="selected","selected_for_runtime",IF($AT28="selected","selected_for_runtime",IF($AL28="review","manual_review","context_or_not_selected")))))</x:f>
      </x:c>
      <x:c r="AV28" s="81" t="str">
        <x:f>IF($E28="","",IF($AU28="selected_for_runtime",IF($AM28="competitive_selection",$AR28,COUNTIF($AU$2:AU28,"selected_for_runtime")),""))</x:f>
      </x:c>
      <x:c r="AW28" s="81" t="str">
        <x:f>IF($E28="","",IF($AU28="selected_for_runtime",IF($AD28&gt;=2,"base_40_plus_uncertainty_probes",IF($AE28&gt;=2,"base_40_plus_exploratory_probes","base_40_standard")),"no_runtime"))</x:f>
      </x:c>
      <x:c r="AX28" s="81" t="str">
        <x:f>IF($E28="","",IF($AU28&lt;&gt;"selected_for_runtime","none",IF($AE28&gt;=2,"exploratoria",IF($AQ28&gt;=2.2,"alta",IF($AQ28&gt;=1.2,"media","baja")))))</x:f>
      </x:c>
      <x:c r="AY28" s="81" t="str">
        <x:f>IF($E28="","",IF($AJ28=TRUE,"context_with_coverage_gap",IF($AI28="review","context_requires_confirmation","context_ready")))</x:f>
      </x:c>
      <x:c r="AZ28" s="81" t="str">
        <x:f>IF($E28="","",IF($AU28&lt;&gt;"selected_for_runtime","no",IF(OR($AY28="context_with_coverage_gap",$AX28="exploratoria"),"ready_with_flags","ready")))</x:f>
      </x:c>
      <x:c r="BA28" s="81" t="str"/>
      <x:c r="BB28" s="81" t="str"/>
      <x:c r="BC28" s="81" t="str"/>
      <x:c r="BD28" s="81" t="str"/>
      <x:c r="BE28" s="81" t="str"/>
    </x:row>
    <x:row r="29">
      <x:c r="A29" s="81" t="str"/>
      <x:c r="B29" s="81" t="str"/>
      <x:c r="C29" s="81" t="str"/>
      <x:c r="D29" s="81" t="str"/>
      <x:c r="E29" s="81" t="str"/>
      <x:c r="F29" s="81" t="str"/>
      <x:c r="G29" s="81" t="str"/>
      <x:c r="H29" s="81" t="str"/>
      <x:c r="I29" s="81" t="str"/>
      <x:c r="J29" s="81" t="str"/>
      <x:c r="K29" s="81" t="str"/>
      <x:c r="L29" s="81" t="str"/>
      <x:c r="M29" s="81" t="str"/>
      <x:c r="N29" s="81" t="str"/>
      <x:c r="O29" s="81" t="str"/>
      <x:c r="P29" s="81" t="str"/>
      <x:c r="Q29" s="81" t="str"/>
      <x:c r="R29" s="81" t="str"/>
      <x:c r="S29" s="82" t="str"/>
      <x:c r="T29" s="82" t="str"/>
      <x:c r="U29" s="82" t="str"/>
      <x:c r="V29" s="82" t="str"/>
      <x:c r="W29" s="82" t="str"/>
      <x:c r="X29" s="82" t="str"/>
      <x:c r="Y29" s="82" t="str"/>
      <x:c r="Z29" s="82" t="str"/>
      <x:c r="AA29" s="82" t="str"/>
      <x:c r="AB29" s="82" t="str"/>
      <x:c r="AC29" s="82" t="str"/>
      <x:c r="AD29" s="82" t="str"/>
      <x:c r="AE29" s="82" t="str"/>
      <x:c r="AF29" s="82" t="str"/>
      <x:c r="AG29" s="82" t="str"/>
      <x:c r="AH29" s="82" t="str"/>
      <x:c r="AI29" s="81" t="str"/>
      <x:c r="AJ29" s="81" t="str"/>
      <x:c r="AK29" s="81" t="str">
        <x:f>IF($E29="","",IF(AND($M29="yes",OR($N29="yes",$N29="review"),OR($O29="yes",$O29="review"),$P29="fit",OR($Q29="unique",$Q29="alias_review"),$R29&lt;&gt;"context_only"),"pass","review/block"))</x:f>
      </x:c>
      <x:c r="AL29" s="81" t="str">
        <x:f>IF($E29="","",IF($AK29="pass","eligible",IF(OR($M29="no",$O29="no",$P29="too_macro",$P29="too_micro",$P29="context_only",$Q29="duplicate_confirmed",$R29="context_only"),"not_eligible","review")))</x:f>
      </x:c>
      <x:c r="AM29" s="81" t="str">
        <x:f>IF($E29="","",IF($C29=0,"reentry_required",IF($C29&lt;=8,"non_competitive_inclusion","competitive_selection")))</x:f>
      </x:c>
      <x:c r="AN29" s="82" t="str">
        <x:f>IF($E29="","",AVERAGE($U29:$X29))</x:f>
      </x:c>
      <x:c r="AO29" s="82" t="str">
        <x:f>IF($E29="","",AVERAGE($S29:$T29))</x:f>
      </x:c>
      <x:c r="AP29" s="82" t="str">
        <x:f>IF($E29="","",($AF29*0.08)+($AG29*0.08)+($AH29*0.10))</x:f>
      </x:c>
      <x:c r="AQ29" s="82" t="str">
        <x:f>IF($E29="","",MAX(0,($AN29*0.30)+($Y29*0.20)+($Z29*0.15)+($AA29*0.15)+($AB29*0.10)+($AC29*0.10)+($AE29*0.05)-$AP29))</x:f>
      </x:c>
      <x:c r="AR29" s="81" t="str">
        <x:f>IF($E29="","",IF($AM29="competitive_selection",RANK.EQ($AQ29,$AQ$2:$AQ$201,0),""))</x:f>
      </x:c>
      <x:c r="AS29" s="81" t="str">
        <x:f>IF($E29="","",IF(AND($AM29="non_competitive_inclusion",$AL29="eligible"),"selected",""))</x:f>
      </x:c>
      <x:c r="AT29" s="81" t="str">
        <x:f>IF($E29="","",IF($AM29&lt;&gt;"competitive_selection","",IF(AND($AL29="eligible",$AR29&lt;=8),"selected","context/backlog")))</x:f>
      </x:c>
      <x:c r="AU29" s="81" t="str">
        <x:f>IF($E29="","",IF($AM29="reentry_required","not_selected_reentry",IF($AS29="selected","selected_for_runtime",IF($AT29="selected","selected_for_runtime",IF($AL29="review","manual_review","context_or_not_selected")))))</x:f>
      </x:c>
      <x:c r="AV29" s="81" t="str">
        <x:f>IF($E29="","",IF($AU29="selected_for_runtime",IF($AM29="competitive_selection",$AR29,COUNTIF($AU$2:AU29,"selected_for_runtime")),""))</x:f>
      </x:c>
      <x:c r="AW29" s="81" t="str">
        <x:f>IF($E29="","",IF($AU29="selected_for_runtime",IF($AD29&gt;=2,"base_40_plus_uncertainty_probes",IF($AE29&gt;=2,"base_40_plus_exploratory_probes","base_40_standard")),"no_runtime"))</x:f>
      </x:c>
      <x:c r="AX29" s="81" t="str">
        <x:f>IF($E29="","",IF($AU29&lt;&gt;"selected_for_runtime","none",IF($AE29&gt;=2,"exploratoria",IF($AQ29&gt;=2.2,"alta",IF($AQ29&gt;=1.2,"media","baja")))))</x:f>
      </x:c>
      <x:c r="AY29" s="81" t="str">
        <x:f>IF($E29="","",IF($AJ29=TRUE,"context_with_coverage_gap",IF($AI29="review","context_requires_confirmation","context_ready")))</x:f>
      </x:c>
      <x:c r="AZ29" s="81" t="str">
        <x:f>IF($E29="","",IF($AU29&lt;&gt;"selected_for_runtime","no",IF(OR($AY29="context_with_coverage_gap",$AX29="exploratoria"),"ready_with_flags","ready")))</x:f>
      </x:c>
      <x:c r="BA29" s="81" t="str"/>
      <x:c r="BB29" s="81" t="str"/>
      <x:c r="BC29" s="81" t="str"/>
      <x:c r="BD29" s="81" t="str"/>
      <x:c r="BE29" s="81" t="str"/>
    </x:row>
    <x:row r="30">
      <x:c r="A30" s="81" t="str"/>
      <x:c r="B30" s="81" t="str"/>
      <x:c r="C30" s="81" t="str"/>
      <x:c r="D30" s="81" t="str"/>
      <x:c r="E30" s="81" t="str"/>
      <x:c r="F30" s="81" t="str"/>
      <x:c r="G30" s="81" t="str"/>
      <x:c r="H30" s="81" t="str"/>
      <x:c r="I30" s="81" t="str"/>
      <x:c r="J30" s="81" t="str"/>
      <x:c r="K30" s="81" t="str"/>
      <x:c r="L30" s="81" t="str"/>
      <x:c r="M30" s="81" t="str"/>
      <x:c r="N30" s="81" t="str"/>
      <x:c r="O30" s="81" t="str"/>
      <x:c r="P30" s="81" t="str"/>
      <x:c r="Q30" s="81" t="str"/>
      <x:c r="R30" s="81" t="str"/>
      <x:c r="S30" s="82" t="str"/>
      <x:c r="T30" s="82" t="str"/>
      <x:c r="U30" s="82" t="str"/>
      <x:c r="V30" s="82" t="str"/>
      <x:c r="W30" s="82" t="str"/>
      <x:c r="X30" s="82" t="str"/>
      <x:c r="Y30" s="82" t="str"/>
      <x:c r="Z30" s="82" t="str"/>
      <x:c r="AA30" s="82" t="str"/>
      <x:c r="AB30" s="82" t="str"/>
      <x:c r="AC30" s="82" t="str"/>
      <x:c r="AD30" s="82" t="str"/>
      <x:c r="AE30" s="82" t="str"/>
      <x:c r="AF30" s="82" t="str"/>
      <x:c r="AG30" s="82" t="str"/>
      <x:c r="AH30" s="82" t="str"/>
      <x:c r="AI30" s="81" t="str"/>
      <x:c r="AJ30" s="81" t="str"/>
      <x:c r="AK30" s="81" t="str">
        <x:f>IF($E30="","",IF(AND($M30="yes",OR($N30="yes",$N30="review"),OR($O30="yes",$O30="review"),$P30="fit",OR($Q30="unique",$Q30="alias_review"),$R30&lt;&gt;"context_only"),"pass","review/block"))</x:f>
      </x:c>
      <x:c r="AL30" s="81" t="str">
        <x:f>IF($E30="","",IF($AK30="pass","eligible",IF(OR($M30="no",$O30="no",$P30="too_macro",$P30="too_micro",$P30="context_only",$Q30="duplicate_confirmed",$R30="context_only"),"not_eligible","review")))</x:f>
      </x:c>
      <x:c r="AM30" s="81" t="str">
        <x:f>IF($E30="","",IF($C30=0,"reentry_required",IF($C30&lt;=8,"non_competitive_inclusion","competitive_selection")))</x:f>
      </x:c>
      <x:c r="AN30" s="82" t="str">
        <x:f>IF($E30="","",AVERAGE($U30:$X30))</x:f>
      </x:c>
      <x:c r="AO30" s="82" t="str">
        <x:f>IF($E30="","",AVERAGE($S30:$T30))</x:f>
      </x:c>
      <x:c r="AP30" s="82" t="str">
        <x:f>IF($E30="","",($AF30*0.08)+($AG30*0.08)+($AH30*0.10))</x:f>
      </x:c>
      <x:c r="AQ30" s="82" t="str">
        <x:f>IF($E30="","",MAX(0,($AN30*0.30)+($Y30*0.20)+($Z30*0.15)+($AA30*0.15)+($AB30*0.10)+($AC30*0.10)+($AE30*0.05)-$AP30))</x:f>
      </x:c>
      <x:c r="AR30" s="81" t="str">
        <x:f>IF($E30="","",IF($AM30="competitive_selection",RANK.EQ($AQ30,$AQ$2:$AQ$201,0),""))</x:f>
      </x:c>
      <x:c r="AS30" s="81" t="str">
        <x:f>IF($E30="","",IF(AND($AM30="non_competitive_inclusion",$AL30="eligible"),"selected",""))</x:f>
      </x:c>
      <x:c r="AT30" s="81" t="str">
        <x:f>IF($E30="","",IF($AM30&lt;&gt;"competitive_selection","",IF(AND($AL30="eligible",$AR30&lt;=8),"selected","context/backlog")))</x:f>
      </x:c>
      <x:c r="AU30" s="81" t="str">
        <x:f>IF($E30="","",IF($AM30="reentry_required","not_selected_reentry",IF($AS30="selected","selected_for_runtime",IF($AT30="selected","selected_for_runtime",IF($AL30="review","manual_review","context_or_not_selected")))))</x:f>
      </x:c>
      <x:c r="AV30" s="81" t="str">
        <x:f>IF($E30="","",IF($AU30="selected_for_runtime",IF($AM30="competitive_selection",$AR30,COUNTIF($AU$2:AU30,"selected_for_runtime")),""))</x:f>
      </x:c>
      <x:c r="AW30" s="81" t="str">
        <x:f>IF($E30="","",IF($AU30="selected_for_runtime",IF($AD30&gt;=2,"base_40_plus_uncertainty_probes",IF($AE30&gt;=2,"base_40_plus_exploratory_probes","base_40_standard")),"no_runtime"))</x:f>
      </x:c>
      <x:c r="AX30" s="81" t="str">
        <x:f>IF($E30="","",IF($AU30&lt;&gt;"selected_for_runtime","none",IF($AE30&gt;=2,"exploratoria",IF($AQ30&gt;=2.2,"alta",IF($AQ30&gt;=1.2,"media","baja")))))</x:f>
      </x:c>
      <x:c r="AY30" s="81" t="str">
        <x:f>IF($E30="","",IF($AJ30=TRUE,"context_with_coverage_gap",IF($AI30="review","context_requires_confirmation","context_ready")))</x:f>
      </x:c>
      <x:c r="AZ30" s="81" t="str">
        <x:f>IF($E30="","",IF($AU30&lt;&gt;"selected_for_runtime","no",IF(OR($AY30="context_with_coverage_gap",$AX30="exploratoria"),"ready_with_flags","ready")))</x:f>
      </x:c>
      <x:c r="BA30" s="81" t="str"/>
      <x:c r="BB30" s="81" t="str"/>
      <x:c r="BC30" s="81" t="str"/>
      <x:c r="BD30" s="81" t="str"/>
      <x:c r="BE30" s="81" t="str"/>
    </x:row>
    <x:row r="31">
      <x:c r="A31" s="81" t="str"/>
      <x:c r="B31" s="81" t="str"/>
      <x:c r="C31" s="81" t="str"/>
      <x:c r="D31" s="81" t="str"/>
      <x:c r="E31" s="81" t="str"/>
      <x:c r="F31" s="81" t="str"/>
      <x:c r="G31" s="81" t="str"/>
      <x:c r="H31" s="81" t="str"/>
      <x:c r="I31" s="81" t="str"/>
      <x:c r="J31" s="81" t="str"/>
      <x:c r="K31" s="81" t="str"/>
      <x:c r="L31" s="81" t="str"/>
      <x:c r="M31" s="81" t="str"/>
      <x:c r="N31" s="81" t="str"/>
      <x:c r="O31" s="81" t="str"/>
      <x:c r="P31" s="81" t="str"/>
      <x:c r="Q31" s="81" t="str"/>
      <x:c r="R31" s="81" t="str"/>
      <x:c r="S31" s="82" t="str"/>
      <x:c r="T31" s="82" t="str"/>
      <x:c r="U31" s="82" t="str"/>
      <x:c r="V31" s="82" t="str"/>
      <x:c r="W31" s="82" t="str"/>
      <x:c r="X31" s="82" t="str"/>
      <x:c r="Y31" s="82" t="str"/>
      <x:c r="Z31" s="82" t="str"/>
      <x:c r="AA31" s="82" t="str"/>
      <x:c r="AB31" s="82" t="str"/>
      <x:c r="AC31" s="82" t="str"/>
      <x:c r="AD31" s="82" t="str"/>
      <x:c r="AE31" s="82" t="str"/>
      <x:c r="AF31" s="82" t="str"/>
      <x:c r="AG31" s="82" t="str"/>
      <x:c r="AH31" s="82" t="str"/>
      <x:c r="AI31" s="81" t="str"/>
      <x:c r="AJ31" s="81" t="str"/>
      <x:c r="AK31" s="81" t="str">
        <x:f>IF($E31="","",IF(AND($M31="yes",OR($N31="yes",$N31="review"),OR($O31="yes",$O31="review"),$P31="fit",OR($Q31="unique",$Q31="alias_review"),$R31&lt;&gt;"context_only"),"pass","review/block"))</x:f>
      </x:c>
      <x:c r="AL31" s="81" t="str">
        <x:f>IF($E31="","",IF($AK31="pass","eligible",IF(OR($M31="no",$O31="no",$P31="too_macro",$P31="too_micro",$P31="context_only",$Q31="duplicate_confirmed",$R31="context_only"),"not_eligible","review")))</x:f>
      </x:c>
      <x:c r="AM31" s="81" t="str">
        <x:f>IF($E31="","",IF($C31=0,"reentry_required",IF($C31&lt;=8,"non_competitive_inclusion","competitive_selection")))</x:f>
      </x:c>
      <x:c r="AN31" s="82" t="str">
        <x:f>IF($E31="","",AVERAGE($U31:$X31))</x:f>
      </x:c>
      <x:c r="AO31" s="82" t="str">
        <x:f>IF($E31="","",AVERAGE($S31:$T31))</x:f>
      </x:c>
      <x:c r="AP31" s="82" t="str">
        <x:f>IF($E31="","",($AF31*0.08)+($AG31*0.08)+($AH31*0.10))</x:f>
      </x:c>
      <x:c r="AQ31" s="82" t="str">
        <x:f>IF($E31="","",MAX(0,($AN31*0.30)+($Y31*0.20)+($Z31*0.15)+($AA31*0.15)+($AB31*0.10)+($AC31*0.10)+($AE31*0.05)-$AP31))</x:f>
      </x:c>
      <x:c r="AR31" s="81" t="str">
        <x:f>IF($E31="","",IF($AM31="competitive_selection",RANK.EQ($AQ31,$AQ$2:$AQ$201,0),""))</x:f>
      </x:c>
      <x:c r="AS31" s="81" t="str">
        <x:f>IF($E31="","",IF(AND($AM31="non_competitive_inclusion",$AL31="eligible"),"selected",""))</x:f>
      </x:c>
      <x:c r="AT31" s="81" t="str">
        <x:f>IF($E31="","",IF($AM31&lt;&gt;"competitive_selection","",IF(AND($AL31="eligible",$AR31&lt;=8),"selected","context/backlog")))</x:f>
      </x:c>
      <x:c r="AU31" s="81" t="str">
        <x:f>IF($E31="","",IF($AM31="reentry_required","not_selected_reentry",IF($AS31="selected","selected_for_runtime",IF($AT31="selected","selected_for_runtime",IF($AL31="review","manual_review","context_or_not_selected")))))</x:f>
      </x:c>
      <x:c r="AV31" s="81" t="str">
        <x:f>IF($E31="","",IF($AU31="selected_for_runtime",IF($AM31="competitive_selection",$AR31,COUNTIF($AU$2:AU31,"selected_for_runtime")),""))</x:f>
      </x:c>
      <x:c r="AW31" s="81" t="str">
        <x:f>IF($E31="","",IF($AU31="selected_for_runtime",IF($AD31&gt;=2,"base_40_plus_uncertainty_probes",IF($AE31&gt;=2,"base_40_plus_exploratory_probes","base_40_standard")),"no_runtime"))</x:f>
      </x:c>
      <x:c r="AX31" s="81" t="str">
        <x:f>IF($E31="","",IF($AU31&lt;&gt;"selected_for_runtime","none",IF($AE31&gt;=2,"exploratoria",IF($AQ31&gt;=2.2,"alta",IF($AQ31&gt;=1.2,"media","baja")))))</x:f>
      </x:c>
      <x:c r="AY31" s="81" t="str">
        <x:f>IF($E31="","",IF($AJ31=TRUE,"context_with_coverage_gap",IF($AI31="review","context_requires_confirmation","context_ready")))</x:f>
      </x:c>
      <x:c r="AZ31" s="81" t="str">
        <x:f>IF($E31="","",IF($AU31&lt;&gt;"selected_for_runtime","no",IF(OR($AY31="context_with_coverage_gap",$AX31="exploratoria"),"ready_with_flags","ready")))</x:f>
      </x:c>
      <x:c r="BA31" s="81" t="str"/>
      <x:c r="BB31" s="81" t="str"/>
      <x:c r="BC31" s="81" t="str"/>
      <x:c r="BD31" s="81" t="str"/>
      <x:c r="BE31" s="81" t="str"/>
    </x:row>
    <x:row r="32">
      <x:c r="A32" s="81" t="str"/>
      <x:c r="B32" s="81" t="str"/>
      <x:c r="C32" s="81" t="str"/>
      <x:c r="D32" s="81" t="str"/>
      <x:c r="E32" s="81" t="str"/>
      <x:c r="F32" s="81" t="str"/>
      <x:c r="G32" s="81" t="str"/>
      <x:c r="H32" s="81" t="str"/>
      <x:c r="I32" s="81" t="str"/>
      <x:c r="J32" s="81" t="str"/>
      <x:c r="K32" s="81" t="str"/>
      <x:c r="L32" s="81" t="str"/>
      <x:c r="M32" s="81" t="str"/>
      <x:c r="N32" s="81" t="str"/>
      <x:c r="O32" s="81" t="str"/>
      <x:c r="P32" s="81" t="str"/>
      <x:c r="Q32" s="81" t="str"/>
      <x:c r="R32" s="81" t="str"/>
      <x:c r="S32" s="82" t="str"/>
      <x:c r="T32" s="82" t="str"/>
      <x:c r="U32" s="82" t="str"/>
      <x:c r="V32" s="82" t="str"/>
      <x:c r="W32" s="82" t="str"/>
      <x:c r="X32" s="82" t="str"/>
      <x:c r="Y32" s="82" t="str"/>
      <x:c r="Z32" s="82" t="str"/>
      <x:c r="AA32" s="82" t="str"/>
      <x:c r="AB32" s="82" t="str"/>
      <x:c r="AC32" s="82" t="str"/>
      <x:c r="AD32" s="82" t="str"/>
      <x:c r="AE32" s="82" t="str"/>
      <x:c r="AF32" s="82" t="str"/>
      <x:c r="AG32" s="82" t="str"/>
      <x:c r="AH32" s="82" t="str"/>
      <x:c r="AI32" s="81" t="str"/>
      <x:c r="AJ32" s="81" t="str"/>
      <x:c r="AK32" s="81" t="str">
        <x:f>IF($E32="","",IF(AND($M32="yes",OR($N32="yes",$N32="review"),OR($O32="yes",$O32="review"),$P32="fit",OR($Q32="unique",$Q32="alias_review"),$R32&lt;&gt;"context_only"),"pass","review/block"))</x:f>
      </x:c>
      <x:c r="AL32" s="81" t="str">
        <x:f>IF($E32="","",IF($AK32="pass","eligible",IF(OR($M32="no",$O32="no",$P32="too_macro",$P32="too_micro",$P32="context_only",$Q32="duplicate_confirmed",$R32="context_only"),"not_eligible","review")))</x:f>
      </x:c>
      <x:c r="AM32" s="81" t="str">
        <x:f>IF($E32="","",IF($C32=0,"reentry_required",IF($C32&lt;=8,"non_competitive_inclusion","competitive_selection")))</x:f>
      </x:c>
      <x:c r="AN32" s="82" t="str">
        <x:f>IF($E32="","",AVERAGE($U32:$X32))</x:f>
      </x:c>
      <x:c r="AO32" s="82" t="str">
        <x:f>IF($E32="","",AVERAGE($S32:$T32))</x:f>
      </x:c>
      <x:c r="AP32" s="82" t="str">
        <x:f>IF($E32="","",($AF32*0.08)+($AG32*0.08)+($AH32*0.10))</x:f>
      </x:c>
      <x:c r="AQ32" s="82" t="str">
        <x:f>IF($E32="","",MAX(0,($AN32*0.30)+($Y32*0.20)+($Z32*0.15)+($AA32*0.15)+($AB32*0.10)+($AC32*0.10)+($AE32*0.05)-$AP32))</x:f>
      </x:c>
      <x:c r="AR32" s="81" t="str">
        <x:f>IF($E32="","",IF($AM32="competitive_selection",RANK.EQ($AQ32,$AQ$2:$AQ$201,0),""))</x:f>
      </x:c>
      <x:c r="AS32" s="81" t="str">
        <x:f>IF($E32="","",IF(AND($AM32="non_competitive_inclusion",$AL32="eligible"),"selected",""))</x:f>
      </x:c>
      <x:c r="AT32" s="81" t="str">
        <x:f>IF($E32="","",IF($AM32&lt;&gt;"competitive_selection","",IF(AND($AL32="eligible",$AR32&lt;=8),"selected","context/backlog")))</x:f>
      </x:c>
      <x:c r="AU32" s="81" t="str">
        <x:f>IF($E32="","",IF($AM32="reentry_required","not_selected_reentry",IF($AS32="selected","selected_for_runtime",IF($AT32="selected","selected_for_runtime",IF($AL32="review","manual_review","context_or_not_selected")))))</x:f>
      </x:c>
      <x:c r="AV32" s="81" t="str">
        <x:f>IF($E32="","",IF($AU32="selected_for_runtime",IF($AM32="competitive_selection",$AR32,COUNTIF($AU$2:AU32,"selected_for_runtime")),""))</x:f>
      </x:c>
      <x:c r="AW32" s="81" t="str">
        <x:f>IF($E32="","",IF($AU32="selected_for_runtime",IF($AD32&gt;=2,"base_40_plus_uncertainty_probes",IF($AE32&gt;=2,"base_40_plus_exploratory_probes","base_40_standard")),"no_runtime"))</x:f>
      </x:c>
      <x:c r="AX32" s="81" t="str">
        <x:f>IF($E32="","",IF($AU32&lt;&gt;"selected_for_runtime","none",IF($AE32&gt;=2,"exploratoria",IF($AQ32&gt;=2.2,"alta",IF($AQ32&gt;=1.2,"media","baja")))))</x:f>
      </x:c>
      <x:c r="AY32" s="81" t="str">
        <x:f>IF($E32="","",IF($AJ32=TRUE,"context_with_coverage_gap",IF($AI32="review","context_requires_confirmation","context_ready")))</x:f>
      </x:c>
      <x:c r="AZ32" s="81" t="str">
        <x:f>IF($E32="","",IF($AU32&lt;&gt;"selected_for_runtime","no",IF(OR($AY32="context_with_coverage_gap",$AX32="exploratoria"),"ready_with_flags","ready")))</x:f>
      </x:c>
      <x:c r="BA32" s="81" t="str"/>
      <x:c r="BB32" s="81" t="str"/>
      <x:c r="BC32" s="81" t="str"/>
      <x:c r="BD32" s="81" t="str"/>
      <x:c r="BE32" s="81" t="str"/>
    </x:row>
    <x:row r="33">
      <x:c r="A33" s="81" t="str"/>
      <x:c r="B33" s="81" t="str"/>
      <x:c r="C33" s="81" t="str"/>
      <x:c r="D33" s="81" t="str"/>
      <x:c r="E33" s="81" t="str"/>
      <x:c r="F33" s="81" t="str"/>
      <x:c r="G33" s="81" t="str"/>
      <x:c r="H33" s="81" t="str"/>
      <x:c r="I33" s="81" t="str"/>
      <x:c r="J33" s="81" t="str"/>
      <x:c r="K33" s="81" t="str"/>
      <x:c r="L33" s="81" t="str"/>
      <x:c r="M33" s="81" t="str"/>
      <x:c r="N33" s="81" t="str"/>
      <x:c r="O33" s="81" t="str"/>
      <x:c r="P33" s="81" t="str"/>
      <x:c r="Q33" s="81" t="str"/>
      <x:c r="R33" s="81" t="str"/>
      <x:c r="S33" s="82" t="str"/>
      <x:c r="T33" s="82" t="str"/>
      <x:c r="U33" s="82" t="str"/>
      <x:c r="V33" s="82" t="str"/>
      <x:c r="W33" s="82" t="str"/>
      <x:c r="X33" s="82" t="str"/>
      <x:c r="Y33" s="82" t="str"/>
      <x:c r="Z33" s="82" t="str"/>
      <x:c r="AA33" s="82" t="str"/>
      <x:c r="AB33" s="82" t="str"/>
      <x:c r="AC33" s="82" t="str"/>
      <x:c r="AD33" s="82" t="str"/>
      <x:c r="AE33" s="82" t="str"/>
      <x:c r="AF33" s="82" t="str"/>
      <x:c r="AG33" s="82" t="str"/>
      <x:c r="AH33" s="82" t="str"/>
      <x:c r="AI33" s="81" t="str"/>
      <x:c r="AJ33" s="81" t="str"/>
      <x:c r="AK33" s="81" t="str">
        <x:f>IF($E33="","",IF(AND($M33="yes",OR($N33="yes",$N33="review"),OR($O33="yes",$O33="review"),$P33="fit",OR($Q33="unique",$Q33="alias_review"),$R33&lt;&gt;"context_only"),"pass","review/block"))</x:f>
      </x:c>
      <x:c r="AL33" s="81" t="str">
        <x:f>IF($E33="","",IF($AK33="pass","eligible",IF(OR($M33="no",$O33="no",$P33="too_macro",$P33="too_micro",$P33="context_only",$Q33="duplicate_confirmed",$R33="context_only"),"not_eligible","review")))</x:f>
      </x:c>
      <x:c r="AM33" s="81" t="str">
        <x:f>IF($E33="","",IF($C33=0,"reentry_required",IF($C33&lt;=8,"non_competitive_inclusion","competitive_selection")))</x:f>
      </x:c>
      <x:c r="AN33" s="82" t="str">
        <x:f>IF($E33="","",AVERAGE($U33:$X33))</x:f>
      </x:c>
      <x:c r="AO33" s="82" t="str">
        <x:f>IF($E33="","",AVERAGE($S33:$T33))</x:f>
      </x:c>
      <x:c r="AP33" s="82" t="str">
        <x:f>IF($E33="","",($AF33*0.08)+($AG33*0.08)+($AH33*0.10))</x:f>
      </x:c>
      <x:c r="AQ33" s="82" t="str">
        <x:f>IF($E33="","",MAX(0,($AN33*0.30)+($Y33*0.20)+($Z33*0.15)+($AA33*0.15)+($AB33*0.10)+($AC33*0.10)+($AE33*0.05)-$AP33))</x:f>
      </x:c>
      <x:c r="AR33" s="81" t="str">
        <x:f>IF($E33="","",IF($AM33="competitive_selection",RANK.EQ($AQ33,$AQ$2:$AQ$201,0),""))</x:f>
      </x:c>
      <x:c r="AS33" s="81" t="str">
        <x:f>IF($E33="","",IF(AND($AM33="non_competitive_inclusion",$AL33="eligible"),"selected",""))</x:f>
      </x:c>
      <x:c r="AT33" s="81" t="str">
        <x:f>IF($E33="","",IF($AM33&lt;&gt;"competitive_selection","",IF(AND($AL33="eligible",$AR33&lt;=8),"selected","context/backlog")))</x:f>
      </x:c>
      <x:c r="AU33" s="81" t="str">
        <x:f>IF($E33="","",IF($AM33="reentry_required","not_selected_reentry",IF($AS33="selected","selected_for_runtime",IF($AT33="selected","selected_for_runtime",IF($AL33="review","manual_review","context_or_not_selected")))))</x:f>
      </x:c>
      <x:c r="AV33" s="81" t="str">
        <x:f>IF($E33="","",IF($AU33="selected_for_runtime",IF($AM33="competitive_selection",$AR33,COUNTIF($AU$2:AU33,"selected_for_runtime")),""))</x:f>
      </x:c>
      <x:c r="AW33" s="81" t="str">
        <x:f>IF($E33="","",IF($AU33="selected_for_runtime",IF($AD33&gt;=2,"base_40_plus_uncertainty_probes",IF($AE33&gt;=2,"base_40_plus_exploratory_probes","base_40_standard")),"no_runtime"))</x:f>
      </x:c>
      <x:c r="AX33" s="81" t="str">
        <x:f>IF($E33="","",IF($AU33&lt;&gt;"selected_for_runtime","none",IF($AE33&gt;=2,"exploratoria",IF($AQ33&gt;=2.2,"alta",IF($AQ33&gt;=1.2,"media","baja")))))</x:f>
      </x:c>
      <x:c r="AY33" s="81" t="str">
        <x:f>IF($E33="","",IF($AJ33=TRUE,"context_with_coverage_gap",IF($AI33="review","context_requires_confirmation","context_ready")))</x:f>
      </x:c>
      <x:c r="AZ33" s="81" t="str">
        <x:f>IF($E33="","",IF($AU33&lt;&gt;"selected_for_runtime","no",IF(OR($AY33="context_with_coverage_gap",$AX33="exploratoria"),"ready_with_flags","ready")))</x:f>
      </x:c>
      <x:c r="BA33" s="81" t="str"/>
      <x:c r="BB33" s="81" t="str"/>
      <x:c r="BC33" s="81" t="str"/>
      <x:c r="BD33" s="81" t="str"/>
      <x:c r="BE33" s="81" t="str"/>
    </x:row>
    <x:row r="34">
      <x:c r="A34" s="81" t="str"/>
      <x:c r="B34" s="81" t="str"/>
      <x:c r="C34" s="81" t="str"/>
      <x:c r="D34" s="81" t="str"/>
      <x:c r="E34" s="81" t="str"/>
      <x:c r="F34" s="81" t="str"/>
      <x:c r="G34" s="81" t="str"/>
      <x:c r="H34" s="81" t="str"/>
      <x:c r="I34" s="81" t="str"/>
      <x:c r="J34" s="81" t="str"/>
      <x:c r="K34" s="81" t="str"/>
      <x:c r="L34" s="81" t="str"/>
      <x:c r="M34" s="81" t="str"/>
      <x:c r="N34" s="81" t="str"/>
      <x:c r="O34" s="81" t="str"/>
      <x:c r="P34" s="81" t="str"/>
      <x:c r="Q34" s="81" t="str"/>
      <x:c r="R34" s="81" t="str"/>
      <x:c r="S34" s="82" t="str"/>
      <x:c r="T34" s="82" t="str"/>
      <x:c r="U34" s="82" t="str"/>
      <x:c r="V34" s="82" t="str"/>
      <x:c r="W34" s="82" t="str"/>
      <x:c r="X34" s="82" t="str"/>
      <x:c r="Y34" s="82" t="str"/>
      <x:c r="Z34" s="82" t="str"/>
      <x:c r="AA34" s="82" t="str"/>
      <x:c r="AB34" s="82" t="str"/>
      <x:c r="AC34" s="82" t="str"/>
      <x:c r="AD34" s="82" t="str"/>
      <x:c r="AE34" s="82" t="str"/>
      <x:c r="AF34" s="82" t="str"/>
      <x:c r="AG34" s="82" t="str"/>
      <x:c r="AH34" s="82" t="str"/>
      <x:c r="AI34" s="81" t="str"/>
      <x:c r="AJ34" s="81" t="str"/>
      <x:c r="AK34" s="81" t="str">
        <x:f>IF($E34="","",IF(AND($M34="yes",OR($N34="yes",$N34="review"),OR($O34="yes",$O34="review"),$P34="fit",OR($Q34="unique",$Q34="alias_review"),$R34&lt;&gt;"context_only"),"pass","review/block"))</x:f>
      </x:c>
      <x:c r="AL34" s="81" t="str">
        <x:f>IF($E34="","",IF($AK34="pass","eligible",IF(OR($M34="no",$O34="no",$P34="too_macro",$P34="too_micro",$P34="context_only",$Q34="duplicate_confirmed",$R34="context_only"),"not_eligible","review")))</x:f>
      </x:c>
      <x:c r="AM34" s="81" t="str">
        <x:f>IF($E34="","",IF($C34=0,"reentry_required",IF($C34&lt;=8,"non_competitive_inclusion","competitive_selection")))</x:f>
      </x:c>
      <x:c r="AN34" s="82" t="str">
        <x:f>IF($E34="","",AVERAGE($U34:$X34))</x:f>
      </x:c>
      <x:c r="AO34" s="82" t="str">
        <x:f>IF($E34="","",AVERAGE($S34:$T34))</x:f>
      </x:c>
      <x:c r="AP34" s="82" t="str">
        <x:f>IF($E34="","",($AF34*0.08)+($AG34*0.08)+($AH34*0.10))</x:f>
      </x:c>
      <x:c r="AQ34" s="82" t="str">
        <x:f>IF($E34="","",MAX(0,($AN34*0.30)+($Y34*0.20)+($Z34*0.15)+($AA34*0.15)+($AB34*0.10)+($AC34*0.10)+($AE34*0.05)-$AP34))</x:f>
      </x:c>
      <x:c r="AR34" s="81" t="str">
        <x:f>IF($E34="","",IF($AM34="competitive_selection",RANK.EQ($AQ34,$AQ$2:$AQ$201,0),""))</x:f>
      </x:c>
      <x:c r="AS34" s="81" t="str">
        <x:f>IF($E34="","",IF(AND($AM34="non_competitive_inclusion",$AL34="eligible"),"selected",""))</x:f>
      </x:c>
      <x:c r="AT34" s="81" t="str">
        <x:f>IF($E34="","",IF($AM34&lt;&gt;"competitive_selection","",IF(AND($AL34="eligible",$AR34&lt;=8),"selected","context/backlog")))</x:f>
      </x:c>
      <x:c r="AU34" s="81" t="str">
        <x:f>IF($E34="","",IF($AM34="reentry_required","not_selected_reentry",IF($AS34="selected","selected_for_runtime",IF($AT34="selected","selected_for_runtime",IF($AL34="review","manual_review","context_or_not_selected")))))</x:f>
      </x:c>
      <x:c r="AV34" s="81" t="str">
        <x:f>IF($E34="","",IF($AU34="selected_for_runtime",IF($AM34="competitive_selection",$AR34,COUNTIF($AU$2:AU34,"selected_for_runtime")),""))</x:f>
      </x:c>
      <x:c r="AW34" s="81" t="str">
        <x:f>IF($E34="","",IF($AU34="selected_for_runtime",IF($AD34&gt;=2,"base_40_plus_uncertainty_probes",IF($AE34&gt;=2,"base_40_plus_exploratory_probes","base_40_standard")),"no_runtime"))</x:f>
      </x:c>
      <x:c r="AX34" s="81" t="str">
        <x:f>IF($E34="","",IF($AU34&lt;&gt;"selected_for_runtime","none",IF($AE34&gt;=2,"exploratoria",IF($AQ34&gt;=2.2,"alta",IF($AQ34&gt;=1.2,"media","baja")))))</x:f>
      </x:c>
      <x:c r="AY34" s="81" t="str">
        <x:f>IF($E34="","",IF($AJ34=TRUE,"context_with_coverage_gap",IF($AI34="review","context_requires_confirmation","context_ready")))</x:f>
      </x:c>
      <x:c r="AZ34" s="81" t="str">
        <x:f>IF($E34="","",IF($AU34&lt;&gt;"selected_for_runtime","no",IF(OR($AY34="context_with_coverage_gap",$AX34="exploratoria"),"ready_with_flags","ready")))</x:f>
      </x:c>
      <x:c r="BA34" s="81" t="str"/>
      <x:c r="BB34" s="81" t="str"/>
      <x:c r="BC34" s="81" t="str"/>
      <x:c r="BD34" s="81" t="str"/>
      <x:c r="BE34" s="81" t="str"/>
    </x:row>
    <x:row r="35">
      <x:c r="A35" s="81" t="str"/>
      <x:c r="B35" s="81" t="str"/>
      <x:c r="C35" s="81" t="str"/>
      <x:c r="D35" s="81" t="str"/>
      <x:c r="E35" s="81" t="str"/>
      <x:c r="F35" s="81" t="str"/>
      <x:c r="G35" s="81" t="str"/>
      <x:c r="H35" s="81" t="str"/>
      <x:c r="I35" s="81" t="str"/>
      <x:c r="J35" s="81" t="str"/>
      <x:c r="K35" s="81" t="str"/>
      <x:c r="L35" s="81" t="str"/>
      <x:c r="M35" s="81" t="str"/>
      <x:c r="N35" s="81" t="str"/>
      <x:c r="O35" s="81" t="str"/>
      <x:c r="P35" s="81" t="str"/>
      <x:c r="Q35" s="81" t="str"/>
      <x:c r="R35" s="81" t="str"/>
      <x:c r="S35" s="82" t="str"/>
      <x:c r="T35" s="82" t="str"/>
      <x:c r="U35" s="82" t="str"/>
      <x:c r="V35" s="82" t="str"/>
      <x:c r="W35" s="82" t="str"/>
      <x:c r="X35" s="82" t="str"/>
      <x:c r="Y35" s="82" t="str"/>
      <x:c r="Z35" s="82" t="str"/>
      <x:c r="AA35" s="82" t="str"/>
      <x:c r="AB35" s="82" t="str"/>
      <x:c r="AC35" s="82" t="str"/>
      <x:c r="AD35" s="82" t="str"/>
      <x:c r="AE35" s="82" t="str"/>
      <x:c r="AF35" s="82" t="str"/>
      <x:c r="AG35" s="82" t="str"/>
      <x:c r="AH35" s="82" t="str"/>
      <x:c r="AI35" s="81" t="str"/>
      <x:c r="AJ35" s="81" t="str"/>
      <x:c r="AK35" s="81" t="str">
        <x:f>IF($E35="","",IF(AND($M35="yes",OR($N35="yes",$N35="review"),OR($O35="yes",$O35="review"),$P35="fit",OR($Q35="unique",$Q35="alias_review"),$R35&lt;&gt;"context_only"),"pass","review/block"))</x:f>
      </x:c>
      <x:c r="AL35" s="81" t="str">
        <x:f>IF($E35="","",IF($AK35="pass","eligible",IF(OR($M35="no",$O35="no",$P35="too_macro",$P35="too_micro",$P35="context_only",$Q35="duplicate_confirmed",$R35="context_only"),"not_eligible","review")))</x:f>
      </x:c>
      <x:c r="AM35" s="81" t="str">
        <x:f>IF($E35="","",IF($C35=0,"reentry_required",IF($C35&lt;=8,"non_competitive_inclusion","competitive_selection")))</x:f>
      </x:c>
      <x:c r="AN35" s="82" t="str">
        <x:f>IF($E35="","",AVERAGE($U35:$X35))</x:f>
      </x:c>
      <x:c r="AO35" s="82" t="str">
        <x:f>IF($E35="","",AVERAGE($S35:$T35))</x:f>
      </x:c>
      <x:c r="AP35" s="82" t="str">
        <x:f>IF($E35="","",($AF35*0.08)+($AG35*0.08)+($AH35*0.10))</x:f>
      </x:c>
      <x:c r="AQ35" s="82" t="str">
        <x:f>IF($E35="","",MAX(0,($AN35*0.30)+($Y35*0.20)+($Z35*0.15)+($AA35*0.15)+($AB35*0.10)+($AC35*0.10)+($AE35*0.05)-$AP35))</x:f>
      </x:c>
      <x:c r="AR35" s="81" t="str">
        <x:f>IF($E35="","",IF($AM35="competitive_selection",RANK.EQ($AQ35,$AQ$2:$AQ$201,0),""))</x:f>
      </x:c>
      <x:c r="AS35" s="81" t="str">
        <x:f>IF($E35="","",IF(AND($AM35="non_competitive_inclusion",$AL35="eligible"),"selected",""))</x:f>
      </x:c>
      <x:c r="AT35" s="81" t="str">
        <x:f>IF($E35="","",IF($AM35&lt;&gt;"competitive_selection","",IF(AND($AL35="eligible",$AR35&lt;=8),"selected","context/backlog")))</x:f>
      </x:c>
      <x:c r="AU35" s="81" t="str">
        <x:f>IF($E35="","",IF($AM35="reentry_required","not_selected_reentry",IF($AS35="selected","selected_for_runtime",IF($AT35="selected","selected_for_runtime",IF($AL35="review","manual_review","context_or_not_selected")))))</x:f>
      </x:c>
      <x:c r="AV35" s="81" t="str">
        <x:f>IF($E35="","",IF($AU35="selected_for_runtime",IF($AM35="competitive_selection",$AR35,COUNTIF($AU$2:AU35,"selected_for_runtime")),""))</x:f>
      </x:c>
      <x:c r="AW35" s="81" t="str">
        <x:f>IF($E35="","",IF($AU35="selected_for_runtime",IF($AD35&gt;=2,"base_40_plus_uncertainty_probes",IF($AE35&gt;=2,"base_40_plus_exploratory_probes","base_40_standard")),"no_runtime"))</x:f>
      </x:c>
      <x:c r="AX35" s="81" t="str">
        <x:f>IF($E35="","",IF($AU35&lt;&gt;"selected_for_runtime","none",IF($AE35&gt;=2,"exploratoria",IF($AQ35&gt;=2.2,"alta",IF($AQ35&gt;=1.2,"media","baja")))))</x:f>
      </x:c>
      <x:c r="AY35" s="81" t="str">
        <x:f>IF($E35="","",IF($AJ35=TRUE,"context_with_coverage_gap",IF($AI35="review","context_requires_confirmation","context_ready")))</x:f>
      </x:c>
      <x:c r="AZ35" s="81" t="str">
        <x:f>IF($E35="","",IF($AU35&lt;&gt;"selected_for_runtime","no",IF(OR($AY35="context_with_coverage_gap",$AX35="exploratoria"),"ready_with_flags","ready")))</x:f>
      </x:c>
      <x:c r="BA35" s="81" t="str"/>
      <x:c r="BB35" s="81" t="str"/>
      <x:c r="BC35" s="81" t="str"/>
      <x:c r="BD35" s="81" t="str"/>
      <x:c r="BE35" s="81" t="str"/>
    </x:row>
    <x:row r="36">
      <x:c r="A36" s="81" t="str"/>
      <x:c r="B36" s="81" t="str"/>
      <x:c r="C36" s="81" t="str"/>
      <x:c r="D36" s="81" t="str"/>
      <x:c r="E36" s="81" t="str"/>
      <x:c r="F36" s="81" t="str"/>
      <x:c r="G36" s="81" t="str"/>
      <x:c r="H36" s="81" t="str"/>
      <x:c r="I36" s="81" t="str"/>
      <x:c r="J36" s="81" t="str"/>
      <x:c r="K36" s="81" t="str"/>
      <x:c r="L36" s="81" t="str"/>
      <x:c r="M36" s="81" t="str"/>
      <x:c r="N36" s="81" t="str"/>
      <x:c r="O36" s="81" t="str"/>
      <x:c r="P36" s="81" t="str"/>
      <x:c r="Q36" s="81" t="str"/>
      <x:c r="R36" s="81" t="str"/>
      <x:c r="S36" s="82" t="str"/>
      <x:c r="T36" s="82" t="str"/>
      <x:c r="U36" s="82" t="str"/>
      <x:c r="V36" s="82" t="str"/>
      <x:c r="W36" s="82" t="str"/>
      <x:c r="X36" s="82" t="str"/>
      <x:c r="Y36" s="82" t="str"/>
      <x:c r="Z36" s="82" t="str"/>
      <x:c r="AA36" s="82" t="str"/>
      <x:c r="AB36" s="82" t="str"/>
      <x:c r="AC36" s="82" t="str"/>
      <x:c r="AD36" s="82" t="str"/>
      <x:c r="AE36" s="82" t="str"/>
      <x:c r="AF36" s="82" t="str"/>
      <x:c r="AG36" s="82" t="str"/>
      <x:c r="AH36" s="82" t="str"/>
      <x:c r="AI36" s="81" t="str"/>
      <x:c r="AJ36" s="81" t="str"/>
      <x:c r="AK36" s="81" t="str">
        <x:f>IF($E36="","",IF(AND($M36="yes",OR($N36="yes",$N36="review"),OR($O36="yes",$O36="review"),$P36="fit",OR($Q36="unique",$Q36="alias_review"),$R36&lt;&gt;"context_only"),"pass","review/block"))</x:f>
      </x:c>
      <x:c r="AL36" s="81" t="str">
        <x:f>IF($E36="","",IF($AK36="pass","eligible",IF(OR($M36="no",$O36="no",$P36="too_macro",$P36="too_micro",$P36="context_only",$Q36="duplicate_confirmed",$R36="context_only"),"not_eligible","review")))</x:f>
      </x:c>
      <x:c r="AM36" s="81" t="str">
        <x:f>IF($E36="","",IF($C36=0,"reentry_required",IF($C36&lt;=8,"non_competitive_inclusion","competitive_selection")))</x:f>
      </x:c>
      <x:c r="AN36" s="82" t="str">
        <x:f>IF($E36="","",AVERAGE($U36:$X36))</x:f>
      </x:c>
      <x:c r="AO36" s="82" t="str">
        <x:f>IF($E36="","",AVERAGE($S36:$T36))</x:f>
      </x:c>
      <x:c r="AP36" s="82" t="str">
        <x:f>IF($E36="","",($AF36*0.08)+($AG36*0.08)+($AH36*0.10))</x:f>
      </x:c>
      <x:c r="AQ36" s="82" t="str">
        <x:f>IF($E36="","",MAX(0,($AN36*0.30)+($Y36*0.20)+($Z36*0.15)+($AA36*0.15)+($AB36*0.10)+($AC36*0.10)+($AE36*0.05)-$AP36))</x:f>
      </x:c>
      <x:c r="AR36" s="81" t="str">
        <x:f>IF($E36="","",IF($AM36="competitive_selection",RANK.EQ($AQ36,$AQ$2:$AQ$201,0),""))</x:f>
      </x:c>
      <x:c r="AS36" s="81" t="str">
        <x:f>IF($E36="","",IF(AND($AM36="non_competitive_inclusion",$AL36="eligible"),"selected",""))</x:f>
      </x:c>
      <x:c r="AT36" s="81" t="str">
        <x:f>IF($E36="","",IF($AM36&lt;&gt;"competitive_selection","",IF(AND($AL36="eligible",$AR36&lt;=8),"selected","context/backlog")))</x:f>
      </x:c>
      <x:c r="AU36" s="81" t="str">
        <x:f>IF($E36="","",IF($AM36="reentry_required","not_selected_reentry",IF($AS36="selected","selected_for_runtime",IF($AT36="selected","selected_for_runtime",IF($AL36="review","manual_review","context_or_not_selected")))))</x:f>
      </x:c>
      <x:c r="AV36" s="81" t="str">
        <x:f>IF($E36="","",IF($AU36="selected_for_runtime",IF($AM36="competitive_selection",$AR36,COUNTIF($AU$2:AU36,"selected_for_runtime")),""))</x:f>
      </x:c>
      <x:c r="AW36" s="81" t="str">
        <x:f>IF($E36="","",IF($AU36="selected_for_runtime",IF($AD36&gt;=2,"base_40_plus_uncertainty_probes",IF($AE36&gt;=2,"base_40_plus_exploratory_probes","base_40_standard")),"no_runtime"))</x:f>
      </x:c>
      <x:c r="AX36" s="81" t="str">
        <x:f>IF($E36="","",IF($AU36&lt;&gt;"selected_for_runtime","none",IF($AE36&gt;=2,"exploratoria",IF($AQ36&gt;=2.2,"alta",IF($AQ36&gt;=1.2,"media","baja")))))</x:f>
      </x:c>
      <x:c r="AY36" s="81" t="str">
        <x:f>IF($E36="","",IF($AJ36=TRUE,"context_with_coverage_gap",IF($AI36="review","context_requires_confirmation","context_ready")))</x:f>
      </x:c>
      <x:c r="AZ36" s="81" t="str">
        <x:f>IF($E36="","",IF($AU36&lt;&gt;"selected_for_runtime","no",IF(OR($AY36="context_with_coverage_gap",$AX36="exploratoria"),"ready_with_flags","ready")))</x:f>
      </x:c>
      <x:c r="BA36" s="81" t="str"/>
      <x:c r="BB36" s="81" t="str"/>
      <x:c r="BC36" s="81" t="str"/>
      <x:c r="BD36" s="81" t="str"/>
      <x:c r="BE36" s="81" t="str"/>
    </x:row>
    <x:row r="37">
      <x:c r="A37" s="81" t="str"/>
      <x:c r="B37" s="81" t="str"/>
      <x:c r="C37" s="81" t="str"/>
      <x:c r="D37" s="81" t="str"/>
      <x:c r="E37" s="81" t="str"/>
      <x:c r="F37" s="81" t="str"/>
      <x:c r="G37" s="81" t="str"/>
      <x:c r="H37" s="81" t="str"/>
      <x:c r="I37" s="81" t="str"/>
      <x:c r="J37" s="81" t="str"/>
      <x:c r="K37" s="81" t="str"/>
      <x:c r="L37" s="81" t="str"/>
      <x:c r="M37" s="81" t="str"/>
      <x:c r="N37" s="81" t="str"/>
      <x:c r="O37" s="81" t="str"/>
      <x:c r="P37" s="81" t="str"/>
      <x:c r="Q37" s="81" t="str"/>
      <x:c r="R37" s="81" t="str"/>
      <x:c r="S37" s="82" t="str"/>
      <x:c r="T37" s="82" t="str"/>
      <x:c r="U37" s="82" t="str"/>
      <x:c r="V37" s="82" t="str"/>
      <x:c r="W37" s="82" t="str"/>
      <x:c r="X37" s="82" t="str"/>
      <x:c r="Y37" s="82" t="str"/>
      <x:c r="Z37" s="82" t="str"/>
      <x:c r="AA37" s="82" t="str"/>
      <x:c r="AB37" s="82" t="str"/>
      <x:c r="AC37" s="82" t="str"/>
      <x:c r="AD37" s="82" t="str"/>
      <x:c r="AE37" s="82" t="str"/>
      <x:c r="AF37" s="82" t="str"/>
      <x:c r="AG37" s="82" t="str"/>
      <x:c r="AH37" s="82" t="str"/>
      <x:c r="AI37" s="81" t="str"/>
      <x:c r="AJ37" s="81" t="str"/>
      <x:c r="AK37" s="81" t="str">
        <x:f>IF($E37="","",IF(AND($M37="yes",OR($N37="yes",$N37="review"),OR($O37="yes",$O37="review"),$P37="fit",OR($Q37="unique",$Q37="alias_review"),$R37&lt;&gt;"context_only"),"pass","review/block"))</x:f>
      </x:c>
      <x:c r="AL37" s="81" t="str">
        <x:f>IF($E37="","",IF($AK37="pass","eligible",IF(OR($M37="no",$O37="no",$P37="too_macro",$P37="too_micro",$P37="context_only",$Q37="duplicate_confirmed",$R37="context_only"),"not_eligible","review")))</x:f>
      </x:c>
      <x:c r="AM37" s="81" t="str">
        <x:f>IF($E37="","",IF($C37=0,"reentry_required",IF($C37&lt;=8,"non_competitive_inclusion","competitive_selection")))</x:f>
      </x:c>
      <x:c r="AN37" s="82" t="str">
        <x:f>IF($E37="","",AVERAGE($U37:$X37))</x:f>
      </x:c>
      <x:c r="AO37" s="82" t="str">
        <x:f>IF($E37="","",AVERAGE($S37:$T37))</x:f>
      </x:c>
      <x:c r="AP37" s="82" t="str">
        <x:f>IF($E37="","",($AF37*0.08)+($AG37*0.08)+($AH37*0.10))</x:f>
      </x:c>
      <x:c r="AQ37" s="82" t="str">
        <x:f>IF($E37="","",MAX(0,($AN37*0.30)+($Y37*0.20)+($Z37*0.15)+($AA37*0.15)+($AB37*0.10)+($AC37*0.10)+($AE37*0.05)-$AP37))</x:f>
      </x:c>
      <x:c r="AR37" s="81" t="str">
        <x:f>IF($E37="","",IF($AM37="competitive_selection",RANK.EQ($AQ37,$AQ$2:$AQ$201,0),""))</x:f>
      </x:c>
      <x:c r="AS37" s="81" t="str">
        <x:f>IF($E37="","",IF(AND($AM37="non_competitive_inclusion",$AL37="eligible"),"selected",""))</x:f>
      </x:c>
      <x:c r="AT37" s="81" t="str">
        <x:f>IF($E37="","",IF($AM37&lt;&gt;"competitive_selection","",IF(AND($AL37="eligible",$AR37&lt;=8),"selected","context/backlog")))</x:f>
      </x:c>
      <x:c r="AU37" s="81" t="str">
        <x:f>IF($E37="","",IF($AM37="reentry_required","not_selected_reentry",IF($AS37="selected","selected_for_runtime",IF($AT37="selected","selected_for_runtime",IF($AL37="review","manual_review","context_or_not_selected")))))</x:f>
      </x:c>
      <x:c r="AV37" s="81" t="str">
        <x:f>IF($E37="","",IF($AU37="selected_for_runtime",IF($AM37="competitive_selection",$AR37,COUNTIF($AU$2:AU37,"selected_for_runtime")),""))</x:f>
      </x:c>
      <x:c r="AW37" s="81" t="str">
        <x:f>IF($E37="","",IF($AU37="selected_for_runtime",IF($AD37&gt;=2,"base_40_plus_uncertainty_probes",IF($AE37&gt;=2,"base_40_plus_exploratory_probes","base_40_standard")),"no_runtime"))</x:f>
      </x:c>
      <x:c r="AX37" s="81" t="str">
        <x:f>IF($E37="","",IF($AU37&lt;&gt;"selected_for_runtime","none",IF($AE37&gt;=2,"exploratoria",IF($AQ37&gt;=2.2,"alta",IF($AQ37&gt;=1.2,"media","baja")))))</x:f>
      </x:c>
      <x:c r="AY37" s="81" t="str">
        <x:f>IF($E37="","",IF($AJ37=TRUE,"context_with_coverage_gap",IF($AI37="review","context_requires_confirmation","context_ready")))</x:f>
      </x:c>
      <x:c r="AZ37" s="81" t="str">
        <x:f>IF($E37="","",IF($AU37&lt;&gt;"selected_for_runtime","no",IF(OR($AY37="context_with_coverage_gap",$AX37="exploratoria"),"ready_with_flags","ready")))</x:f>
      </x:c>
      <x:c r="BA37" s="81" t="str"/>
      <x:c r="BB37" s="81" t="str"/>
      <x:c r="BC37" s="81" t="str"/>
      <x:c r="BD37" s="81" t="str"/>
      <x:c r="BE37" s="81" t="str"/>
    </x:row>
    <x:row r="38">
      <x:c r="A38" s="81" t="str"/>
      <x:c r="B38" s="81" t="str"/>
      <x:c r="C38" s="81" t="str"/>
      <x:c r="D38" s="81" t="str"/>
      <x:c r="E38" s="81" t="str"/>
      <x:c r="F38" s="81" t="str"/>
      <x:c r="G38" s="81" t="str"/>
      <x:c r="H38" s="81" t="str"/>
      <x:c r="I38" s="81" t="str"/>
      <x:c r="J38" s="81" t="str"/>
      <x:c r="K38" s="81" t="str"/>
      <x:c r="L38" s="81" t="str"/>
      <x:c r="M38" s="81" t="str"/>
      <x:c r="N38" s="81" t="str"/>
      <x:c r="O38" s="81" t="str"/>
      <x:c r="P38" s="81" t="str"/>
      <x:c r="Q38" s="81" t="str"/>
      <x:c r="R38" s="81" t="str"/>
      <x:c r="S38" s="82" t="str"/>
      <x:c r="T38" s="82" t="str"/>
      <x:c r="U38" s="82" t="str"/>
      <x:c r="V38" s="82" t="str"/>
      <x:c r="W38" s="82" t="str"/>
      <x:c r="X38" s="82" t="str"/>
      <x:c r="Y38" s="82" t="str"/>
      <x:c r="Z38" s="82" t="str"/>
      <x:c r="AA38" s="82" t="str"/>
      <x:c r="AB38" s="82" t="str"/>
      <x:c r="AC38" s="82" t="str"/>
      <x:c r="AD38" s="82" t="str"/>
      <x:c r="AE38" s="82" t="str"/>
      <x:c r="AF38" s="82" t="str"/>
      <x:c r="AG38" s="82" t="str"/>
      <x:c r="AH38" s="82" t="str"/>
      <x:c r="AI38" s="81" t="str"/>
      <x:c r="AJ38" s="81" t="str"/>
      <x:c r="AK38" s="81" t="str">
        <x:f>IF($E38="","",IF(AND($M38="yes",OR($N38="yes",$N38="review"),OR($O38="yes",$O38="review"),$P38="fit",OR($Q38="unique",$Q38="alias_review"),$R38&lt;&gt;"context_only"),"pass","review/block"))</x:f>
      </x:c>
      <x:c r="AL38" s="81" t="str">
        <x:f>IF($E38="","",IF($AK38="pass","eligible",IF(OR($M38="no",$O38="no",$P38="too_macro",$P38="too_micro",$P38="context_only",$Q38="duplicate_confirmed",$R38="context_only"),"not_eligible","review")))</x:f>
      </x:c>
      <x:c r="AM38" s="81" t="str">
        <x:f>IF($E38="","",IF($C38=0,"reentry_required",IF($C38&lt;=8,"non_competitive_inclusion","competitive_selection")))</x:f>
      </x:c>
      <x:c r="AN38" s="82" t="str">
        <x:f>IF($E38="","",AVERAGE($U38:$X38))</x:f>
      </x:c>
      <x:c r="AO38" s="82" t="str">
        <x:f>IF($E38="","",AVERAGE($S38:$T38))</x:f>
      </x:c>
      <x:c r="AP38" s="82" t="str">
        <x:f>IF($E38="","",($AF38*0.08)+($AG38*0.08)+($AH38*0.10))</x:f>
      </x:c>
      <x:c r="AQ38" s="82" t="str">
        <x:f>IF($E38="","",MAX(0,($AN38*0.30)+($Y38*0.20)+($Z38*0.15)+($AA38*0.15)+($AB38*0.10)+($AC38*0.10)+($AE38*0.05)-$AP38))</x:f>
      </x:c>
      <x:c r="AR38" s="81" t="str">
        <x:f>IF($E38="","",IF($AM38="competitive_selection",RANK.EQ($AQ38,$AQ$2:$AQ$201,0),""))</x:f>
      </x:c>
      <x:c r="AS38" s="81" t="str">
        <x:f>IF($E38="","",IF(AND($AM38="non_competitive_inclusion",$AL38="eligible"),"selected",""))</x:f>
      </x:c>
      <x:c r="AT38" s="81" t="str">
        <x:f>IF($E38="","",IF($AM38&lt;&gt;"competitive_selection","",IF(AND($AL38="eligible",$AR38&lt;=8),"selected","context/backlog")))</x:f>
      </x:c>
      <x:c r="AU38" s="81" t="str">
        <x:f>IF($E38="","",IF($AM38="reentry_required","not_selected_reentry",IF($AS38="selected","selected_for_runtime",IF($AT38="selected","selected_for_runtime",IF($AL38="review","manual_review","context_or_not_selected")))))</x:f>
      </x:c>
      <x:c r="AV38" s="81" t="str">
        <x:f>IF($E38="","",IF($AU38="selected_for_runtime",IF($AM38="competitive_selection",$AR38,COUNTIF($AU$2:AU38,"selected_for_runtime")),""))</x:f>
      </x:c>
      <x:c r="AW38" s="81" t="str">
        <x:f>IF($E38="","",IF($AU38="selected_for_runtime",IF($AD38&gt;=2,"base_40_plus_uncertainty_probes",IF($AE38&gt;=2,"base_40_plus_exploratory_probes","base_40_standard")),"no_runtime"))</x:f>
      </x:c>
      <x:c r="AX38" s="81" t="str">
        <x:f>IF($E38="","",IF($AU38&lt;&gt;"selected_for_runtime","none",IF($AE38&gt;=2,"exploratoria",IF($AQ38&gt;=2.2,"alta",IF($AQ38&gt;=1.2,"media","baja")))))</x:f>
      </x:c>
      <x:c r="AY38" s="81" t="str">
        <x:f>IF($E38="","",IF($AJ38=TRUE,"context_with_coverage_gap",IF($AI38="review","context_requires_confirmation","context_ready")))</x:f>
      </x:c>
      <x:c r="AZ38" s="81" t="str">
        <x:f>IF($E38="","",IF($AU38&lt;&gt;"selected_for_runtime","no",IF(OR($AY38="context_with_coverage_gap",$AX38="exploratoria"),"ready_with_flags","ready")))</x:f>
      </x:c>
      <x:c r="BA38" s="81" t="str"/>
      <x:c r="BB38" s="81" t="str"/>
      <x:c r="BC38" s="81" t="str"/>
      <x:c r="BD38" s="81" t="str"/>
      <x:c r="BE38" s="81" t="str"/>
    </x:row>
    <x:row r="39">
      <x:c r="A39" s="81" t="str"/>
      <x:c r="B39" s="81" t="str"/>
      <x:c r="C39" s="81" t="str"/>
      <x:c r="D39" s="81" t="str"/>
      <x:c r="E39" s="81" t="str"/>
      <x:c r="F39" s="81" t="str"/>
      <x:c r="G39" s="81" t="str"/>
      <x:c r="H39" s="81" t="str"/>
      <x:c r="I39" s="81" t="str"/>
      <x:c r="J39" s="81" t="str"/>
      <x:c r="K39" s="81" t="str"/>
      <x:c r="L39" s="81" t="str"/>
      <x:c r="M39" s="81" t="str"/>
      <x:c r="N39" s="81" t="str"/>
      <x:c r="O39" s="81" t="str"/>
      <x:c r="P39" s="81" t="str"/>
      <x:c r="Q39" s="81" t="str"/>
      <x:c r="R39" s="81" t="str"/>
      <x:c r="S39" s="82" t="str"/>
      <x:c r="T39" s="82" t="str"/>
      <x:c r="U39" s="82" t="str"/>
      <x:c r="V39" s="82" t="str"/>
      <x:c r="W39" s="82" t="str"/>
      <x:c r="X39" s="82" t="str"/>
      <x:c r="Y39" s="82" t="str"/>
      <x:c r="Z39" s="82" t="str"/>
      <x:c r="AA39" s="82" t="str"/>
      <x:c r="AB39" s="82" t="str"/>
      <x:c r="AC39" s="82" t="str"/>
      <x:c r="AD39" s="82" t="str"/>
      <x:c r="AE39" s="82" t="str"/>
      <x:c r="AF39" s="82" t="str"/>
      <x:c r="AG39" s="82" t="str"/>
      <x:c r="AH39" s="82" t="str"/>
      <x:c r="AI39" s="81" t="str"/>
      <x:c r="AJ39" s="81" t="str"/>
      <x:c r="AK39" s="81" t="str">
        <x:f>IF($E39="","",IF(AND($M39="yes",OR($N39="yes",$N39="review"),OR($O39="yes",$O39="review"),$P39="fit",OR($Q39="unique",$Q39="alias_review"),$R39&lt;&gt;"context_only"),"pass","review/block"))</x:f>
      </x:c>
      <x:c r="AL39" s="81" t="str">
        <x:f>IF($E39="","",IF($AK39="pass","eligible",IF(OR($M39="no",$O39="no",$P39="too_macro",$P39="too_micro",$P39="context_only",$Q39="duplicate_confirmed",$R39="context_only"),"not_eligible","review")))</x:f>
      </x:c>
      <x:c r="AM39" s="81" t="str">
        <x:f>IF($E39="","",IF($C39=0,"reentry_required",IF($C39&lt;=8,"non_competitive_inclusion","competitive_selection")))</x:f>
      </x:c>
      <x:c r="AN39" s="82" t="str">
        <x:f>IF($E39="","",AVERAGE($U39:$X39))</x:f>
      </x:c>
      <x:c r="AO39" s="82" t="str">
        <x:f>IF($E39="","",AVERAGE($S39:$T39))</x:f>
      </x:c>
      <x:c r="AP39" s="82" t="str">
        <x:f>IF($E39="","",($AF39*0.08)+($AG39*0.08)+($AH39*0.10))</x:f>
      </x:c>
      <x:c r="AQ39" s="82" t="str">
        <x:f>IF($E39="","",MAX(0,($AN39*0.30)+($Y39*0.20)+($Z39*0.15)+($AA39*0.15)+($AB39*0.10)+($AC39*0.10)+($AE39*0.05)-$AP39))</x:f>
      </x:c>
      <x:c r="AR39" s="81" t="str">
        <x:f>IF($E39="","",IF($AM39="competitive_selection",RANK.EQ($AQ39,$AQ$2:$AQ$201,0),""))</x:f>
      </x:c>
      <x:c r="AS39" s="81" t="str">
        <x:f>IF($E39="","",IF(AND($AM39="non_competitive_inclusion",$AL39="eligible"),"selected",""))</x:f>
      </x:c>
      <x:c r="AT39" s="81" t="str">
        <x:f>IF($E39="","",IF($AM39&lt;&gt;"competitive_selection","",IF(AND($AL39="eligible",$AR39&lt;=8),"selected","context/backlog")))</x:f>
      </x:c>
      <x:c r="AU39" s="81" t="str">
        <x:f>IF($E39="","",IF($AM39="reentry_required","not_selected_reentry",IF($AS39="selected","selected_for_runtime",IF($AT39="selected","selected_for_runtime",IF($AL39="review","manual_review","context_or_not_selected")))))</x:f>
      </x:c>
      <x:c r="AV39" s="81" t="str">
        <x:f>IF($E39="","",IF($AU39="selected_for_runtime",IF($AM39="competitive_selection",$AR39,COUNTIF($AU$2:AU39,"selected_for_runtime")),""))</x:f>
      </x:c>
      <x:c r="AW39" s="81" t="str">
        <x:f>IF($E39="","",IF($AU39="selected_for_runtime",IF($AD39&gt;=2,"base_40_plus_uncertainty_probes",IF($AE39&gt;=2,"base_40_plus_exploratory_probes","base_40_standard")),"no_runtime"))</x:f>
      </x:c>
      <x:c r="AX39" s="81" t="str">
        <x:f>IF($E39="","",IF($AU39&lt;&gt;"selected_for_runtime","none",IF($AE39&gt;=2,"exploratoria",IF($AQ39&gt;=2.2,"alta",IF($AQ39&gt;=1.2,"media","baja")))))</x:f>
      </x:c>
      <x:c r="AY39" s="81" t="str">
        <x:f>IF($E39="","",IF($AJ39=TRUE,"context_with_coverage_gap",IF($AI39="review","context_requires_confirmation","context_ready")))</x:f>
      </x:c>
      <x:c r="AZ39" s="81" t="str">
        <x:f>IF($E39="","",IF($AU39&lt;&gt;"selected_for_runtime","no",IF(OR($AY39="context_with_coverage_gap",$AX39="exploratoria"),"ready_with_flags","ready")))</x:f>
      </x:c>
      <x:c r="BA39" s="81" t="str"/>
      <x:c r="BB39" s="81" t="str"/>
      <x:c r="BC39" s="81" t="str"/>
      <x:c r="BD39" s="81" t="str"/>
      <x:c r="BE39" s="81" t="str"/>
    </x:row>
    <x:row r="40">
      <x:c r="A40" s="81" t="str"/>
      <x:c r="B40" s="81" t="str"/>
      <x:c r="C40" s="81" t="str"/>
      <x:c r="D40" s="81" t="str"/>
      <x:c r="E40" s="81" t="str"/>
      <x:c r="F40" s="81" t="str"/>
      <x:c r="G40" s="81" t="str"/>
      <x:c r="H40" s="81" t="str"/>
      <x:c r="I40" s="81" t="str"/>
      <x:c r="J40" s="81" t="str"/>
      <x:c r="K40" s="81" t="str"/>
      <x:c r="L40" s="81" t="str"/>
      <x:c r="M40" s="81" t="str"/>
      <x:c r="N40" s="81" t="str"/>
      <x:c r="O40" s="81" t="str"/>
      <x:c r="P40" s="81" t="str"/>
      <x:c r="Q40" s="81" t="str"/>
      <x:c r="R40" s="81" t="str"/>
      <x:c r="S40" s="82" t="str"/>
      <x:c r="T40" s="82" t="str"/>
      <x:c r="U40" s="82" t="str"/>
      <x:c r="V40" s="82" t="str"/>
      <x:c r="W40" s="82" t="str"/>
      <x:c r="X40" s="82" t="str"/>
      <x:c r="Y40" s="82" t="str"/>
      <x:c r="Z40" s="82" t="str"/>
      <x:c r="AA40" s="82" t="str"/>
      <x:c r="AB40" s="82" t="str"/>
      <x:c r="AC40" s="82" t="str"/>
      <x:c r="AD40" s="82" t="str"/>
      <x:c r="AE40" s="82" t="str"/>
      <x:c r="AF40" s="82" t="str"/>
      <x:c r="AG40" s="82" t="str"/>
      <x:c r="AH40" s="82" t="str"/>
      <x:c r="AI40" s="81" t="str"/>
      <x:c r="AJ40" s="81" t="str"/>
      <x:c r="AK40" s="81" t="str">
        <x:f>IF($E40="","",IF(AND($M40="yes",OR($N40="yes",$N40="review"),OR($O40="yes",$O40="review"),$P40="fit",OR($Q40="unique",$Q40="alias_review"),$R40&lt;&gt;"context_only"),"pass","review/block"))</x:f>
      </x:c>
      <x:c r="AL40" s="81" t="str">
        <x:f>IF($E40="","",IF($AK40="pass","eligible",IF(OR($M40="no",$O40="no",$P40="too_macro",$P40="too_micro",$P40="context_only",$Q40="duplicate_confirmed",$R40="context_only"),"not_eligible","review")))</x:f>
      </x:c>
      <x:c r="AM40" s="81" t="str">
        <x:f>IF($E40="","",IF($C40=0,"reentry_required",IF($C40&lt;=8,"non_competitive_inclusion","competitive_selection")))</x:f>
      </x:c>
      <x:c r="AN40" s="82" t="str">
        <x:f>IF($E40="","",AVERAGE($U40:$X40))</x:f>
      </x:c>
      <x:c r="AO40" s="82" t="str">
        <x:f>IF($E40="","",AVERAGE($S40:$T40))</x:f>
      </x:c>
      <x:c r="AP40" s="82" t="str">
        <x:f>IF($E40="","",($AF40*0.08)+($AG40*0.08)+($AH40*0.10))</x:f>
      </x:c>
      <x:c r="AQ40" s="82" t="str">
        <x:f>IF($E40="","",MAX(0,($AN40*0.30)+($Y40*0.20)+($Z40*0.15)+($AA40*0.15)+($AB40*0.10)+($AC40*0.10)+($AE40*0.05)-$AP40))</x:f>
      </x:c>
      <x:c r="AR40" s="81" t="str">
        <x:f>IF($E40="","",IF($AM40="competitive_selection",RANK.EQ($AQ40,$AQ$2:$AQ$201,0),""))</x:f>
      </x:c>
      <x:c r="AS40" s="81" t="str">
        <x:f>IF($E40="","",IF(AND($AM40="non_competitive_inclusion",$AL40="eligible"),"selected",""))</x:f>
      </x:c>
      <x:c r="AT40" s="81" t="str">
        <x:f>IF($E40="","",IF($AM40&lt;&gt;"competitive_selection","",IF(AND($AL40="eligible",$AR40&lt;=8),"selected","context/backlog")))</x:f>
      </x:c>
      <x:c r="AU40" s="81" t="str">
        <x:f>IF($E40="","",IF($AM40="reentry_required","not_selected_reentry",IF($AS40="selected","selected_for_runtime",IF($AT40="selected","selected_for_runtime",IF($AL40="review","manual_review","context_or_not_selected")))))</x:f>
      </x:c>
      <x:c r="AV40" s="81" t="str">
        <x:f>IF($E40="","",IF($AU40="selected_for_runtime",IF($AM40="competitive_selection",$AR40,COUNTIF($AU$2:AU40,"selected_for_runtime")),""))</x:f>
      </x:c>
      <x:c r="AW40" s="81" t="str">
        <x:f>IF($E40="","",IF($AU40="selected_for_runtime",IF($AD40&gt;=2,"base_40_plus_uncertainty_probes",IF($AE40&gt;=2,"base_40_plus_exploratory_probes","base_40_standard")),"no_runtime"))</x:f>
      </x:c>
      <x:c r="AX40" s="81" t="str">
        <x:f>IF($E40="","",IF($AU40&lt;&gt;"selected_for_runtime","none",IF($AE40&gt;=2,"exploratoria",IF($AQ40&gt;=2.2,"alta",IF($AQ40&gt;=1.2,"media","baja")))))</x:f>
      </x:c>
      <x:c r="AY40" s="81" t="str">
        <x:f>IF($E40="","",IF($AJ40=TRUE,"context_with_coverage_gap",IF($AI40="review","context_requires_confirmation","context_ready")))</x:f>
      </x:c>
      <x:c r="AZ40" s="81" t="str">
        <x:f>IF($E40="","",IF($AU40&lt;&gt;"selected_for_runtime","no",IF(OR($AY40="context_with_coverage_gap",$AX40="exploratoria"),"ready_with_flags","ready")))</x:f>
      </x:c>
      <x:c r="BA40" s="81" t="str"/>
      <x:c r="BB40" s="81" t="str"/>
      <x:c r="BC40" s="81" t="str"/>
      <x:c r="BD40" s="81" t="str"/>
      <x:c r="BE40" s="81" t="str"/>
    </x:row>
    <x:row r="41">
      <x:c r="A41" s="81" t="str"/>
      <x:c r="B41" s="81" t="str"/>
      <x:c r="C41" s="81" t="str"/>
      <x:c r="D41" s="81" t="str"/>
      <x:c r="E41" s="81" t="str"/>
      <x:c r="F41" s="81" t="str"/>
      <x:c r="G41" s="81" t="str"/>
      <x:c r="H41" s="81" t="str"/>
      <x:c r="I41" s="81" t="str"/>
      <x:c r="J41" s="81" t="str"/>
      <x:c r="K41" s="81" t="str"/>
      <x:c r="L41" s="81" t="str"/>
      <x:c r="M41" s="81" t="str"/>
      <x:c r="N41" s="81" t="str"/>
      <x:c r="O41" s="81" t="str"/>
      <x:c r="P41" s="81" t="str"/>
      <x:c r="Q41" s="81" t="str"/>
      <x:c r="R41" s="81" t="str"/>
      <x:c r="S41" s="82" t="str"/>
      <x:c r="T41" s="82" t="str"/>
      <x:c r="U41" s="82" t="str"/>
      <x:c r="V41" s="82" t="str"/>
      <x:c r="W41" s="82" t="str"/>
      <x:c r="X41" s="82" t="str"/>
      <x:c r="Y41" s="82" t="str"/>
      <x:c r="Z41" s="82" t="str"/>
      <x:c r="AA41" s="82" t="str"/>
      <x:c r="AB41" s="82" t="str"/>
      <x:c r="AC41" s="82" t="str"/>
      <x:c r="AD41" s="82" t="str"/>
      <x:c r="AE41" s="82" t="str"/>
      <x:c r="AF41" s="82" t="str"/>
      <x:c r="AG41" s="82" t="str"/>
      <x:c r="AH41" s="82" t="str"/>
      <x:c r="AI41" s="81" t="str"/>
      <x:c r="AJ41" s="81" t="str"/>
      <x:c r="AK41" s="81" t="str">
        <x:f>IF($E41="","",IF(AND($M41="yes",OR($N41="yes",$N41="review"),OR($O41="yes",$O41="review"),$P41="fit",OR($Q41="unique",$Q41="alias_review"),$R41&lt;&gt;"context_only"),"pass","review/block"))</x:f>
      </x:c>
      <x:c r="AL41" s="81" t="str">
        <x:f>IF($E41="","",IF($AK41="pass","eligible",IF(OR($M41="no",$O41="no",$P41="too_macro",$P41="too_micro",$P41="context_only",$Q41="duplicate_confirmed",$R41="context_only"),"not_eligible","review")))</x:f>
      </x:c>
      <x:c r="AM41" s="81" t="str">
        <x:f>IF($E41="","",IF($C41=0,"reentry_required",IF($C41&lt;=8,"non_competitive_inclusion","competitive_selection")))</x:f>
      </x:c>
      <x:c r="AN41" s="82" t="str">
        <x:f>IF($E41="","",AVERAGE($U41:$X41))</x:f>
      </x:c>
      <x:c r="AO41" s="82" t="str">
        <x:f>IF($E41="","",AVERAGE($S41:$T41))</x:f>
      </x:c>
      <x:c r="AP41" s="82" t="str">
        <x:f>IF($E41="","",($AF41*0.08)+($AG41*0.08)+($AH41*0.10))</x:f>
      </x:c>
      <x:c r="AQ41" s="82" t="str">
        <x:f>IF($E41="","",MAX(0,($AN41*0.30)+($Y41*0.20)+($Z41*0.15)+($AA41*0.15)+($AB41*0.10)+($AC41*0.10)+($AE41*0.05)-$AP41))</x:f>
      </x:c>
      <x:c r="AR41" s="81" t="str">
        <x:f>IF($E41="","",IF($AM41="competitive_selection",RANK.EQ($AQ41,$AQ$2:$AQ$201,0),""))</x:f>
      </x:c>
      <x:c r="AS41" s="81" t="str">
        <x:f>IF($E41="","",IF(AND($AM41="non_competitive_inclusion",$AL41="eligible"),"selected",""))</x:f>
      </x:c>
      <x:c r="AT41" s="81" t="str">
        <x:f>IF($E41="","",IF($AM41&lt;&gt;"competitive_selection","",IF(AND($AL41="eligible",$AR41&lt;=8),"selected","context/backlog")))</x:f>
      </x:c>
      <x:c r="AU41" s="81" t="str">
        <x:f>IF($E41="","",IF($AM41="reentry_required","not_selected_reentry",IF($AS41="selected","selected_for_runtime",IF($AT41="selected","selected_for_runtime",IF($AL41="review","manual_review","context_or_not_selected")))))</x:f>
      </x:c>
      <x:c r="AV41" s="81" t="str">
        <x:f>IF($E41="","",IF($AU41="selected_for_runtime",IF($AM41="competitive_selection",$AR41,COUNTIF($AU$2:AU41,"selected_for_runtime")),""))</x:f>
      </x:c>
      <x:c r="AW41" s="81" t="str">
        <x:f>IF($E41="","",IF($AU41="selected_for_runtime",IF($AD41&gt;=2,"base_40_plus_uncertainty_probes",IF($AE41&gt;=2,"base_40_plus_exploratory_probes","base_40_standard")),"no_runtime"))</x:f>
      </x:c>
      <x:c r="AX41" s="81" t="str">
        <x:f>IF($E41="","",IF($AU41&lt;&gt;"selected_for_runtime","none",IF($AE41&gt;=2,"exploratoria",IF($AQ41&gt;=2.2,"alta",IF($AQ41&gt;=1.2,"media","baja")))))</x:f>
      </x:c>
      <x:c r="AY41" s="81" t="str">
        <x:f>IF($E41="","",IF($AJ41=TRUE,"context_with_coverage_gap",IF($AI41="review","context_requires_confirmation","context_ready")))</x:f>
      </x:c>
      <x:c r="AZ41" s="81" t="str">
        <x:f>IF($E41="","",IF($AU41&lt;&gt;"selected_for_runtime","no",IF(OR($AY41="context_with_coverage_gap",$AX41="exploratoria"),"ready_with_flags","ready")))</x:f>
      </x:c>
      <x:c r="BA41" s="81" t="str"/>
      <x:c r="BB41" s="81" t="str"/>
      <x:c r="BC41" s="81" t="str"/>
      <x:c r="BD41" s="81" t="str"/>
      <x:c r="BE41" s="81" t="str"/>
    </x:row>
    <x:row r="42">
      <x:c r="A42" s="81" t="str"/>
      <x:c r="B42" s="81" t="str"/>
      <x:c r="C42" s="81" t="str"/>
      <x:c r="D42" s="81" t="str"/>
      <x:c r="E42" s="81" t="str"/>
      <x:c r="F42" s="81" t="str"/>
      <x:c r="G42" s="81" t="str"/>
      <x:c r="H42" s="81" t="str"/>
      <x:c r="I42" s="81" t="str"/>
      <x:c r="J42" s="81" t="str"/>
      <x:c r="K42" s="81" t="str"/>
      <x:c r="L42" s="81" t="str"/>
      <x:c r="M42" s="81" t="str"/>
      <x:c r="N42" s="81" t="str"/>
      <x:c r="O42" s="81" t="str"/>
      <x:c r="P42" s="81" t="str"/>
      <x:c r="Q42" s="81" t="str"/>
      <x:c r="R42" s="81" t="str"/>
      <x:c r="S42" s="82" t="str"/>
      <x:c r="T42" s="82" t="str"/>
      <x:c r="U42" s="82" t="str"/>
      <x:c r="V42" s="82" t="str"/>
      <x:c r="W42" s="82" t="str"/>
      <x:c r="X42" s="82" t="str"/>
      <x:c r="Y42" s="82" t="str"/>
      <x:c r="Z42" s="82" t="str"/>
      <x:c r="AA42" s="82" t="str"/>
      <x:c r="AB42" s="82" t="str"/>
      <x:c r="AC42" s="82" t="str"/>
      <x:c r="AD42" s="82" t="str"/>
      <x:c r="AE42" s="82" t="str"/>
      <x:c r="AF42" s="82" t="str"/>
      <x:c r="AG42" s="82" t="str"/>
      <x:c r="AH42" s="82" t="str"/>
      <x:c r="AI42" s="81" t="str"/>
      <x:c r="AJ42" s="81" t="str"/>
      <x:c r="AK42" s="81" t="str">
        <x:f>IF($E42="","",IF(AND($M42="yes",OR($N42="yes",$N42="review"),OR($O42="yes",$O42="review"),$P42="fit",OR($Q42="unique",$Q42="alias_review"),$R42&lt;&gt;"context_only"),"pass","review/block"))</x:f>
      </x:c>
      <x:c r="AL42" s="81" t="str">
        <x:f>IF($E42="","",IF($AK42="pass","eligible",IF(OR($M42="no",$O42="no",$P42="too_macro",$P42="too_micro",$P42="context_only",$Q42="duplicate_confirmed",$R42="context_only"),"not_eligible","review")))</x:f>
      </x:c>
      <x:c r="AM42" s="81" t="str">
        <x:f>IF($E42="","",IF($C42=0,"reentry_required",IF($C42&lt;=8,"non_competitive_inclusion","competitive_selection")))</x:f>
      </x:c>
      <x:c r="AN42" s="82" t="str">
        <x:f>IF($E42="","",AVERAGE($U42:$X42))</x:f>
      </x:c>
      <x:c r="AO42" s="82" t="str">
        <x:f>IF($E42="","",AVERAGE($S42:$T42))</x:f>
      </x:c>
      <x:c r="AP42" s="82" t="str">
        <x:f>IF($E42="","",($AF42*0.08)+($AG42*0.08)+($AH42*0.10))</x:f>
      </x:c>
      <x:c r="AQ42" s="82" t="str">
        <x:f>IF($E42="","",MAX(0,($AN42*0.30)+($Y42*0.20)+($Z42*0.15)+($AA42*0.15)+($AB42*0.10)+($AC42*0.10)+($AE42*0.05)-$AP42))</x:f>
      </x:c>
      <x:c r="AR42" s="81" t="str">
        <x:f>IF($E42="","",IF($AM42="competitive_selection",RANK.EQ($AQ42,$AQ$2:$AQ$201,0),""))</x:f>
      </x:c>
      <x:c r="AS42" s="81" t="str">
        <x:f>IF($E42="","",IF(AND($AM42="non_competitive_inclusion",$AL42="eligible"),"selected",""))</x:f>
      </x:c>
      <x:c r="AT42" s="81" t="str">
        <x:f>IF($E42="","",IF($AM42&lt;&gt;"competitive_selection","",IF(AND($AL42="eligible",$AR42&lt;=8),"selected","context/backlog")))</x:f>
      </x:c>
      <x:c r="AU42" s="81" t="str">
        <x:f>IF($E42="","",IF($AM42="reentry_required","not_selected_reentry",IF($AS42="selected","selected_for_runtime",IF($AT42="selected","selected_for_runtime",IF($AL42="review","manual_review","context_or_not_selected")))))</x:f>
      </x:c>
      <x:c r="AV42" s="81" t="str">
        <x:f>IF($E42="","",IF($AU42="selected_for_runtime",IF($AM42="competitive_selection",$AR42,COUNTIF($AU$2:AU42,"selected_for_runtime")),""))</x:f>
      </x:c>
      <x:c r="AW42" s="81" t="str">
        <x:f>IF($E42="","",IF($AU42="selected_for_runtime",IF($AD42&gt;=2,"base_40_plus_uncertainty_probes",IF($AE42&gt;=2,"base_40_plus_exploratory_probes","base_40_standard")),"no_runtime"))</x:f>
      </x:c>
      <x:c r="AX42" s="81" t="str">
        <x:f>IF($E42="","",IF($AU42&lt;&gt;"selected_for_runtime","none",IF($AE42&gt;=2,"exploratoria",IF($AQ42&gt;=2.2,"alta",IF($AQ42&gt;=1.2,"media","baja")))))</x:f>
      </x:c>
      <x:c r="AY42" s="81" t="str">
        <x:f>IF($E42="","",IF($AJ42=TRUE,"context_with_coverage_gap",IF($AI42="review","context_requires_confirmation","context_ready")))</x:f>
      </x:c>
      <x:c r="AZ42" s="81" t="str">
        <x:f>IF($E42="","",IF($AU42&lt;&gt;"selected_for_runtime","no",IF(OR($AY42="context_with_coverage_gap",$AX42="exploratoria"),"ready_with_flags","ready")))</x:f>
      </x:c>
      <x:c r="BA42" s="81" t="str"/>
      <x:c r="BB42" s="81" t="str"/>
      <x:c r="BC42" s="81" t="str"/>
      <x:c r="BD42" s="81" t="str"/>
      <x:c r="BE42" s="81" t="str"/>
    </x:row>
    <x:row r="43">
      <x:c r="A43" s="81" t="str"/>
      <x:c r="B43" s="81" t="str"/>
      <x:c r="C43" s="81" t="str"/>
      <x:c r="D43" s="81" t="str"/>
      <x:c r="E43" s="81" t="str"/>
      <x:c r="F43" s="81" t="str"/>
      <x:c r="G43" s="81" t="str"/>
      <x:c r="H43" s="81" t="str"/>
      <x:c r="I43" s="81" t="str"/>
      <x:c r="J43" s="81" t="str"/>
      <x:c r="K43" s="81" t="str"/>
      <x:c r="L43" s="81" t="str"/>
      <x:c r="M43" s="81" t="str"/>
      <x:c r="N43" s="81" t="str"/>
      <x:c r="O43" s="81" t="str"/>
      <x:c r="P43" s="81" t="str"/>
      <x:c r="Q43" s="81" t="str"/>
      <x:c r="R43" s="81" t="str"/>
      <x:c r="S43" s="82" t="str"/>
      <x:c r="T43" s="82" t="str"/>
      <x:c r="U43" s="82" t="str"/>
      <x:c r="V43" s="82" t="str"/>
      <x:c r="W43" s="82" t="str"/>
      <x:c r="X43" s="82" t="str"/>
      <x:c r="Y43" s="82" t="str"/>
      <x:c r="Z43" s="82" t="str"/>
      <x:c r="AA43" s="82" t="str"/>
      <x:c r="AB43" s="82" t="str"/>
      <x:c r="AC43" s="82" t="str"/>
      <x:c r="AD43" s="82" t="str"/>
      <x:c r="AE43" s="82" t="str"/>
      <x:c r="AF43" s="82" t="str"/>
      <x:c r="AG43" s="82" t="str"/>
      <x:c r="AH43" s="82" t="str"/>
      <x:c r="AI43" s="81" t="str"/>
      <x:c r="AJ43" s="81" t="str"/>
      <x:c r="AK43" s="81" t="str">
        <x:f>IF($E43="","",IF(AND($M43="yes",OR($N43="yes",$N43="review"),OR($O43="yes",$O43="review"),$P43="fit",OR($Q43="unique",$Q43="alias_review"),$R43&lt;&gt;"context_only"),"pass","review/block"))</x:f>
      </x:c>
      <x:c r="AL43" s="81" t="str">
        <x:f>IF($E43="","",IF($AK43="pass","eligible",IF(OR($M43="no",$O43="no",$P43="too_macro",$P43="too_micro",$P43="context_only",$Q43="duplicate_confirmed",$R43="context_only"),"not_eligible","review")))</x:f>
      </x:c>
      <x:c r="AM43" s="81" t="str">
        <x:f>IF($E43="","",IF($C43=0,"reentry_required",IF($C43&lt;=8,"non_competitive_inclusion","competitive_selection")))</x:f>
      </x:c>
      <x:c r="AN43" s="82" t="str">
        <x:f>IF($E43="","",AVERAGE($U43:$X43))</x:f>
      </x:c>
      <x:c r="AO43" s="82" t="str">
        <x:f>IF($E43="","",AVERAGE($S43:$T43))</x:f>
      </x:c>
      <x:c r="AP43" s="82" t="str">
        <x:f>IF($E43="","",($AF43*0.08)+($AG43*0.08)+($AH43*0.10))</x:f>
      </x:c>
      <x:c r="AQ43" s="82" t="str">
        <x:f>IF($E43="","",MAX(0,($AN43*0.30)+($Y43*0.20)+($Z43*0.15)+($AA43*0.15)+($AB43*0.10)+($AC43*0.10)+($AE43*0.05)-$AP43))</x:f>
      </x:c>
      <x:c r="AR43" s="81" t="str">
        <x:f>IF($E43="","",IF($AM43="competitive_selection",RANK.EQ($AQ43,$AQ$2:$AQ$201,0),""))</x:f>
      </x:c>
      <x:c r="AS43" s="81" t="str">
        <x:f>IF($E43="","",IF(AND($AM43="non_competitive_inclusion",$AL43="eligible"),"selected",""))</x:f>
      </x:c>
      <x:c r="AT43" s="81" t="str">
        <x:f>IF($E43="","",IF($AM43&lt;&gt;"competitive_selection","",IF(AND($AL43="eligible",$AR43&lt;=8),"selected","context/backlog")))</x:f>
      </x:c>
      <x:c r="AU43" s="81" t="str">
        <x:f>IF($E43="","",IF($AM43="reentry_required","not_selected_reentry",IF($AS43="selected","selected_for_runtime",IF($AT43="selected","selected_for_runtime",IF($AL43="review","manual_review","context_or_not_selected")))))</x:f>
      </x:c>
      <x:c r="AV43" s="81" t="str">
        <x:f>IF($E43="","",IF($AU43="selected_for_runtime",IF($AM43="competitive_selection",$AR43,COUNTIF($AU$2:AU43,"selected_for_runtime")),""))</x:f>
      </x:c>
      <x:c r="AW43" s="81" t="str">
        <x:f>IF($E43="","",IF($AU43="selected_for_runtime",IF($AD43&gt;=2,"base_40_plus_uncertainty_probes",IF($AE43&gt;=2,"base_40_plus_exploratory_probes","base_40_standard")),"no_runtime"))</x:f>
      </x:c>
      <x:c r="AX43" s="81" t="str">
        <x:f>IF($E43="","",IF($AU43&lt;&gt;"selected_for_runtime","none",IF($AE43&gt;=2,"exploratoria",IF($AQ43&gt;=2.2,"alta",IF($AQ43&gt;=1.2,"media","baja")))))</x:f>
      </x:c>
      <x:c r="AY43" s="81" t="str">
        <x:f>IF($E43="","",IF($AJ43=TRUE,"context_with_coverage_gap",IF($AI43="review","context_requires_confirmation","context_ready")))</x:f>
      </x:c>
      <x:c r="AZ43" s="81" t="str">
        <x:f>IF($E43="","",IF($AU43&lt;&gt;"selected_for_runtime","no",IF(OR($AY43="context_with_coverage_gap",$AX43="exploratoria"),"ready_with_flags","ready")))</x:f>
      </x:c>
      <x:c r="BA43" s="81" t="str"/>
      <x:c r="BB43" s="81" t="str"/>
      <x:c r="BC43" s="81" t="str"/>
      <x:c r="BD43" s="81" t="str"/>
      <x:c r="BE43" s="81" t="str"/>
    </x:row>
    <x:row r="44">
      <x:c r="A44" s="81" t="str"/>
      <x:c r="B44" s="81" t="str"/>
      <x:c r="C44" s="81" t="str"/>
      <x:c r="D44" s="81" t="str"/>
      <x:c r="E44" s="81" t="str"/>
      <x:c r="F44" s="81" t="str"/>
      <x:c r="G44" s="81" t="str"/>
      <x:c r="H44" s="81" t="str"/>
      <x:c r="I44" s="81" t="str"/>
      <x:c r="J44" s="81" t="str"/>
      <x:c r="K44" s="81" t="str"/>
      <x:c r="L44" s="81" t="str"/>
      <x:c r="M44" s="81" t="str"/>
      <x:c r="N44" s="81" t="str"/>
      <x:c r="O44" s="81" t="str"/>
      <x:c r="P44" s="81" t="str"/>
      <x:c r="Q44" s="81" t="str"/>
      <x:c r="R44" s="81" t="str"/>
      <x:c r="S44" s="82" t="str"/>
      <x:c r="T44" s="82" t="str"/>
      <x:c r="U44" s="82" t="str"/>
      <x:c r="V44" s="82" t="str"/>
      <x:c r="W44" s="82" t="str"/>
      <x:c r="X44" s="82" t="str"/>
      <x:c r="Y44" s="82" t="str"/>
      <x:c r="Z44" s="82" t="str"/>
      <x:c r="AA44" s="82" t="str"/>
      <x:c r="AB44" s="82" t="str"/>
      <x:c r="AC44" s="82" t="str"/>
      <x:c r="AD44" s="82" t="str"/>
      <x:c r="AE44" s="82" t="str"/>
      <x:c r="AF44" s="82" t="str"/>
      <x:c r="AG44" s="82" t="str"/>
      <x:c r="AH44" s="82" t="str"/>
      <x:c r="AI44" s="81" t="str"/>
      <x:c r="AJ44" s="81" t="str"/>
      <x:c r="AK44" s="81" t="str">
        <x:f>IF($E44="","",IF(AND($M44="yes",OR($N44="yes",$N44="review"),OR($O44="yes",$O44="review"),$P44="fit",OR($Q44="unique",$Q44="alias_review"),$R44&lt;&gt;"context_only"),"pass","review/block"))</x:f>
      </x:c>
      <x:c r="AL44" s="81" t="str">
        <x:f>IF($E44="","",IF($AK44="pass","eligible",IF(OR($M44="no",$O44="no",$P44="too_macro",$P44="too_micro",$P44="context_only",$Q44="duplicate_confirmed",$R44="context_only"),"not_eligible","review")))</x:f>
      </x:c>
      <x:c r="AM44" s="81" t="str">
        <x:f>IF($E44="","",IF($C44=0,"reentry_required",IF($C44&lt;=8,"non_competitive_inclusion","competitive_selection")))</x:f>
      </x:c>
      <x:c r="AN44" s="82" t="str">
        <x:f>IF($E44="","",AVERAGE($U44:$X44))</x:f>
      </x:c>
      <x:c r="AO44" s="82" t="str">
        <x:f>IF($E44="","",AVERAGE($S44:$T44))</x:f>
      </x:c>
      <x:c r="AP44" s="82" t="str">
        <x:f>IF($E44="","",($AF44*0.08)+($AG44*0.08)+($AH44*0.10))</x:f>
      </x:c>
      <x:c r="AQ44" s="82" t="str">
        <x:f>IF($E44="","",MAX(0,($AN44*0.30)+($Y44*0.20)+($Z44*0.15)+($AA44*0.15)+($AB44*0.10)+($AC44*0.10)+($AE44*0.05)-$AP44))</x:f>
      </x:c>
      <x:c r="AR44" s="81" t="str">
        <x:f>IF($E44="","",IF($AM44="competitive_selection",RANK.EQ($AQ44,$AQ$2:$AQ$201,0),""))</x:f>
      </x:c>
      <x:c r="AS44" s="81" t="str">
        <x:f>IF($E44="","",IF(AND($AM44="non_competitive_inclusion",$AL44="eligible"),"selected",""))</x:f>
      </x:c>
      <x:c r="AT44" s="81" t="str">
        <x:f>IF($E44="","",IF($AM44&lt;&gt;"competitive_selection","",IF(AND($AL44="eligible",$AR44&lt;=8),"selected","context/backlog")))</x:f>
      </x:c>
      <x:c r="AU44" s="81" t="str">
        <x:f>IF($E44="","",IF($AM44="reentry_required","not_selected_reentry",IF($AS44="selected","selected_for_runtime",IF($AT44="selected","selected_for_runtime",IF($AL44="review","manual_review","context_or_not_selected")))))</x:f>
      </x:c>
      <x:c r="AV44" s="81" t="str">
        <x:f>IF($E44="","",IF($AU44="selected_for_runtime",IF($AM44="competitive_selection",$AR44,COUNTIF($AU$2:AU44,"selected_for_runtime")),""))</x:f>
      </x:c>
      <x:c r="AW44" s="81" t="str">
        <x:f>IF($E44="","",IF($AU44="selected_for_runtime",IF($AD44&gt;=2,"base_40_plus_uncertainty_probes",IF($AE44&gt;=2,"base_40_plus_exploratory_probes","base_40_standard")),"no_runtime"))</x:f>
      </x:c>
      <x:c r="AX44" s="81" t="str">
        <x:f>IF($E44="","",IF($AU44&lt;&gt;"selected_for_runtime","none",IF($AE44&gt;=2,"exploratoria",IF($AQ44&gt;=2.2,"alta",IF($AQ44&gt;=1.2,"media","baja")))))</x:f>
      </x:c>
      <x:c r="AY44" s="81" t="str">
        <x:f>IF($E44="","",IF($AJ44=TRUE,"context_with_coverage_gap",IF($AI44="review","context_requires_confirmation","context_ready")))</x:f>
      </x:c>
      <x:c r="AZ44" s="81" t="str">
        <x:f>IF($E44="","",IF($AU44&lt;&gt;"selected_for_runtime","no",IF(OR($AY44="context_with_coverage_gap",$AX44="exploratoria"),"ready_with_flags","ready")))</x:f>
      </x:c>
      <x:c r="BA44" s="81" t="str"/>
      <x:c r="BB44" s="81" t="str"/>
      <x:c r="BC44" s="81" t="str"/>
      <x:c r="BD44" s="81" t="str"/>
      <x:c r="BE44" s="81" t="str"/>
    </x:row>
    <x:row r="45">
      <x:c r="A45" s="81" t="str"/>
      <x:c r="B45" s="81" t="str"/>
      <x:c r="C45" s="81" t="str"/>
      <x:c r="D45" s="81" t="str"/>
      <x:c r="E45" s="81" t="str"/>
      <x:c r="F45" s="81" t="str"/>
      <x:c r="G45" s="81" t="str"/>
      <x:c r="H45" s="81" t="str"/>
      <x:c r="I45" s="81" t="str"/>
      <x:c r="J45" s="81" t="str"/>
      <x:c r="K45" s="81" t="str"/>
      <x:c r="L45" s="81" t="str"/>
      <x:c r="M45" s="81" t="str"/>
      <x:c r="N45" s="81" t="str"/>
      <x:c r="O45" s="81" t="str"/>
      <x:c r="P45" s="81" t="str"/>
      <x:c r="Q45" s="81" t="str"/>
      <x:c r="R45" s="81" t="str"/>
      <x:c r="S45" s="82" t="str"/>
      <x:c r="T45" s="82" t="str"/>
      <x:c r="U45" s="82" t="str"/>
      <x:c r="V45" s="82" t="str"/>
      <x:c r="W45" s="82" t="str"/>
      <x:c r="X45" s="82" t="str"/>
      <x:c r="Y45" s="82" t="str"/>
      <x:c r="Z45" s="82" t="str"/>
      <x:c r="AA45" s="82" t="str"/>
      <x:c r="AB45" s="82" t="str"/>
      <x:c r="AC45" s="82" t="str"/>
      <x:c r="AD45" s="82" t="str"/>
      <x:c r="AE45" s="82" t="str"/>
      <x:c r="AF45" s="82" t="str"/>
      <x:c r="AG45" s="82" t="str"/>
      <x:c r="AH45" s="82" t="str"/>
      <x:c r="AI45" s="81" t="str"/>
      <x:c r="AJ45" s="81" t="str"/>
      <x:c r="AK45" s="81" t="str">
        <x:f>IF($E45="","",IF(AND($M45="yes",OR($N45="yes",$N45="review"),OR($O45="yes",$O45="review"),$P45="fit",OR($Q45="unique",$Q45="alias_review"),$R45&lt;&gt;"context_only"),"pass","review/block"))</x:f>
      </x:c>
      <x:c r="AL45" s="81" t="str">
        <x:f>IF($E45="","",IF($AK45="pass","eligible",IF(OR($M45="no",$O45="no",$P45="too_macro",$P45="too_micro",$P45="context_only",$Q45="duplicate_confirmed",$R45="context_only"),"not_eligible","review")))</x:f>
      </x:c>
      <x:c r="AM45" s="81" t="str">
        <x:f>IF($E45="","",IF($C45=0,"reentry_required",IF($C45&lt;=8,"non_competitive_inclusion","competitive_selection")))</x:f>
      </x:c>
      <x:c r="AN45" s="82" t="str">
        <x:f>IF($E45="","",AVERAGE($U45:$X45))</x:f>
      </x:c>
      <x:c r="AO45" s="82" t="str">
        <x:f>IF($E45="","",AVERAGE($S45:$T45))</x:f>
      </x:c>
      <x:c r="AP45" s="82" t="str">
        <x:f>IF($E45="","",($AF45*0.08)+($AG45*0.08)+($AH45*0.10))</x:f>
      </x:c>
      <x:c r="AQ45" s="82" t="str">
        <x:f>IF($E45="","",MAX(0,($AN45*0.30)+($Y45*0.20)+($Z45*0.15)+($AA45*0.15)+($AB45*0.10)+($AC45*0.10)+($AE45*0.05)-$AP45))</x:f>
      </x:c>
      <x:c r="AR45" s="81" t="str">
        <x:f>IF($E45="","",IF($AM45="competitive_selection",RANK.EQ($AQ45,$AQ$2:$AQ$201,0),""))</x:f>
      </x:c>
      <x:c r="AS45" s="81" t="str">
        <x:f>IF($E45="","",IF(AND($AM45="non_competitive_inclusion",$AL45="eligible"),"selected",""))</x:f>
      </x:c>
      <x:c r="AT45" s="81" t="str">
        <x:f>IF($E45="","",IF($AM45&lt;&gt;"competitive_selection","",IF(AND($AL45="eligible",$AR45&lt;=8),"selected","context/backlog")))</x:f>
      </x:c>
      <x:c r="AU45" s="81" t="str">
        <x:f>IF($E45="","",IF($AM45="reentry_required","not_selected_reentry",IF($AS45="selected","selected_for_runtime",IF($AT45="selected","selected_for_runtime",IF($AL45="review","manual_review","context_or_not_selected")))))</x:f>
      </x:c>
      <x:c r="AV45" s="81" t="str">
        <x:f>IF($E45="","",IF($AU45="selected_for_runtime",IF($AM45="competitive_selection",$AR45,COUNTIF($AU$2:AU45,"selected_for_runtime")),""))</x:f>
      </x:c>
      <x:c r="AW45" s="81" t="str">
        <x:f>IF($E45="","",IF($AU45="selected_for_runtime",IF($AD45&gt;=2,"base_40_plus_uncertainty_probes",IF($AE45&gt;=2,"base_40_plus_exploratory_probes","base_40_standard")),"no_runtime"))</x:f>
      </x:c>
      <x:c r="AX45" s="81" t="str">
        <x:f>IF($E45="","",IF($AU45&lt;&gt;"selected_for_runtime","none",IF($AE45&gt;=2,"exploratoria",IF($AQ45&gt;=2.2,"alta",IF($AQ45&gt;=1.2,"media","baja")))))</x:f>
      </x:c>
      <x:c r="AY45" s="81" t="str">
        <x:f>IF($E45="","",IF($AJ45=TRUE,"context_with_coverage_gap",IF($AI45="review","context_requires_confirmation","context_ready")))</x:f>
      </x:c>
      <x:c r="AZ45" s="81" t="str">
        <x:f>IF($E45="","",IF($AU45&lt;&gt;"selected_for_runtime","no",IF(OR($AY45="context_with_coverage_gap",$AX45="exploratoria"),"ready_with_flags","ready")))</x:f>
      </x:c>
      <x:c r="BA45" s="81" t="str"/>
      <x:c r="BB45" s="81" t="str"/>
      <x:c r="BC45" s="81" t="str"/>
      <x:c r="BD45" s="81" t="str"/>
      <x:c r="BE45" s="81" t="str"/>
    </x:row>
    <x:row r="46">
      <x:c r="A46" s="81" t="str"/>
      <x:c r="B46" s="81" t="str"/>
      <x:c r="C46" s="81" t="str"/>
      <x:c r="D46" s="81" t="str"/>
      <x:c r="E46" s="81" t="str"/>
      <x:c r="F46" s="81" t="str"/>
      <x:c r="G46" s="81" t="str"/>
      <x:c r="H46" s="81" t="str"/>
      <x:c r="I46" s="81" t="str"/>
      <x:c r="J46" s="81" t="str"/>
      <x:c r="K46" s="81" t="str"/>
      <x:c r="L46" s="81" t="str"/>
      <x:c r="M46" s="81" t="str"/>
      <x:c r="N46" s="81" t="str"/>
      <x:c r="O46" s="81" t="str"/>
      <x:c r="P46" s="81" t="str"/>
      <x:c r="Q46" s="81" t="str"/>
      <x:c r="R46" s="81" t="str"/>
      <x:c r="S46" s="82" t="str"/>
      <x:c r="T46" s="82" t="str"/>
      <x:c r="U46" s="82" t="str"/>
      <x:c r="V46" s="82" t="str"/>
      <x:c r="W46" s="82" t="str"/>
      <x:c r="X46" s="82" t="str"/>
      <x:c r="Y46" s="82" t="str"/>
      <x:c r="Z46" s="82" t="str"/>
      <x:c r="AA46" s="82" t="str"/>
      <x:c r="AB46" s="82" t="str"/>
      <x:c r="AC46" s="82" t="str"/>
      <x:c r="AD46" s="82" t="str"/>
      <x:c r="AE46" s="82" t="str"/>
      <x:c r="AF46" s="82" t="str"/>
      <x:c r="AG46" s="82" t="str"/>
      <x:c r="AH46" s="82" t="str"/>
      <x:c r="AI46" s="81" t="str"/>
      <x:c r="AJ46" s="81" t="str"/>
      <x:c r="AK46" s="81" t="str">
        <x:f>IF($E46="","",IF(AND($M46="yes",OR($N46="yes",$N46="review"),OR($O46="yes",$O46="review"),$P46="fit",OR($Q46="unique",$Q46="alias_review"),$R46&lt;&gt;"context_only"),"pass","review/block"))</x:f>
      </x:c>
      <x:c r="AL46" s="81" t="str">
        <x:f>IF($E46="","",IF($AK46="pass","eligible",IF(OR($M46="no",$O46="no",$P46="too_macro",$P46="too_micro",$P46="context_only",$Q46="duplicate_confirmed",$R46="context_only"),"not_eligible","review")))</x:f>
      </x:c>
      <x:c r="AM46" s="81" t="str">
        <x:f>IF($E46="","",IF($C46=0,"reentry_required",IF($C46&lt;=8,"non_competitive_inclusion","competitive_selection")))</x:f>
      </x:c>
      <x:c r="AN46" s="82" t="str">
        <x:f>IF($E46="","",AVERAGE($U46:$X46))</x:f>
      </x:c>
      <x:c r="AO46" s="82" t="str">
        <x:f>IF($E46="","",AVERAGE($S46:$T46))</x:f>
      </x:c>
      <x:c r="AP46" s="82" t="str">
        <x:f>IF($E46="","",($AF46*0.08)+($AG46*0.08)+($AH46*0.10))</x:f>
      </x:c>
      <x:c r="AQ46" s="82" t="str">
        <x:f>IF($E46="","",MAX(0,($AN46*0.30)+($Y46*0.20)+($Z46*0.15)+($AA46*0.15)+($AB46*0.10)+($AC46*0.10)+($AE46*0.05)-$AP46))</x:f>
      </x:c>
      <x:c r="AR46" s="81" t="str">
        <x:f>IF($E46="","",IF($AM46="competitive_selection",RANK.EQ($AQ46,$AQ$2:$AQ$201,0),""))</x:f>
      </x:c>
      <x:c r="AS46" s="81" t="str">
        <x:f>IF($E46="","",IF(AND($AM46="non_competitive_inclusion",$AL46="eligible"),"selected",""))</x:f>
      </x:c>
      <x:c r="AT46" s="81" t="str">
        <x:f>IF($E46="","",IF($AM46&lt;&gt;"competitive_selection","",IF(AND($AL46="eligible",$AR46&lt;=8),"selected","context/backlog")))</x:f>
      </x:c>
      <x:c r="AU46" s="81" t="str">
        <x:f>IF($E46="","",IF($AM46="reentry_required","not_selected_reentry",IF($AS46="selected","selected_for_runtime",IF($AT46="selected","selected_for_runtime",IF($AL46="review","manual_review","context_or_not_selected")))))</x:f>
      </x:c>
      <x:c r="AV46" s="81" t="str">
        <x:f>IF($E46="","",IF($AU46="selected_for_runtime",IF($AM46="competitive_selection",$AR46,COUNTIF($AU$2:AU46,"selected_for_runtime")),""))</x:f>
      </x:c>
      <x:c r="AW46" s="81" t="str">
        <x:f>IF($E46="","",IF($AU46="selected_for_runtime",IF($AD46&gt;=2,"base_40_plus_uncertainty_probes",IF($AE46&gt;=2,"base_40_plus_exploratory_probes","base_40_standard")),"no_runtime"))</x:f>
      </x:c>
      <x:c r="AX46" s="81" t="str">
        <x:f>IF($E46="","",IF($AU46&lt;&gt;"selected_for_runtime","none",IF($AE46&gt;=2,"exploratoria",IF($AQ46&gt;=2.2,"alta",IF($AQ46&gt;=1.2,"media","baja")))))</x:f>
      </x:c>
      <x:c r="AY46" s="81" t="str">
        <x:f>IF($E46="","",IF($AJ46=TRUE,"context_with_coverage_gap",IF($AI46="review","context_requires_confirmation","context_ready")))</x:f>
      </x:c>
      <x:c r="AZ46" s="81" t="str">
        <x:f>IF($E46="","",IF($AU46&lt;&gt;"selected_for_runtime","no",IF(OR($AY46="context_with_coverage_gap",$AX46="exploratoria"),"ready_with_flags","ready")))</x:f>
      </x:c>
      <x:c r="BA46" s="81" t="str"/>
      <x:c r="BB46" s="81" t="str"/>
      <x:c r="BC46" s="81" t="str"/>
      <x:c r="BD46" s="81" t="str"/>
      <x:c r="BE46" s="81" t="str"/>
    </x:row>
    <x:row r="47">
      <x:c r="A47" s="81" t="str"/>
      <x:c r="B47" s="81" t="str"/>
      <x:c r="C47" s="81" t="str"/>
      <x:c r="D47" s="81" t="str"/>
      <x:c r="E47" s="81" t="str"/>
      <x:c r="F47" s="81" t="str"/>
      <x:c r="G47" s="81" t="str"/>
      <x:c r="H47" s="81" t="str"/>
      <x:c r="I47" s="81" t="str"/>
      <x:c r="J47" s="81" t="str"/>
      <x:c r="K47" s="81" t="str"/>
      <x:c r="L47" s="81" t="str"/>
      <x:c r="M47" s="81" t="str"/>
      <x:c r="N47" s="81" t="str"/>
      <x:c r="O47" s="81" t="str"/>
      <x:c r="P47" s="81" t="str"/>
      <x:c r="Q47" s="81" t="str"/>
      <x:c r="R47" s="81" t="str"/>
      <x:c r="S47" s="82" t="str"/>
      <x:c r="T47" s="82" t="str"/>
      <x:c r="U47" s="82" t="str"/>
      <x:c r="V47" s="82" t="str"/>
      <x:c r="W47" s="82" t="str"/>
      <x:c r="X47" s="82" t="str"/>
      <x:c r="Y47" s="82" t="str"/>
      <x:c r="Z47" s="82" t="str"/>
      <x:c r="AA47" s="82" t="str"/>
      <x:c r="AB47" s="82" t="str"/>
      <x:c r="AC47" s="82" t="str"/>
      <x:c r="AD47" s="82" t="str"/>
      <x:c r="AE47" s="82" t="str"/>
      <x:c r="AF47" s="82" t="str"/>
      <x:c r="AG47" s="82" t="str"/>
      <x:c r="AH47" s="82" t="str"/>
      <x:c r="AI47" s="81" t="str"/>
      <x:c r="AJ47" s="81" t="str"/>
      <x:c r="AK47" s="81" t="str">
        <x:f>IF($E47="","",IF(AND($M47="yes",OR($N47="yes",$N47="review"),OR($O47="yes",$O47="review"),$P47="fit",OR($Q47="unique",$Q47="alias_review"),$R47&lt;&gt;"context_only"),"pass","review/block"))</x:f>
      </x:c>
      <x:c r="AL47" s="81" t="str">
        <x:f>IF($E47="","",IF($AK47="pass","eligible",IF(OR($M47="no",$O47="no",$P47="too_macro",$P47="too_micro",$P47="context_only",$Q47="duplicate_confirmed",$R47="context_only"),"not_eligible","review")))</x:f>
      </x:c>
      <x:c r="AM47" s="81" t="str">
        <x:f>IF($E47="","",IF($C47=0,"reentry_required",IF($C47&lt;=8,"non_competitive_inclusion","competitive_selection")))</x:f>
      </x:c>
      <x:c r="AN47" s="82" t="str">
        <x:f>IF($E47="","",AVERAGE($U47:$X47))</x:f>
      </x:c>
      <x:c r="AO47" s="82" t="str">
        <x:f>IF($E47="","",AVERAGE($S47:$T47))</x:f>
      </x:c>
      <x:c r="AP47" s="82" t="str">
        <x:f>IF($E47="","",($AF47*0.08)+($AG47*0.08)+($AH47*0.10))</x:f>
      </x:c>
      <x:c r="AQ47" s="82" t="str">
        <x:f>IF($E47="","",MAX(0,($AN47*0.30)+($Y47*0.20)+($Z47*0.15)+($AA47*0.15)+($AB47*0.10)+($AC47*0.10)+($AE47*0.05)-$AP47))</x:f>
      </x:c>
      <x:c r="AR47" s="81" t="str">
        <x:f>IF($E47="","",IF($AM47="competitive_selection",RANK.EQ($AQ47,$AQ$2:$AQ$201,0),""))</x:f>
      </x:c>
      <x:c r="AS47" s="81" t="str">
        <x:f>IF($E47="","",IF(AND($AM47="non_competitive_inclusion",$AL47="eligible"),"selected",""))</x:f>
      </x:c>
      <x:c r="AT47" s="81" t="str">
        <x:f>IF($E47="","",IF($AM47&lt;&gt;"competitive_selection","",IF(AND($AL47="eligible",$AR47&lt;=8),"selected","context/backlog")))</x:f>
      </x:c>
      <x:c r="AU47" s="81" t="str">
        <x:f>IF($E47="","",IF($AM47="reentry_required","not_selected_reentry",IF($AS47="selected","selected_for_runtime",IF($AT47="selected","selected_for_runtime",IF($AL47="review","manual_review","context_or_not_selected")))))</x:f>
      </x:c>
      <x:c r="AV47" s="81" t="str">
        <x:f>IF($E47="","",IF($AU47="selected_for_runtime",IF($AM47="competitive_selection",$AR47,COUNTIF($AU$2:AU47,"selected_for_runtime")),""))</x:f>
      </x:c>
      <x:c r="AW47" s="81" t="str">
        <x:f>IF($E47="","",IF($AU47="selected_for_runtime",IF($AD47&gt;=2,"base_40_plus_uncertainty_probes",IF($AE47&gt;=2,"base_40_plus_exploratory_probes","base_40_standard")),"no_runtime"))</x:f>
      </x:c>
      <x:c r="AX47" s="81" t="str">
        <x:f>IF($E47="","",IF($AU47&lt;&gt;"selected_for_runtime","none",IF($AE47&gt;=2,"exploratoria",IF($AQ47&gt;=2.2,"alta",IF($AQ47&gt;=1.2,"media","baja")))))</x:f>
      </x:c>
      <x:c r="AY47" s="81" t="str">
        <x:f>IF($E47="","",IF($AJ47=TRUE,"context_with_coverage_gap",IF($AI47="review","context_requires_confirmation","context_ready")))</x:f>
      </x:c>
      <x:c r="AZ47" s="81" t="str">
        <x:f>IF($E47="","",IF($AU47&lt;&gt;"selected_for_runtime","no",IF(OR($AY47="context_with_coverage_gap",$AX47="exploratoria"),"ready_with_flags","ready")))</x:f>
      </x:c>
      <x:c r="BA47" s="81" t="str"/>
      <x:c r="BB47" s="81" t="str"/>
      <x:c r="BC47" s="81" t="str"/>
      <x:c r="BD47" s="81" t="str"/>
      <x:c r="BE47" s="81" t="str"/>
    </x:row>
    <x:row r="48">
      <x:c r="A48" s="81" t="str"/>
      <x:c r="B48" s="81" t="str"/>
      <x:c r="C48" s="81" t="str"/>
      <x:c r="D48" s="81" t="str"/>
      <x:c r="E48" s="81" t="str"/>
      <x:c r="F48" s="81" t="str"/>
      <x:c r="G48" s="81" t="str"/>
      <x:c r="H48" s="81" t="str"/>
      <x:c r="I48" s="81" t="str"/>
      <x:c r="J48" s="81" t="str"/>
      <x:c r="K48" s="81" t="str"/>
      <x:c r="L48" s="81" t="str"/>
      <x:c r="M48" s="81" t="str"/>
      <x:c r="N48" s="81" t="str"/>
      <x:c r="O48" s="81" t="str"/>
      <x:c r="P48" s="81" t="str"/>
      <x:c r="Q48" s="81" t="str"/>
      <x:c r="R48" s="81" t="str"/>
      <x:c r="S48" s="82" t="str"/>
      <x:c r="T48" s="82" t="str"/>
      <x:c r="U48" s="82" t="str"/>
      <x:c r="V48" s="82" t="str"/>
      <x:c r="W48" s="82" t="str"/>
      <x:c r="X48" s="82" t="str"/>
      <x:c r="Y48" s="82" t="str"/>
      <x:c r="Z48" s="82" t="str"/>
      <x:c r="AA48" s="82" t="str"/>
      <x:c r="AB48" s="82" t="str"/>
      <x:c r="AC48" s="82" t="str"/>
      <x:c r="AD48" s="82" t="str"/>
      <x:c r="AE48" s="82" t="str"/>
      <x:c r="AF48" s="82" t="str"/>
      <x:c r="AG48" s="82" t="str"/>
      <x:c r="AH48" s="82" t="str"/>
      <x:c r="AI48" s="81" t="str"/>
      <x:c r="AJ48" s="81" t="str"/>
      <x:c r="AK48" s="81" t="str">
        <x:f>IF($E48="","",IF(AND($M48="yes",OR($N48="yes",$N48="review"),OR($O48="yes",$O48="review"),$P48="fit",OR($Q48="unique",$Q48="alias_review"),$R48&lt;&gt;"context_only"),"pass","review/block"))</x:f>
      </x:c>
      <x:c r="AL48" s="81" t="str">
        <x:f>IF($E48="","",IF($AK48="pass","eligible",IF(OR($M48="no",$O48="no",$P48="too_macro",$P48="too_micro",$P48="context_only",$Q48="duplicate_confirmed",$R48="context_only"),"not_eligible","review")))</x:f>
      </x:c>
      <x:c r="AM48" s="81" t="str">
        <x:f>IF($E48="","",IF($C48=0,"reentry_required",IF($C48&lt;=8,"non_competitive_inclusion","competitive_selection")))</x:f>
      </x:c>
      <x:c r="AN48" s="82" t="str">
        <x:f>IF($E48="","",AVERAGE($U48:$X48))</x:f>
      </x:c>
      <x:c r="AO48" s="82" t="str">
        <x:f>IF($E48="","",AVERAGE($S48:$T48))</x:f>
      </x:c>
      <x:c r="AP48" s="82" t="str">
        <x:f>IF($E48="","",($AF48*0.08)+($AG48*0.08)+($AH48*0.10))</x:f>
      </x:c>
      <x:c r="AQ48" s="82" t="str">
        <x:f>IF($E48="","",MAX(0,($AN48*0.30)+($Y48*0.20)+($Z48*0.15)+($AA48*0.15)+($AB48*0.10)+($AC48*0.10)+($AE48*0.05)-$AP48))</x:f>
      </x:c>
      <x:c r="AR48" s="81" t="str">
        <x:f>IF($E48="","",IF($AM48="competitive_selection",RANK.EQ($AQ48,$AQ$2:$AQ$201,0),""))</x:f>
      </x:c>
      <x:c r="AS48" s="81" t="str">
        <x:f>IF($E48="","",IF(AND($AM48="non_competitive_inclusion",$AL48="eligible"),"selected",""))</x:f>
      </x:c>
      <x:c r="AT48" s="81" t="str">
        <x:f>IF($E48="","",IF($AM48&lt;&gt;"competitive_selection","",IF(AND($AL48="eligible",$AR48&lt;=8),"selected","context/backlog")))</x:f>
      </x:c>
      <x:c r="AU48" s="81" t="str">
        <x:f>IF($E48="","",IF($AM48="reentry_required","not_selected_reentry",IF($AS48="selected","selected_for_runtime",IF($AT48="selected","selected_for_runtime",IF($AL48="review","manual_review","context_or_not_selected")))))</x:f>
      </x:c>
      <x:c r="AV48" s="81" t="str">
        <x:f>IF($E48="","",IF($AU48="selected_for_runtime",IF($AM48="competitive_selection",$AR48,COUNTIF($AU$2:AU48,"selected_for_runtime")),""))</x:f>
      </x:c>
      <x:c r="AW48" s="81" t="str">
        <x:f>IF($E48="","",IF($AU48="selected_for_runtime",IF($AD48&gt;=2,"base_40_plus_uncertainty_probes",IF($AE48&gt;=2,"base_40_plus_exploratory_probes","base_40_standard")),"no_runtime"))</x:f>
      </x:c>
      <x:c r="AX48" s="81" t="str">
        <x:f>IF($E48="","",IF($AU48&lt;&gt;"selected_for_runtime","none",IF($AE48&gt;=2,"exploratoria",IF($AQ48&gt;=2.2,"alta",IF($AQ48&gt;=1.2,"media","baja")))))</x:f>
      </x:c>
      <x:c r="AY48" s="81" t="str">
        <x:f>IF($E48="","",IF($AJ48=TRUE,"context_with_coverage_gap",IF($AI48="review","context_requires_confirmation","context_ready")))</x:f>
      </x:c>
      <x:c r="AZ48" s="81" t="str">
        <x:f>IF($E48="","",IF($AU48&lt;&gt;"selected_for_runtime","no",IF(OR($AY48="context_with_coverage_gap",$AX48="exploratoria"),"ready_with_flags","ready")))</x:f>
      </x:c>
      <x:c r="BA48" s="81" t="str"/>
      <x:c r="BB48" s="81" t="str"/>
      <x:c r="BC48" s="81" t="str"/>
      <x:c r="BD48" s="81" t="str"/>
      <x:c r="BE48" s="81" t="str"/>
    </x:row>
    <x:row r="49">
      <x:c r="A49" s="81" t="str"/>
      <x:c r="B49" s="81" t="str"/>
      <x:c r="C49" s="81" t="str"/>
      <x:c r="D49" s="81" t="str"/>
      <x:c r="E49" s="81" t="str"/>
      <x:c r="F49" s="81" t="str"/>
      <x:c r="G49" s="81" t="str"/>
      <x:c r="H49" s="81" t="str"/>
      <x:c r="I49" s="81" t="str"/>
      <x:c r="J49" s="81" t="str"/>
      <x:c r="K49" s="81" t="str"/>
      <x:c r="L49" s="81" t="str"/>
      <x:c r="M49" s="81" t="str"/>
      <x:c r="N49" s="81" t="str"/>
      <x:c r="O49" s="81" t="str"/>
      <x:c r="P49" s="81" t="str"/>
      <x:c r="Q49" s="81" t="str"/>
      <x:c r="R49" s="81" t="str"/>
      <x:c r="S49" s="82" t="str"/>
      <x:c r="T49" s="82" t="str"/>
      <x:c r="U49" s="82" t="str"/>
      <x:c r="V49" s="82" t="str"/>
      <x:c r="W49" s="82" t="str"/>
      <x:c r="X49" s="82" t="str"/>
      <x:c r="Y49" s="82" t="str"/>
      <x:c r="Z49" s="82" t="str"/>
      <x:c r="AA49" s="82" t="str"/>
      <x:c r="AB49" s="82" t="str"/>
      <x:c r="AC49" s="82" t="str"/>
      <x:c r="AD49" s="82" t="str"/>
      <x:c r="AE49" s="82" t="str"/>
      <x:c r="AF49" s="82" t="str"/>
      <x:c r="AG49" s="82" t="str"/>
      <x:c r="AH49" s="82" t="str"/>
      <x:c r="AI49" s="81" t="str"/>
      <x:c r="AJ49" s="81" t="str"/>
      <x:c r="AK49" s="81" t="str">
        <x:f>IF($E49="","",IF(AND($M49="yes",OR($N49="yes",$N49="review"),OR($O49="yes",$O49="review"),$P49="fit",OR($Q49="unique",$Q49="alias_review"),$R49&lt;&gt;"context_only"),"pass","review/block"))</x:f>
      </x:c>
      <x:c r="AL49" s="81" t="str">
        <x:f>IF($E49="","",IF($AK49="pass","eligible",IF(OR($M49="no",$O49="no",$P49="too_macro",$P49="too_micro",$P49="context_only",$Q49="duplicate_confirmed",$R49="context_only"),"not_eligible","review")))</x:f>
      </x:c>
      <x:c r="AM49" s="81" t="str">
        <x:f>IF($E49="","",IF($C49=0,"reentry_required",IF($C49&lt;=8,"non_competitive_inclusion","competitive_selection")))</x:f>
      </x:c>
      <x:c r="AN49" s="82" t="str">
        <x:f>IF($E49="","",AVERAGE($U49:$X49))</x:f>
      </x:c>
      <x:c r="AO49" s="82" t="str">
        <x:f>IF($E49="","",AVERAGE($S49:$T49))</x:f>
      </x:c>
      <x:c r="AP49" s="82" t="str">
        <x:f>IF($E49="","",($AF49*0.08)+($AG49*0.08)+($AH49*0.10))</x:f>
      </x:c>
      <x:c r="AQ49" s="82" t="str">
        <x:f>IF($E49="","",MAX(0,($AN49*0.30)+($Y49*0.20)+($Z49*0.15)+($AA49*0.15)+($AB49*0.10)+($AC49*0.10)+($AE49*0.05)-$AP49))</x:f>
      </x:c>
      <x:c r="AR49" s="81" t="str">
        <x:f>IF($E49="","",IF($AM49="competitive_selection",RANK.EQ($AQ49,$AQ$2:$AQ$201,0),""))</x:f>
      </x:c>
      <x:c r="AS49" s="81" t="str">
        <x:f>IF($E49="","",IF(AND($AM49="non_competitive_inclusion",$AL49="eligible"),"selected",""))</x:f>
      </x:c>
      <x:c r="AT49" s="81" t="str">
        <x:f>IF($E49="","",IF($AM49&lt;&gt;"competitive_selection","",IF(AND($AL49="eligible",$AR49&lt;=8),"selected","context/backlog")))</x:f>
      </x:c>
      <x:c r="AU49" s="81" t="str">
        <x:f>IF($E49="","",IF($AM49="reentry_required","not_selected_reentry",IF($AS49="selected","selected_for_runtime",IF($AT49="selected","selected_for_runtime",IF($AL49="review","manual_review","context_or_not_selected")))))</x:f>
      </x:c>
      <x:c r="AV49" s="81" t="str">
        <x:f>IF($E49="","",IF($AU49="selected_for_runtime",IF($AM49="competitive_selection",$AR49,COUNTIF($AU$2:AU49,"selected_for_runtime")),""))</x:f>
      </x:c>
      <x:c r="AW49" s="81" t="str">
        <x:f>IF($E49="","",IF($AU49="selected_for_runtime",IF($AD49&gt;=2,"base_40_plus_uncertainty_probes",IF($AE49&gt;=2,"base_40_plus_exploratory_probes","base_40_standard")),"no_runtime"))</x:f>
      </x:c>
      <x:c r="AX49" s="81" t="str">
        <x:f>IF($E49="","",IF($AU49&lt;&gt;"selected_for_runtime","none",IF($AE49&gt;=2,"exploratoria",IF($AQ49&gt;=2.2,"alta",IF($AQ49&gt;=1.2,"media","baja")))))</x:f>
      </x:c>
      <x:c r="AY49" s="81" t="str">
        <x:f>IF($E49="","",IF($AJ49=TRUE,"context_with_coverage_gap",IF($AI49="review","context_requires_confirmation","context_ready")))</x:f>
      </x:c>
      <x:c r="AZ49" s="81" t="str">
        <x:f>IF($E49="","",IF($AU49&lt;&gt;"selected_for_runtime","no",IF(OR($AY49="context_with_coverage_gap",$AX49="exploratoria"),"ready_with_flags","ready")))</x:f>
      </x:c>
      <x:c r="BA49" s="81" t="str"/>
      <x:c r="BB49" s="81" t="str"/>
      <x:c r="BC49" s="81" t="str"/>
      <x:c r="BD49" s="81" t="str"/>
      <x:c r="BE49" s="81" t="str"/>
    </x:row>
    <x:row r="50">
      <x:c r="A50" s="81" t="str"/>
      <x:c r="B50" s="81" t="str"/>
      <x:c r="C50" s="81" t="str"/>
      <x:c r="D50" s="81" t="str"/>
      <x:c r="E50" s="81" t="str"/>
      <x:c r="F50" s="81" t="str"/>
      <x:c r="G50" s="81" t="str"/>
      <x:c r="H50" s="81" t="str"/>
      <x:c r="I50" s="81" t="str"/>
      <x:c r="J50" s="81" t="str"/>
      <x:c r="K50" s="81" t="str"/>
      <x:c r="L50" s="81" t="str"/>
      <x:c r="M50" s="81" t="str"/>
      <x:c r="N50" s="81" t="str"/>
      <x:c r="O50" s="81" t="str"/>
      <x:c r="P50" s="81" t="str"/>
      <x:c r="Q50" s="81" t="str"/>
      <x:c r="R50" s="81" t="str"/>
      <x:c r="S50" s="82" t="str"/>
      <x:c r="T50" s="82" t="str"/>
      <x:c r="U50" s="82" t="str"/>
      <x:c r="V50" s="82" t="str"/>
      <x:c r="W50" s="82" t="str"/>
      <x:c r="X50" s="82" t="str"/>
      <x:c r="Y50" s="82" t="str"/>
      <x:c r="Z50" s="82" t="str"/>
      <x:c r="AA50" s="82" t="str"/>
      <x:c r="AB50" s="82" t="str"/>
      <x:c r="AC50" s="82" t="str"/>
      <x:c r="AD50" s="82" t="str"/>
      <x:c r="AE50" s="82" t="str"/>
      <x:c r="AF50" s="82" t="str"/>
      <x:c r="AG50" s="82" t="str"/>
      <x:c r="AH50" s="82" t="str"/>
      <x:c r="AI50" s="81" t="str"/>
      <x:c r="AJ50" s="81" t="str"/>
      <x:c r="AK50" s="81" t="str">
        <x:f>IF($E50="","",IF(AND($M50="yes",OR($N50="yes",$N50="review"),OR($O50="yes",$O50="review"),$P50="fit",OR($Q50="unique",$Q50="alias_review"),$R50&lt;&gt;"context_only"),"pass","review/block"))</x:f>
      </x:c>
      <x:c r="AL50" s="81" t="str">
        <x:f>IF($E50="","",IF($AK50="pass","eligible",IF(OR($M50="no",$O50="no",$P50="too_macro",$P50="too_micro",$P50="context_only",$Q50="duplicate_confirmed",$R50="context_only"),"not_eligible","review")))</x:f>
      </x:c>
      <x:c r="AM50" s="81" t="str">
        <x:f>IF($E50="","",IF($C50=0,"reentry_required",IF($C50&lt;=8,"non_competitive_inclusion","competitive_selection")))</x:f>
      </x:c>
      <x:c r="AN50" s="82" t="str">
        <x:f>IF($E50="","",AVERAGE($U50:$X50))</x:f>
      </x:c>
      <x:c r="AO50" s="82" t="str">
        <x:f>IF($E50="","",AVERAGE($S50:$T50))</x:f>
      </x:c>
      <x:c r="AP50" s="82" t="str">
        <x:f>IF($E50="","",($AF50*0.08)+($AG50*0.08)+($AH50*0.10))</x:f>
      </x:c>
      <x:c r="AQ50" s="82" t="str">
        <x:f>IF($E50="","",MAX(0,($AN50*0.30)+($Y50*0.20)+($Z50*0.15)+($AA50*0.15)+($AB50*0.10)+($AC50*0.10)+($AE50*0.05)-$AP50))</x:f>
      </x:c>
      <x:c r="AR50" s="81" t="str">
        <x:f>IF($E50="","",IF($AM50="competitive_selection",RANK.EQ($AQ50,$AQ$2:$AQ$201,0),""))</x:f>
      </x:c>
      <x:c r="AS50" s="81" t="str">
        <x:f>IF($E50="","",IF(AND($AM50="non_competitive_inclusion",$AL50="eligible"),"selected",""))</x:f>
      </x:c>
      <x:c r="AT50" s="81" t="str">
        <x:f>IF($E50="","",IF($AM50&lt;&gt;"competitive_selection","",IF(AND($AL50="eligible",$AR50&lt;=8),"selected","context/backlog")))</x:f>
      </x:c>
      <x:c r="AU50" s="81" t="str">
        <x:f>IF($E50="","",IF($AM50="reentry_required","not_selected_reentry",IF($AS50="selected","selected_for_runtime",IF($AT50="selected","selected_for_runtime",IF($AL50="review","manual_review","context_or_not_selected")))))</x:f>
      </x:c>
      <x:c r="AV50" s="81" t="str">
        <x:f>IF($E50="","",IF($AU50="selected_for_runtime",IF($AM50="competitive_selection",$AR50,COUNTIF($AU$2:AU50,"selected_for_runtime")),""))</x:f>
      </x:c>
      <x:c r="AW50" s="81" t="str">
        <x:f>IF($E50="","",IF($AU50="selected_for_runtime",IF($AD50&gt;=2,"base_40_plus_uncertainty_probes",IF($AE50&gt;=2,"base_40_plus_exploratory_probes","base_40_standard")),"no_runtime"))</x:f>
      </x:c>
      <x:c r="AX50" s="81" t="str">
        <x:f>IF($E50="","",IF($AU50&lt;&gt;"selected_for_runtime","none",IF($AE50&gt;=2,"exploratoria",IF($AQ50&gt;=2.2,"alta",IF($AQ50&gt;=1.2,"media","baja")))))</x:f>
      </x:c>
      <x:c r="AY50" s="81" t="str">
        <x:f>IF($E50="","",IF($AJ50=TRUE,"context_with_coverage_gap",IF($AI50="review","context_requires_confirmation","context_ready")))</x:f>
      </x:c>
      <x:c r="AZ50" s="81" t="str">
        <x:f>IF($E50="","",IF($AU50&lt;&gt;"selected_for_runtime","no",IF(OR($AY50="context_with_coverage_gap",$AX50="exploratoria"),"ready_with_flags","ready")))</x:f>
      </x:c>
      <x:c r="BA50" s="81" t="str"/>
      <x:c r="BB50" s="81" t="str"/>
      <x:c r="BC50" s="81" t="str"/>
      <x:c r="BD50" s="81" t="str"/>
      <x:c r="BE50" s="81" t="str"/>
    </x:row>
    <x:row r="51">
      <x:c r="A51" s="81" t="str"/>
      <x:c r="B51" s="81" t="str"/>
      <x:c r="C51" s="81" t="str"/>
      <x:c r="D51" s="81" t="str"/>
      <x:c r="E51" s="81" t="str"/>
      <x:c r="F51" s="81" t="str"/>
      <x:c r="G51" s="81" t="str"/>
      <x:c r="H51" s="81" t="str"/>
      <x:c r="I51" s="81" t="str"/>
      <x:c r="J51" s="81" t="str"/>
      <x:c r="K51" s="81" t="str"/>
      <x:c r="L51" s="81" t="str"/>
      <x:c r="M51" s="81" t="str"/>
      <x:c r="N51" s="81" t="str"/>
      <x:c r="O51" s="81" t="str"/>
      <x:c r="P51" s="81" t="str"/>
      <x:c r="Q51" s="81" t="str"/>
      <x:c r="R51" s="81" t="str"/>
      <x:c r="S51" s="82" t="str"/>
      <x:c r="T51" s="82" t="str"/>
      <x:c r="U51" s="82" t="str"/>
      <x:c r="V51" s="82" t="str"/>
      <x:c r="W51" s="82" t="str"/>
      <x:c r="X51" s="82" t="str"/>
      <x:c r="Y51" s="82" t="str"/>
      <x:c r="Z51" s="82" t="str"/>
      <x:c r="AA51" s="82" t="str"/>
      <x:c r="AB51" s="82" t="str"/>
      <x:c r="AC51" s="82" t="str"/>
      <x:c r="AD51" s="82" t="str"/>
      <x:c r="AE51" s="82" t="str"/>
      <x:c r="AF51" s="82" t="str"/>
      <x:c r="AG51" s="82" t="str"/>
      <x:c r="AH51" s="82" t="str"/>
      <x:c r="AI51" s="81" t="str"/>
      <x:c r="AJ51" s="81" t="str"/>
      <x:c r="AK51" s="81" t="str">
        <x:f>IF($E51="","",IF(AND($M51="yes",OR($N51="yes",$N51="review"),OR($O51="yes",$O51="review"),$P51="fit",OR($Q51="unique",$Q51="alias_review"),$R51&lt;&gt;"context_only"),"pass","review/block"))</x:f>
      </x:c>
      <x:c r="AL51" s="81" t="str">
        <x:f>IF($E51="","",IF($AK51="pass","eligible",IF(OR($M51="no",$O51="no",$P51="too_macro",$P51="too_micro",$P51="context_only",$Q51="duplicate_confirmed",$R51="context_only"),"not_eligible","review")))</x:f>
      </x:c>
      <x:c r="AM51" s="81" t="str">
        <x:f>IF($E51="","",IF($C51=0,"reentry_required",IF($C51&lt;=8,"non_competitive_inclusion","competitive_selection")))</x:f>
      </x:c>
      <x:c r="AN51" s="82" t="str">
        <x:f>IF($E51="","",AVERAGE($U51:$X51))</x:f>
      </x:c>
      <x:c r="AO51" s="82" t="str">
        <x:f>IF($E51="","",AVERAGE($S51:$T51))</x:f>
      </x:c>
      <x:c r="AP51" s="82" t="str">
        <x:f>IF($E51="","",($AF51*0.08)+($AG51*0.08)+($AH51*0.10))</x:f>
      </x:c>
      <x:c r="AQ51" s="82" t="str">
        <x:f>IF($E51="","",MAX(0,($AN51*0.30)+($Y51*0.20)+($Z51*0.15)+($AA51*0.15)+($AB51*0.10)+($AC51*0.10)+($AE51*0.05)-$AP51))</x:f>
      </x:c>
      <x:c r="AR51" s="81" t="str">
        <x:f>IF($E51="","",IF($AM51="competitive_selection",RANK.EQ($AQ51,$AQ$2:$AQ$201,0),""))</x:f>
      </x:c>
      <x:c r="AS51" s="81" t="str">
        <x:f>IF($E51="","",IF(AND($AM51="non_competitive_inclusion",$AL51="eligible"),"selected",""))</x:f>
      </x:c>
      <x:c r="AT51" s="81" t="str">
        <x:f>IF($E51="","",IF($AM51&lt;&gt;"competitive_selection","",IF(AND($AL51="eligible",$AR51&lt;=8),"selected","context/backlog")))</x:f>
      </x:c>
      <x:c r="AU51" s="81" t="str">
        <x:f>IF($E51="","",IF($AM51="reentry_required","not_selected_reentry",IF($AS51="selected","selected_for_runtime",IF($AT51="selected","selected_for_runtime",IF($AL51="review","manual_review","context_or_not_selected")))))</x:f>
      </x:c>
      <x:c r="AV51" s="81" t="str">
        <x:f>IF($E51="","",IF($AU51="selected_for_runtime",IF($AM51="competitive_selection",$AR51,COUNTIF($AU$2:AU51,"selected_for_runtime")),""))</x:f>
      </x:c>
      <x:c r="AW51" s="81" t="str">
        <x:f>IF($E51="","",IF($AU51="selected_for_runtime",IF($AD51&gt;=2,"base_40_plus_uncertainty_probes",IF($AE51&gt;=2,"base_40_plus_exploratory_probes","base_40_standard")),"no_runtime"))</x:f>
      </x:c>
      <x:c r="AX51" s="81" t="str">
        <x:f>IF($E51="","",IF($AU51&lt;&gt;"selected_for_runtime","none",IF($AE51&gt;=2,"exploratoria",IF($AQ51&gt;=2.2,"alta",IF($AQ51&gt;=1.2,"media","baja")))))</x:f>
      </x:c>
      <x:c r="AY51" s="81" t="str">
        <x:f>IF($E51="","",IF($AJ51=TRUE,"context_with_coverage_gap",IF($AI51="review","context_requires_confirmation","context_ready")))</x:f>
      </x:c>
      <x:c r="AZ51" s="81" t="str">
        <x:f>IF($E51="","",IF($AU51&lt;&gt;"selected_for_runtime","no",IF(OR($AY51="context_with_coverage_gap",$AX51="exploratoria"),"ready_with_flags","ready")))</x:f>
      </x:c>
      <x:c r="BA51" s="81" t="str"/>
      <x:c r="BB51" s="81" t="str"/>
      <x:c r="BC51" s="81" t="str"/>
      <x:c r="BD51" s="81" t="str"/>
      <x:c r="BE51" s="81" t="str"/>
    </x:row>
    <x:row r="52">
      <x:c r="A52" s="81" t="str"/>
      <x:c r="B52" s="81" t="str"/>
      <x:c r="C52" s="81" t="str"/>
      <x:c r="D52" s="81" t="str"/>
      <x:c r="E52" s="81" t="str"/>
      <x:c r="F52" s="81" t="str"/>
      <x:c r="G52" s="81" t="str"/>
      <x:c r="H52" s="81" t="str"/>
      <x:c r="I52" s="81" t="str"/>
      <x:c r="J52" s="81" t="str"/>
      <x:c r="K52" s="81" t="str"/>
      <x:c r="L52" s="81" t="str"/>
      <x:c r="M52" s="81" t="str"/>
      <x:c r="N52" s="81" t="str"/>
      <x:c r="O52" s="81" t="str"/>
      <x:c r="P52" s="81" t="str"/>
      <x:c r="Q52" s="81" t="str"/>
      <x:c r="R52" s="81" t="str"/>
      <x:c r="S52" s="82" t="str"/>
      <x:c r="T52" s="82" t="str"/>
      <x:c r="U52" s="82" t="str"/>
      <x:c r="V52" s="82" t="str"/>
      <x:c r="W52" s="82" t="str"/>
      <x:c r="X52" s="82" t="str"/>
      <x:c r="Y52" s="82" t="str"/>
      <x:c r="Z52" s="82" t="str"/>
      <x:c r="AA52" s="82" t="str"/>
      <x:c r="AB52" s="82" t="str"/>
      <x:c r="AC52" s="82" t="str"/>
      <x:c r="AD52" s="82" t="str"/>
      <x:c r="AE52" s="82" t="str"/>
      <x:c r="AF52" s="82" t="str"/>
      <x:c r="AG52" s="82" t="str"/>
      <x:c r="AH52" s="82" t="str"/>
      <x:c r="AI52" s="81" t="str"/>
      <x:c r="AJ52" s="81" t="str"/>
      <x:c r="AK52" s="81" t="str">
        <x:f>IF($E52="","",IF(AND($M52="yes",OR($N52="yes",$N52="review"),OR($O52="yes",$O52="review"),$P52="fit",OR($Q52="unique",$Q52="alias_review"),$R52&lt;&gt;"context_only"),"pass","review/block"))</x:f>
      </x:c>
      <x:c r="AL52" s="81" t="str">
        <x:f>IF($E52="","",IF($AK52="pass","eligible",IF(OR($M52="no",$O52="no",$P52="too_macro",$P52="too_micro",$P52="context_only",$Q52="duplicate_confirmed",$R52="context_only"),"not_eligible","review")))</x:f>
      </x:c>
      <x:c r="AM52" s="81" t="str">
        <x:f>IF($E52="","",IF($C52=0,"reentry_required",IF($C52&lt;=8,"non_competitive_inclusion","competitive_selection")))</x:f>
      </x:c>
      <x:c r="AN52" s="82" t="str">
        <x:f>IF($E52="","",AVERAGE($U52:$X52))</x:f>
      </x:c>
      <x:c r="AO52" s="82" t="str">
        <x:f>IF($E52="","",AVERAGE($S52:$T52))</x:f>
      </x:c>
      <x:c r="AP52" s="82" t="str">
        <x:f>IF($E52="","",($AF52*0.08)+($AG52*0.08)+($AH52*0.10))</x:f>
      </x:c>
      <x:c r="AQ52" s="82" t="str">
        <x:f>IF($E52="","",MAX(0,($AN52*0.30)+($Y52*0.20)+($Z52*0.15)+($AA52*0.15)+($AB52*0.10)+($AC52*0.10)+($AE52*0.05)-$AP52))</x:f>
      </x:c>
      <x:c r="AR52" s="81" t="str">
        <x:f>IF($E52="","",IF($AM52="competitive_selection",RANK.EQ($AQ52,$AQ$2:$AQ$201,0),""))</x:f>
      </x:c>
      <x:c r="AS52" s="81" t="str">
        <x:f>IF($E52="","",IF(AND($AM52="non_competitive_inclusion",$AL52="eligible"),"selected",""))</x:f>
      </x:c>
      <x:c r="AT52" s="81" t="str">
        <x:f>IF($E52="","",IF($AM52&lt;&gt;"competitive_selection","",IF(AND($AL52="eligible",$AR52&lt;=8),"selected","context/backlog")))</x:f>
      </x:c>
      <x:c r="AU52" s="81" t="str">
        <x:f>IF($E52="","",IF($AM52="reentry_required","not_selected_reentry",IF($AS52="selected","selected_for_runtime",IF($AT52="selected","selected_for_runtime",IF($AL52="review","manual_review","context_or_not_selected")))))</x:f>
      </x:c>
      <x:c r="AV52" s="81" t="str">
        <x:f>IF($E52="","",IF($AU52="selected_for_runtime",IF($AM52="competitive_selection",$AR52,COUNTIF($AU$2:AU52,"selected_for_runtime")),""))</x:f>
      </x:c>
      <x:c r="AW52" s="81" t="str">
        <x:f>IF($E52="","",IF($AU52="selected_for_runtime",IF($AD52&gt;=2,"base_40_plus_uncertainty_probes",IF($AE52&gt;=2,"base_40_plus_exploratory_probes","base_40_standard")),"no_runtime"))</x:f>
      </x:c>
      <x:c r="AX52" s="81" t="str">
        <x:f>IF($E52="","",IF($AU52&lt;&gt;"selected_for_runtime","none",IF($AE52&gt;=2,"exploratoria",IF($AQ52&gt;=2.2,"alta",IF($AQ52&gt;=1.2,"media","baja")))))</x:f>
      </x:c>
      <x:c r="AY52" s="81" t="str">
        <x:f>IF($E52="","",IF($AJ52=TRUE,"context_with_coverage_gap",IF($AI52="review","context_requires_confirmation","context_ready")))</x:f>
      </x:c>
      <x:c r="AZ52" s="81" t="str">
        <x:f>IF($E52="","",IF($AU52&lt;&gt;"selected_for_runtime","no",IF(OR($AY52="context_with_coverage_gap",$AX52="exploratoria"),"ready_with_flags","ready")))</x:f>
      </x:c>
      <x:c r="BA52" s="81" t="str"/>
      <x:c r="BB52" s="81" t="str"/>
      <x:c r="BC52" s="81" t="str"/>
      <x:c r="BD52" s="81" t="str"/>
      <x:c r="BE52" s="81" t="str"/>
    </x:row>
    <x:row r="53">
      <x:c r="A53" s="81" t="str"/>
      <x:c r="B53" s="81" t="str"/>
      <x:c r="C53" s="81" t="str"/>
      <x:c r="D53" s="81" t="str"/>
      <x:c r="E53" s="81" t="str"/>
      <x:c r="F53" s="81" t="str"/>
      <x:c r="G53" s="81" t="str"/>
      <x:c r="H53" s="81" t="str"/>
      <x:c r="I53" s="81" t="str"/>
      <x:c r="J53" s="81" t="str"/>
      <x:c r="K53" s="81" t="str"/>
      <x:c r="L53" s="81" t="str"/>
      <x:c r="M53" s="81" t="str"/>
      <x:c r="N53" s="81" t="str"/>
      <x:c r="O53" s="81" t="str"/>
      <x:c r="P53" s="81" t="str"/>
      <x:c r="Q53" s="81" t="str"/>
      <x:c r="R53" s="81" t="str"/>
      <x:c r="S53" s="82" t="str"/>
      <x:c r="T53" s="82" t="str"/>
      <x:c r="U53" s="82" t="str"/>
      <x:c r="V53" s="82" t="str"/>
      <x:c r="W53" s="82" t="str"/>
      <x:c r="X53" s="82" t="str"/>
      <x:c r="Y53" s="82" t="str"/>
      <x:c r="Z53" s="82" t="str"/>
      <x:c r="AA53" s="82" t="str"/>
      <x:c r="AB53" s="82" t="str"/>
      <x:c r="AC53" s="82" t="str"/>
      <x:c r="AD53" s="82" t="str"/>
      <x:c r="AE53" s="82" t="str"/>
      <x:c r="AF53" s="82" t="str"/>
      <x:c r="AG53" s="82" t="str"/>
      <x:c r="AH53" s="82" t="str"/>
      <x:c r="AI53" s="81" t="str"/>
      <x:c r="AJ53" s="81" t="str"/>
      <x:c r="AK53" s="81" t="str">
        <x:f>IF($E53="","",IF(AND($M53="yes",OR($N53="yes",$N53="review"),OR($O53="yes",$O53="review"),$P53="fit",OR($Q53="unique",$Q53="alias_review"),$R53&lt;&gt;"context_only"),"pass","review/block"))</x:f>
      </x:c>
      <x:c r="AL53" s="81" t="str">
        <x:f>IF($E53="","",IF($AK53="pass","eligible",IF(OR($M53="no",$O53="no",$P53="too_macro",$P53="too_micro",$P53="context_only",$Q53="duplicate_confirmed",$R53="context_only"),"not_eligible","review")))</x:f>
      </x:c>
      <x:c r="AM53" s="81" t="str">
        <x:f>IF($E53="","",IF($C53=0,"reentry_required",IF($C53&lt;=8,"non_competitive_inclusion","competitive_selection")))</x:f>
      </x:c>
      <x:c r="AN53" s="82" t="str">
        <x:f>IF($E53="","",AVERAGE($U53:$X53))</x:f>
      </x:c>
      <x:c r="AO53" s="82" t="str">
        <x:f>IF($E53="","",AVERAGE($S53:$T53))</x:f>
      </x:c>
      <x:c r="AP53" s="82" t="str">
        <x:f>IF($E53="","",($AF53*0.08)+($AG53*0.08)+($AH53*0.10))</x:f>
      </x:c>
      <x:c r="AQ53" s="82" t="str">
        <x:f>IF($E53="","",MAX(0,($AN53*0.30)+($Y53*0.20)+($Z53*0.15)+($AA53*0.15)+($AB53*0.10)+($AC53*0.10)+($AE53*0.05)-$AP53))</x:f>
      </x:c>
      <x:c r="AR53" s="81" t="str">
        <x:f>IF($E53="","",IF($AM53="competitive_selection",RANK.EQ($AQ53,$AQ$2:$AQ$201,0),""))</x:f>
      </x:c>
      <x:c r="AS53" s="81" t="str">
        <x:f>IF($E53="","",IF(AND($AM53="non_competitive_inclusion",$AL53="eligible"),"selected",""))</x:f>
      </x:c>
      <x:c r="AT53" s="81" t="str">
        <x:f>IF($E53="","",IF($AM53&lt;&gt;"competitive_selection","",IF(AND($AL53="eligible",$AR53&lt;=8),"selected","context/backlog")))</x:f>
      </x:c>
      <x:c r="AU53" s="81" t="str">
        <x:f>IF($E53="","",IF($AM53="reentry_required","not_selected_reentry",IF($AS53="selected","selected_for_runtime",IF($AT53="selected","selected_for_runtime",IF($AL53="review","manual_review","context_or_not_selected")))))</x:f>
      </x:c>
      <x:c r="AV53" s="81" t="str">
        <x:f>IF($E53="","",IF($AU53="selected_for_runtime",IF($AM53="competitive_selection",$AR53,COUNTIF($AU$2:AU53,"selected_for_runtime")),""))</x:f>
      </x:c>
      <x:c r="AW53" s="81" t="str">
        <x:f>IF($E53="","",IF($AU53="selected_for_runtime",IF($AD53&gt;=2,"base_40_plus_uncertainty_probes",IF($AE53&gt;=2,"base_40_plus_exploratory_probes","base_40_standard")),"no_runtime"))</x:f>
      </x:c>
      <x:c r="AX53" s="81" t="str">
        <x:f>IF($E53="","",IF($AU53&lt;&gt;"selected_for_runtime","none",IF($AE53&gt;=2,"exploratoria",IF($AQ53&gt;=2.2,"alta",IF($AQ53&gt;=1.2,"media","baja")))))</x:f>
      </x:c>
      <x:c r="AY53" s="81" t="str">
        <x:f>IF($E53="","",IF($AJ53=TRUE,"context_with_coverage_gap",IF($AI53="review","context_requires_confirmation","context_ready")))</x:f>
      </x:c>
      <x:c r="AZ53" s="81" t="str">
        <x:f>IF($E53="","",IF($AU53&lt;&gt;"selected_for_runtime","no",IF(OR($AY53="context_with_coverage_gap",$AX53="exploratoria"),"ready_with_flags","ready")))</x:f>
      </x:c>
      <x:c r="BA53" s="81" t="str"/>
      <x:c r="BB53" s="81" t="str"/>
      <x:c r="BC53" s="81" t="str"/>
      <x:c r="BD53" s="81" t="str"/>
      <x:c r="BE53" s="81" t="str"/>
    </x:row>
    <x:row r="54">
      <x:c r="A54" s="81" t="str"/>
      <x:c r="B54" s="81" t="str"/>
      <x:c r="C54" s="81" t="str"/>
      <x:c r="D54" s="81" t="str"/>
      <x:c r="E54" s="81" t="str"/>
      <x:c r="F54" s="81" t="str"/>
      <x:c r="G54" s="81" t="str"/>
      <x:c r="H54" s="81" t="str"/>
      <x:c r="I54" s="81" t="str"/>
      <x:c r="J54" s="81" t="str"/>
      <x:c r="K54" s="81" t="str"/>
      <x:c r="L54" s="81" t="str"/>
      <x:c r="M54" s="81" t="str"/>
      <x:c r="N54" s="81" t="str"/>
      <x:c r="O54" s="81" t="str"/>
      <x:c r="P54" s="81" t="str"/>
      <x:c r="Q54" s="81" t="str"/>
      <x:c r="R54" s="81" t="str"/>
      <x:c r="S54" s="82" t="str"/>
      <x:c r="T54" s="82" t="str"/>
      <x:c r="U54" s="82" t="str"/>
      <x:c r="V54" s="82" t="str"/>
      <x:c r="W54" s="82" t="str"/>
      <x:c r="X54" s="82" t="str"/>
      <x:c r="Y54" s="82" t="str"/>
      <x:c r="Z54" s="82" t="str"/>
      <x:c r="AA54" s="82" t="str"/>
      <x:c r="AB54" s="82" t="str"/>
      <x:c r="AC54" s="82" t="str"/>
      <x:c r="AD54" s="82" t="str"/>
      <x:c r="AE54" s="82" t="str"/>
      <x:c r="AF54" s="82" t="str"/>
      <x:c r="AG54" s="82" t="str"/>
      <x:c r="AH54" s="82" t="str"/>
      <x:c r="AI54" s="81" t="str"/>
      <x:c r="AJ54" s="81" t="str"/>
      <x:c r="AK54" s="81" t="str">
        <x:f>IF($E54="","",IF(AND($M54="yes",OR($N54="yes",$N54="review"),OR($O54="yes",$O54="review"),$P54="fit",OR($Q54="unique",$Q54="alias_review"),$R54&lt;&gt;"context_only"),"pass","review/block"))</x:f>
      </x:c>
      <x:c r="AL54" s="81" t="str">
        <x:f>IF($E54="","",IF($AK54="pass","eligible",IF(OR($M54="no",$O54="no",$P54="too_macro",$P54="too_micro",$P54="context_only",$Q54="duplicate_confirmed",$R54="context_only"),"not_eligible","review")))</x:f>
      </x:c>
      <x:c r="AM54" s="81" t="str">
        <x:f>IF($E54="","",IF($C54=0,"reentry_required",IF($C54&lt;=8,"non_competitive_inclusion","competitive_selection")))</x:f>
      </x:c>
      <x:c r="AN54" s="82" t="str">
        <x:f>IF($E54="","",AVERAGE($U54:$X54))</x:f>
      </x:c>
      <x:c r="AO54" s="82" t="str">
        <x:f>IF($E54="","",AVERAGE($S54:$T54))</x:f>
      </x:c>
      <x:c r="AP54" s="82" t="str">
        <x:f>IF($E54="","",($AF54*0.08)+($AG54*0.08)+($AH54*0.10))</x:f>
      </x:c>
      <x:c r="AQ54" s="82" t="str">
        <x:f>IF($E54="","",MAX(0,($AN54*0.30)+($Y54*0.20)+($Z54*0.15)+($AA54*0.15)+($AB54*0.10)+($AC54*0.10)+($AE54*0.05)-$AP54))</x:f>
      </x:c>
      <x:c r="AR54" s="81" t="str">
        <x:f>IF($E54="","",IF($AM54="competitive_selection",RANK.EQ($AQ54,$AQ$2:$AQ$201,0),""))</x:f>
      </x:c>
      <x:c r="AS54" s="81" t="str">
        <x:f>IF($E54="","",IF(AND($AM54="non_competitive_inclusion",$AL54="eligible"),"selected",""))</x:f>
      </x:c>
      <x:c r="AT54" s="81" t="str">
        <x:f>IF($E54="","",IF($AM54&lt;&gt;"competitive_selection","",IF(AND($AL54="eligible",$AR54&lt;=8),"selected","context/backlog")))</x:f>
      </x:c>
      <x:c r="AU54" s="81" t="str">
        <x:f>IF($E54="","",IF($AM54="reentry_required","not_selected_reentry",IF($AS54="selected","selected_for_runtime",IF($AT54="selected","selected_for_runtime",IF($AL54="review","manual_review","context_or_not_selected")))))</x:f>
      </x:c>
      <x:c r="AV54" s="81" t="str">
        <x:f>IF($E54="","",IF($AU54="selected_for_runtime",IF($AM54="competitive_selection",$AR54,COUNTIF($AU$2:AU54,"selected_for_runtime")),""))</x:f>
      </x:c>
      <x:c r="AW54" s="81" t="str">
        <x:f>IF($E54="","",IF($AU54="selected_for_runtime",IF($AD54&gt;=2,"base_40_plus_uncertainty_probes",IF($AE54&gt;=2,"base_40_plus_exploratory_probes","base_40_standard")),"no_runtime"))</x:f>
      </x:c>
      <x:c r="AX54" s="81" t="str">
        <x:f>IF($E54="","",IF($AU54&lt;&gt;"selected_for_runtime","none",IF($AE54&gt;=2,"exploratoria",IF($AQ54&gt;=2.2,"alta",IF($AQ54&gt;=1.2,"media","baja")))))</x:f>
      </x:c>
      <x:c r="AY54" s="81" t="str">
        <x:f>IF($E54="","",IF($AJ54=TRUE,"context_with_coverage_gap",IF($AI54="review","context_requires_confirmation","context_ready")))</x:f>
      </x:c>
      <x:c r="AZ54" s="81" t="str">
        <x:f>IF($E54="","",IF($AU54&lt;&gt;"selected_for_runtime","no",IF(OR($AY54="context_with_coverage_gap",$AX54="exploratoria"),"ready_with_flags","ready")))</x:f>
      </x:c>
      <x:c r="BA54" s="81" t="str"/>
      <x:c r="BB54" s="81" t="str"/>
      <x:c r="BC54" s="81" t="str"/>
      <x:c r="BD54" s="81" t="str"/>
      <x:c r="BE54" s="81" t="str"/>
    </x:row>
    <x:row r="55">
      <x:c r="A55" s="81" t="str"/>
      <x:c r="B55" s="81" t="str"/>
      <x:c r="C55" s="81" t="str"/>
      <x:c r="D55" s="81" t="str"/>
      <x:c r="E55" s="81" t="str"/>
      <x:c r="F55" s="81" t="str"/>
      <x:c r="G55" s="81" t="str"/>
      <x:c r="H55" s="81" t="str"/>
      <x:c r="I55" s="81" t="str"/>
      <x:c r="J55" s="81" t="str"/>
      <x:c r="K55" s="81" t="str"/>
      <x:c r="L55" s="81" t="str"/>
      <x:c r="M55" s="81" t="str"/>
      <x:c r="N55" s="81" t="str"/>
      <x:c r="O55" s="81" t="str"/>
      <x:c r="P55" s="81" t="str"/>
      <x:c r="Q55" s="81" t="str"/>
      <x:c r="R55" s="81" t="str"/>
      <x:c r="S55" s="82" t="str"/>
      <x:c r="T55" s="82" t="str"/>
      <x:c r="U55" s="82" t="str"/>
      <x:c r="V55" s="82" t="str"/>
      <x:c r="W55" s="82" t="str"/>
      <x:c r="X55" s="82" t="str"/>
      <x:c r="Y55" s="82" t="str"/>
      <x:c r="Z55" s="82" t="str"/>
      <x:c r="AA55" s="82" t="str"/>
      <x:c r="AB55" s="82" t="str"/>
      <x:c r="AC55" s="82" t="str"/>
      <x:c r="AD55" s="82" t="str"/>
      <x:c r="AE55" s="82" t="str"/>
      <x:c r="AF55" s="82" t="str"/>
      <x:c r="AG55" s="82" t="str"/>
      <x:c r="AH55" s="82" t="str"/>
      <x:c r="AI55" s="81" t="str"/>
      <x:c r="AJ55" s="81" t="str"/>
      <x:c r="AK55" s="81" t="str">
        <x:f>IF($E55="","",IF(AND($M55="yes",OR($N55="yes",$N55="review"),OR($O55="yes",$O55="review"),$P55="fit",OR($Q55="unique",$Q55="alias_review"),$R55&lt;&gt;"context_only"),"pass","review/block"))</x:f>
      </x:c>
      <x:c r="AL55" s="81" t="str">
        <x:f>IF($E55="","",IF($AK55="pass","eligible",IF(OR($M55="no",$O55="no",$P55="too_macro",$P55="too_micro",$P55="context_only",$Q55="duplicate_confirmed",$R55="context_only"),"not_eligible","review")))</x:f>
      </x:c>
      <x:c r="AM55" s="81" t="str">
        <x:f>IF($E55="","",IF($C55=0,"reentry_required",IF($C55&lt;=8,"non_competitive_inclusion","competitive_selection")))</x:f>
      </x:c>
      <x:c r="AN55" s="82" t="str">
        <x:f>IF($E55="","",AVERAGE($U55:$X55))</x:f>
      </x:c>
      <x:c r="AO55" s="82" t="str">
        <x:f>IF($E55="","",AVERAGE($S55:$T55))</x:f>
      </x:c>
      <x:c r="AP55" s="82" t="str">
        <x:f>IF($E55="","",($AF55*0.08)+($AG55*0.08)+($AH55*0.10))</x:f>
      </x:c>
      <x:c r="AQ55" s="82" t="str">
        <x:f>IF($E55="","",MAX(0,($AN55*0.30)+($Y55*0.20)+($Z55*0.15)+($AA55*0.15)+($AB55*0.10)+($AC55*0.10)+($AE55*0.05)-$AP55))</x:f>
      </x:c>
      <x:c r="AR55" s="81" t="str">
        <x:f>IF($E55="","",IF($AM55="competitive_selection",RANK.EQ($AQ55,$AQ$2:$AQ$201,0),""))</x:f>
      </x:c>
      <x:c r="AS55" s="81" t="str">
        <x:f>IF($E55="","",IF(AND($AM55="non_competitive_inclusion",$AL55="eligible"),"selected",""))</x:f>
      </x:c>
      <x:c r="AT55" s="81" t="str">
        <x:f>IF($E55="","",IF($AM55&lt;&gt;"competitive_selection","",IF(AND($AL55="eligible",$AR55&lt;=8),"selected","context/backlog")))</x:f>
      </x:c>
      <x:c r="AU55" s="81" t="str">
        <x:f>IF($E55="","",IF($AM55="reentry_required","not_selected_reentry",IF($AS55="selected","selected_for_runtime",IF($AT55="selected","selected_for_runtime",IF($AL55="review","manual_review","context_or_not_selected")))))</x:f>
      </x:c>
      <x:c r="AV55" s="81" t="str">
        <x:f>IF($E55="","",IF($AU55="selected_for_runtime",IF($AM55="competitive_selection",$AR55,COUNTIF($AU$2:AU55,"selected_for_runtime")),""))</x:f>
      </x:c>
      <x:c r="AW55" s="81" t="str">
        <x:f>IF($E55="","",IF($AU55="selected_for_runtime",IF($AD55&gt;=2,"base_40_plus_uncertainty_probes",IF($AE55&gt;=2,"base_40_plus_exploratory_probes","base_40_standard")),"no_runtime"))</x:f>
      </x:c>
      <x:c r="AX55" s="81" t="str">
        <x:f>IF($E55="","",IF($AU55&lt;&gt;"selected_for_runtime","none",IF($AE55&gt;=2,"exploratoria",IF($AQ55&gt;=2.2,"alta",IF($AQ55&gt;=1.2,"media","baja")))))</x:f>
      </x:c>
      <x:c r="AY55" s="81" t="str">
        <x:f>IF($E55="","",IF($AJ55=TRUE,"context_with_coverage_gap",IF($AI55="review","context_requires_confirmation","context_ready")))</x:f>
      </x:c>
      <x:c r="AZ55" s="81" t="str">
        <x:f>IF($E55="","",IF($AU55&lt;&gt;"selected_for_runtime","no",IF(OR($AY55="context_with_coverage_gap",$AX55="exploratoria"),"ready_with_flags","ready")))</x:f>
      </x:c>
      <x:c r="BA55" s="81" t="str"/>
      <x:c r="BB55" s="81" t="str"/>
      <x:c r="BC55" s="81" t="str"/>
      <x:c r="BD55" s="81" t="str"/>
      <x:c r="BE55" s="81" t="str"/>
    </x:row>
    <x:row r="56">
      <x:c r="A56" s="81" t="str"/>
      <x:c r="B56" s="81" t="str"/>
      <x:c r="C56" s="81" t="str"/>
      <x:c r="D56" s="81" t="str"/>
      <x:c r="E56" s="81" t="str"/>
      <x:c r="F56" s="81" t="str"/>
      <x:c r="G56" s="81" t="str"/>
      <x:c r="H56" s="81" t="str"/>
      <x:c r="I56" s="81" t="str"/>
      <x:c r="J56" s="81" t="str"/>
      <x:c r="K56" s="81" t="str"/>
      <x:c r="L56" s="81" t="str"/>
      <x:c r="M56" s="81" t="str"/>
      <x:c r="N56" s="81" t="str"/>
      <x:c r="O56" s="81" t="str"/>
      <x:c r="P56" s="81" t="str"/>
      <x:c r="Q56" s="81" t="str"/>
      <x:c r="R56" s="81" t="str"/>
      <x:c r="S56" s="82" t="str"/>
      <x:c r="T56" s="82" t="str"/>
      <x:c r="U56" s="82" t="str"/>
      <x:c r="V56" s="82" t="str"/>
      <x:c r="W56" s="82" t="str"/>
      <x:c r="X56" s="82" t="str"/>
      <x:c r="Y56" s="82" t="str"/>
      <x:c r="Z56" s="82" t="str"/>
      <x:c r="AA56" s="82" t="str"/>
      <x:c r="AB56" s="82" t="str"/>
      <x:c r="AC56" s="82" t="str"/>
      <x:c r="AD56" s="82" t="str"/>
      <x:c r="AE56" s="82" t="str"/>
      <x:c r="AF56" s="82" t="str"/>
      <x:c r="AG56" s="82" t="str"/>
      <x:c r="AH56" s="82" t="str"/>
      <x:c r="AI56" s="81" t="str"/>
      <x:c r="AJ56" s="81" t="str"/>
      <x:c r="AK56" s="81" t="str">
        <x:f>IF($E56="","",IF(AND($M56="yes",OR($N56="yes",$N56="review"),OR($O56="yes",$O56="review"),$P56="fit",OR($Q56="unique",$Q56="alias_review"),$R56&lt;&gt;"context_only"),"pass","review/block"))</x:f>
      </x:c>
      <x:c r="AL56" s="81" t="str">
        <x:f>IF($E56="","",IF($AK56="pass","eligible",IF(OR($M56="no",$O56="no",$P56="too_macro",$P56="too_micro",$P56="context_only",$Q56="duplicate_confirmed",$R56="context_only"),"not_eligible","review")))</x:f>
      </x:c>
      <x:c r="AM56" s="81" t="str">
        <x:f>IF($E56="","",IF($C56=0,"reentry_required",IF($C56&lt;=8,"non_competitive_inclusion","competitive_selection")))</x:f>
      </x:c>
      <x:c r="AN56" s="82" t="str">
        <x:f>IF($E56="","",AVERAGE($U56:$X56))</x:f>
      </x:c>
      <x:c r="AO56" s="82" t="str">
        <x:f>IF($E56="","",AVERAGE($S56:$T56))</x:f>
      </x:c>
      <x:c r="AP56" s="82" t="str">
        <x:f>IF($E56="","",($AF56*0.08)+($AG56*0.08)+($AH56*0.10))</x:f>
      </x:c>
      <x:c r="AQ56" s="82" t="str">
        <x:f>IF($E56="","",MAX(0,($AN56*0.30)+($Y56*0.20)+($Z56*0.15)+($AA56*0.15)+($AB56*0.10)+($AC56*0.10)+($AE56*0.05)-$AP56))</x:f>
      </x:c>
      <x:c r="AR56" s="81" t="str">
        <x:f>IF($E56="","",IF($AM56="competitive_selection",RANK.EQ($AQ56,$AQ$2:$AQ$201,0),""))</x:f>
      </x:c>
      <x:c r="AS56" s="81" t="str">
        <x:f>IF($E56="","",IF(AND($AM56="non_competitive_inclusion",$AL56="eligible"),"selected",""))</x:f>
      </x:c>
      <x:c r="AT56" s="81" t="str">
        <x:f>IF($E56="","",IF($AM56&lt;&gt;"competitive_selection","",IF(AND($AL56="eligible",$AR56&lt;=8),"selected","context/backlog")))</x:f>
      </x:c>
      <x:c r="AU56" s="81" t="str">
        <x:f>IF($E56="","",IF($AM56="reentry_required","not_selected_reentry",IF($AS56="selected","selected_for_runtime",IF($AT56="selected","selected_for_runtime",IF($AL56="review","manual_review","context_or_not_selected")))))</x:f>
      </x:c>
      <x:c r="AV56" s="81" t="str">
        <x:f>IF($E56="","",IF($AU56="selected_for_runtime",IF($AM56="competitive_selection",$AR56,COUNTIF($AU$2:AU56,"selected_for_runtime")),""))</x:f>
      </x:c>
      <x:c r="AW56" s="81" t="str">
        <x:f>IF($E56="","",IF($AU56="selected_for_runtime",IF($AD56&gt;=2,"base_40_plus_uncertainty_probes",IF($AE56&gt;=2,"base_40_plus_exploratory_probes","base_40_standard")),"no_runtime"))</x:f>
      </x:c>
      <x:c r="AX56" s="81" t="str">
        <x:f>IF($E56="","",IF($AU56&lt;&gt;"selected_for_runtime","none",IF($AE56&gt;=2,"exploratoria",IF($AQ56&gt;=2.2,"alta",IF($AQ56&gt;=1.2,"media","baja")))))</x:f>
      </x:c>
      <x:c r="AY56" s="81" t="str">
        <x:f>IF($E56="","",IF($AJ56=TRUE,"context_with_coverage_gap",IF($AI56="review","context_requires_confirmation","context_ready")))</x:f>
      </x:c>
      <x:c r="AZ56" s="81" t="str">
        <x:f>IF($E56="","",IF($AU56&lt;&gt;"selected_for_runtime","no",IF(OR($AY56="context_with_coverage_gap",$AX56="exploratoria"),"ready_with_flags","ready")))</x:f>
      </x:c>
      <x:c r="BA56" s="81" t="str"/>
      <x:c r="BB56" s="81" t="str"/>
      <x:c r="BC56" s="81" t="str"/>
      <x:c r="BD56" s="81" t="str"/>
      <x:c r="BE56" s="81" t="str"/>
    </x:row>
    <x:row r="57">
      <x:c r="A57" s="81" t="str"/>
      <x:c r="B57" s="81" t="str"/>
      <x:c r="C57" s="81" t="str"/>
      <x:c r="D57" s="81" t="str"/>
      <x:c r="E57" s="81" t="str"/>
      <x:c r="F57" s="81" t="str"/>
      <x:c r="G57" s="81" t="str"/>
      <x:c r="H57" s="81" t="str"/>
      <x:c r="I57" s="81" t="str"/>
      <x:c r="J57" s="81" t="str"/>
      <x:c r="K57" s="81" t="str"/>
      <x:c r="L57" s="81" t="str"/>
      <x:c r="M57" s="81" t="str"/>
      <x:c r="N57" s="81" t="str"/>
      <x:c r="O57" s="81" t="str"/>
      <x:c r="P57" s="81" t="str"/>
      <x:c r="Q57" s="81" t="str"/>
      <x:c r="R57" s="81" t="str"/>
      <x:c r="S57" s="82" t="str"/>
      <x:c r="T57" s="82" t="str"/>
      <x:c r="U57" s="82" t="str"/>
      <x:c r="V57" s="82" t="str"/>
      <x:c r="W57" s="82" t="str"/>
      <x:c r="X57" s="82" t="str"/>
      <x:c r="Y57" s="82" t="str"/>
      <x:c r="Z57" s="82" t="str"/>
      <x:c r="AA57" s="82" t="str"/>
      <x:c r="AB57" s="82" t="str"/>
      <x:c r="AC57" s="82" t="str"/>
      <x:c r="AD57" s="82" t="str"/>
      <x:c r="AE57" s="82" t="str"/>
      <x:c r="AF57" s="82" t="str"/>
      <x:c r="AG57" s="82" t="str"/>
      <x:c r="AH57" s="82" t="str"/>
      <x:c r="AI57" s="81" t="str"/>
      <x:c r="AJ57" s="81" t="str"/>
      <x:c r="AK57" s="81" t="str">
        <x:f>IF($E57="","",IF(AND($M57="yes",OR($N57="yes",$N57="review"),OR($O57="yes",$O57="review"),$P57="fit",OR($Q57="unique",$Q57="alias_review"),$R57&lt;&gt;"context_only"),"pass","review/block"))</x:f>
      </x:c>
      <x:c r="AL57" s="81" t="str">
        <x:f>IF($E57="","",IF($AK57="pass","eligible",IF(OR($M57="no",$O57="no",$P57="too_macro",$P57="too_micro",$P57="context_only",$Q57="duplicate_confirmed",$R57="context_only"),"not_eligible","review")))</x:f>
      </x:c>
      <x:c r="AM57" s="81" t="str">
        <x:f>IF($E57="","",IF($C57=0,"reentry_required",IF($C57&lt;=8,"non_competitive_inclusion","competitive_selection")))</x:f>
      </x:c>
      <x:c r="AN57" s="82" t="str">
        <x:f>IF($E57="","",AVERAGE($U57:$X57))</x:f>
      </x:c>
      <x:c r="AO57" s="82" t="str">
        <x:f>IF($E57="","",AVERAGE($S57:$T57))</x:f>
      </x:c>
      <x:c r="AP57" s="82" t="str">
        <x:f>IF($E57="","",($AF57*0.08)+($AG57*0.08)+($AH57*0.10))</x:f>
      </x:c>
      <x:c r="AQ57" s="82" t="str">
        <x:f>IF($E57="","",MAX(0,($AN57*0.30)+($Y57*0.20)+($Z57*0.15)+($AA57*0.15)+($AB57*0.10)+($AC57*0.10)+($AE57*0.05)-$AP57))</x:f>
      </x:c>
      <x:c r="AR57" s="81" t="str">
        <x:f>IF($E57="","",IF($AM57="competitive_selection",RANK.EQ($AQ57,$AQ$2:$AQ$201,0),""))</x:f>
      </x:c>
      <x:c r="AS57" s="81" t="str">
        <x:f>IF($E57="","",IF(AND($AM57="non_competitive_inclusion",$AL57="eligible"),"selected",""))</x:f>
      </x:c>
      <x:c r="AT57" s="81" t="str">
        <x:f>IF($E57="","",IF($AM57&lt;&gt;"competitive_selection","",IF(AND($AL57="eligible",$AR57&lt;=8),"selected","context/backlog")))</x:f>
      </x:c>
      <x:c r="AU57" s="81" t="str">
        <x:f>IF($E57="","",IF($AM57="reentry_required","not_selected_reentry",IF($AS57="selected","selected_for_runtime",IF($AT57="selected","selected_for_runtime",IF($AL57="review","manual_review","context_or_not_selected")))))</x:f>
      </x:c>
      <x:c r="AV57" s="81" t="str">
        <x:f>IF($E57="","",IF($AU57="selected_for_runtime",IF($AM57="competitive_selection",$AR57,COUNTIF($AU$2:AU57,"selected_for_runtime")),""))</x:f>
      </x:c>
      <x:c r="AW57" s="81" t="str">
        <x:f>IF($E57="","",IF($AU57="selected_for_runtime",IF($AD57&gt;=2,"base_40_plus_uncertainty_probes",IF($AE57&gt;=2,"base_40_plus_exploratory_probes","base_40_standard")),"no_runtime"))</x:f>
      </x:c>
      <x:c r="AX57" s="81" t="str">
        <x:f>IF($E57="","",IF($AU57&lt;&gt;"selected_for_runtime","none",IF($AE57&gt;=2,"exploratoria",IF($AQ57&gt;=2.2,"alta",IF($AQ57&gt;=1.2,"media","baja")))))</x:f>
      </x:c>
      <x:c r="AY57" s="81" t="str">
        <x:f>IF($E57="","",IF($AJ57=TRUE,"context_with_coverage_gap",IF($AI57="review","context_requires_confirmation","context_ready")))</x:f>
      </x:c>
      <x:c r="AZ57" s="81" t="str">
        <x:f>IF($E57="","",IF($AU57&lt;&gt;"selected_for_runtime","no",IF(OR($AY57="context_with_coverage_gap",$AX57="exploratoria"),"ready_with_flags","ready")))</x:f>
      </x:c>
      <x:c r="BA57" s="81" t="str"/>
      <x:c r="BB57" s="81" t="str"/>
      <x:c r="BC57" s="81" t="str"/>
      <x:c r="BD57" s="81" t="str"/>
      <x:c r="BE57" s="81" t="str"/>
    </x:row>
    <x:row r="58">
      <x:c r="A58" s="81" t="str"/>
      <x:c r="B58" s="81" t="str"/>
      <x:c r="C58" s="81" t="str"/>
      <x:c r="D58" s="81" t="str"/>
      <x:c r="E58" s="81" t="str"/>
      <x:c r="F58" s="81" t="str"/>
      <x:c r="G58" s="81" t="str"/>
      <x:c r="H58" s="81" t="str"/>
      <x:c r="I58" s="81" t="str"/>
      <x:c r="J58" s="81" t="str"/>
      <x:c r="K58" s="81" t="str"/>
      <x:c r="L58" s="81" t="str"/>
      <x:c r="M58" s="81" t="str"/>
      <x:c r="N58" s="81" t="str"/>
      <x:c r="O58" s="81" t="str"/>
      <x:c r="P58" s="81" t="str"/>
      <x:c r="Q58" s="81" t="str"/>
      <x:c r="R58" s="81" t="str"/>
      <x:c r="S58" s="82" t="str"/>
      <x:c r="T58" s="82" t="str"/>
      <x:c r="U58" s="82" t="str"/>
      <x:c r="V58" s="82" t="str"/>
      <x:c r="W58" s="82" t="str"/>
      <x:c r="X58" s="82" t="str"/>
      <x:c r="Y58" s="82" t="str"/>
      <x:c r="Z58" s="82" t="str"/>
      <x:c r="AA58" s="82" t="str"/>
      <x:c r="AB58" s="82" t="str"/>
      <x:c r="AC58" s="82" t="str"/>
      <x:c r="AD58" s="82" t="str"/>
      <x:c r="AE58" s="82" t="str"/>
      <x:c r="AF58" s="82" t="str"/>
      <x:c r="AG58" s="82" t="str"/>
      <x:c r="AH58" s="82" t="str"/>
      <x:c r="AI58" s="81" t="str"/>
      <x:c r="AJ58" s="81" t="str"/>
      <x:c r="AK58" s="81" t="str">
        <x:f>IF($E58="","",IF(AND($M58="yes",OR($N58="yes",$N58="review"),OR($O58="yes",$O58="review"),$P58="fit",OR($Q58="unique",$Q58="alias_review"),$R58&lt;&gt;"context_only"),"pass","review/block"))</x:f>
      </x:c>
      <x:c r="AL58" s="81" t="str">
        <x:f>IF($E58="","",IF($AK58="pass","eligible",IF(OR($M58="no",$O58="no",$P58="too_macro",$P58="too_micro",$P58="context_only",$Q58="duplicate_confirmed",$R58="context_only"),"not_eligible","review")))</x:f>
      </x:c>
      <x:c r="AM58" s="81" t="str">
        <x:f>IF($E58="","",IF($C58=0,"reentry_required",IF($C58&lt;=8,"non_competitive_inclusion","competitive_selection")))</x:f>
      </x:c>
      <x:c r="AN58" s="82" t="str">
        <x:f>IF($E58="","",AVERAGE($U58:$X58))</x:f>
      </x:c>
      <x:c r="AO58" s="82" t="str">
        <x:f>IF($E58="","",AVERAGE($S58:$T58))</x:f>
      </x:c>
      <x:c r="AP58" s="82" t="str">
        <x:f>IF($E58="","",($AF58*0.08)+($AG58*0.08)+($AH58*0.10))</x:f>
      </x:c>
      <x:c r="AQ58" s="82" t="str">
        <x:f>IF($E58="","",MAX(0,($AN58*0.30)+($Y58*0.20)+($Z58*0.15)+($AA58*0.15)+($AB58*0.10)+($AC58*0.10)+($AE58*0.05)-$AP58))</x:f>
      </x:c>
      <x:c r="AR58" s="81" t="str">
        <x:f>IF($E58="","",IF($AM58="competitive_selection",RANK.EQ($AQ58,$AQ$2:$AQ$201,0),""))</x:f>
      </x:c>
      <x:c r="AS58" s="81" t="str">
        <x:f>IF($E58="","",IF(AND($AM58="non_competitive_inclusion",$AL58="eligible"),"selected",""))</x:f>
      </x:c>
      <x:c r="AT58" s="81" t="str">
        <x:f>IF($E58="","",IF($AM58&lt;&gt;"competitive_selection","",IF(AND($AL58="eligible",$AR58&lt;=8),"selected","context/backlog")))</x:f>
      </x:c>
      <x:c r="AU58" s="81" t="str">
        <x:f>IF($E58="","",IF($AM58="reentry_required","not_selected_reentry",IF($AS58="selected","selected_for_runtime",IF($AT58="selected","selected_for_runtime",IF($AL58="review","manual_review","context_or_not_selected")))))</x:f>
      </x:c>
      <x:c r="AV58" s="81" t="str">
        <x:f>IF($E58="","",IF($AU58="selected_for_runtime",IF($AM58="competitive_selection",$AR58,COUNTIF($AU$2:AU58,"selected_for_runtime")),""))</x:f>
      </x:c>
      <x:c r="AW58" s="81" t="str">
        <x:f>IF($E58="","",IF($AU58="selected_for_runtime",IF($AD58&gt;=2,"base_40_plus_uncertainty_probes",IF($AE58&gt;=2,"base_40_plus_exploratory_probes","base_40_standard")),"no_runtime"))</x:f>
      </x:c>
      <x:c r="AX58" s="81" t="str">
        <x:f>IF($E58="","",IF($AU58&lt;&gt;"selected_for_runtime","none",IF($AE58&gt;=2,"exploratoria",IF($AQ58&gt;=2.2,"alta",IF($AQ58&gt;=1.2,"media","baja")))))</x:f>
      </x:c>
      <x:c r="AY58" s="81" t="str">
        <x:f>IF($E58="","",IF($AJ58=TRUE,"context_with_coverage_gap",IF($AI58="review","context_requires_confirmation","context_ready")))</x:f>
      </x:c>
      <x:c r="AZ58" s="81" t="str">
        <x:f>IF($E58="","",IF($AU58&lt;&gt;"selected_for_runtime","no",IF(OR($AY58="context_with_coverage_gap",$AX58="exploratoria"),"ready_with_flags","ready")))</x:f>
      </x:c>
      <x:c r="BA58" s="81" t="str"/>
      <x:c r="BB58" s="81" t="str"/>
      <x:c r="BC58" s="81" t="str"/>
      <x:c r="BD58" s="81" t="str"/>
      <x:c r="BE58" s="81" t="str"/>
    </x:row>
    <x:row r="59">
      <x:c r="A59" s="81" t="str"/>
      <x:c r="B59" s="81" t="str"/>
      <x:c r="C59" s="81" t="str"/>
      <x:c r="D59" s="81" t="str"/>
      <x:c r="E59" s="81" t="str"/>
      <x:c r="F59" s="81" t="str"/>
      <x:c r="G59" s="81" t="str"/>
      <x:c r="H59" s="81" t="str"/>
      <x:c r="I59" s="81" t="str"/>
      <x:c r="J59" s="81" t="str"/>
      <x:c r="K59" s="81" t="str"/>
      <x:c r="L59" s="81" t="str"/>
      <x:c r="M59" s="81" t="str"/>
      <x:c r="N59" s="81" t="str"/>
      <x:c r="O59" s="81" t="str"/>
      <x:c r="P59" s="81" t="str"/>
      <x:c r="Q59" s="81" t="str"/>
      <x:c r="R59" s="81" t="str"/>
      <x:c r="S59" s="82" t="str"/>
      <x:c r="T59" s="82" t="str"/>
      <x:c r="U59" s="82" t="str"/>
      <x:c r="V59" s="82" t="str"/>
      <x:c r="W59" s="82" t="str"/>
      <x:c r="X59" s="82" t="str"/>
      <x:c r="Y59" s="82" t="str"/>
      <x:c r="Z59" s="82" t="str"/>
      <x:c r="AA59" s="82" t="str"/>
      <x:c r="AB59" s="82" t="str"/>
      <x:c r="AC59" s="82" t="str"/>
      <x:c r="AD59" s="82" t="str"/>
      <x:c r="AE59" s="82" t="str"/>
      <x:c r="AF59" s="82" t="str"/>
      <x:c r="AG59" s="82" t="str"/>
      <x:c r="AH59" s="82" t="str"/>
      <x:c r="AI59" s="81" t="str"/>
      <x:c r="AJ59" s="81" t="str"/>
      <x:c r="AK59" s="81" t="str">
        <x:f>IF($E59="","",IF(AND($M59="yes",OR($N59="yes",$N59="review"),OR($O59="yes",$O59="review"),$P59="fit",OR($Q59="unique",$Q59="alias_review"),$R59&lt;&gt;"context_only"),"pass","review/block"))</x:f>
      </x:c>
      <x:c r="AL59" s="81" t="str">
        <x:f>IF($E59="","",IF($AK59="pass","eligible",IF(OR($M59="no",$O59="no",$P59="too_macro",$P59="too_micro",$P59="context_only",$Q59="duplicate_confirmed",$R59="context_only"),"not_eligible","review")))</x:f>
      </x:c>
      <x:c r="AM59" s="81" t="str">
        <x:f>IF($E59="","",IF($C59=0,"reentry_required",IF($C59&lt;=8,"non_competitive_inclusion","competitive_selection")))</x:f>
      </x:c>
      <x:c r="AN59" s="82" t="str">
        <x:f>IF($E59="","",AVERAGE($U59:$X59))</x:f>
      </x:c>
      <x:c r="AO59" s="82" t="str">
        <x:f>IF($E59="","",AVERAGE($S59:$T59))</x:f>
      </x:c>
      <x:c r="AP59" s="82" t="str">
        <x:f>IF($E59="","",($AF59*0.08)+($AG59*0.08)+($AH59*0.10))</x:f>
      </x:c>
      <x:c r="AQ59" s="82" t="str">
        <x:f>IF($E59="","",MAX(0,($AN59*0.30)+($Y59*0.20)+($Z59*0.15)+($AA59*0.15)+($AB59*0.10)+($AC59*0.10)+($AE59*0.05)-$AP59))</x:f>
      </x:c>
      <x:c r="AR59" s="81" t="str">
        <x:f>IF($E59="","",IF($AM59="competitive_selection",RANK.EQ($AQ59,$AQ$2:$AQ$201,0),""))</x:f>
      </x:c>
      <x:c r="AS59" s="81" t="str">
        <x:f>IF($E59="","",IF(AND($AM59="non_competitive_inclusion",$AL59="eligible"),"selected",""))</x:f>
      </x:c>
      <x:c r="AT59" s="81" t="str">
        <x:f>IF($E59="","",IF($AM59&lt;&gt;"competitive_selection","",IF(AND($AL59="eligible",$AR59&lt;=8),"selected","context/backlog")))</x:f>
      </x:c>
      <x:c r="AU59" s="81" t="str">
        <x:f>IF($E59="","",IF($AM59="reentry_required","not_selected_reentry",IF($AS59="selected","selected_for_runtime",IF($AT59="selected","selected_for_runtime",IF($AL59="review","manual_review","context_or_not_selected")))))</x:f>
      </x:c>
      <x:c r="AV59" s="81" t="str">
        <x:f>IF($E59="","",IF($AU59="selected_for_runtime",IF($AM59="competitive_selection",$AR59,COUNTIF($AU$2:AU59,"selected_for_runtime")),""))</x:f>
      </x:c>
      <x:c r="AW59" s="81" t="str">
        <x:f>IF($E59="","",IF($AU59="selected_for_runtime",IF($AD59&gt;=2,"base_40_plus_uncertainty_probes",IF($AE59&gt;=2,"base_40_plus_exploratory_probes","base_40_standard")),"no_runtime"))</x:f>
      </x:c>
      <x:c r="AX59" s="81" t="str">
        <x:f>IF($E59="","",IF($AU59&lt;&gt;"selected_for_runtime","none",IF($AE59&gt;=2,"exploratoria",IF($AQ59&gt;=2.2,"alta",IF($AQ59&gt;=1.2,"media","baja")))))</x:f>
      </x:c>
      <x:c r="AY59" s="81" t="str">
        <x:f>IF($E59="","",IF($AJ59=TRUE,"context_with_coverage_gap",IF($AI59="review","context_requires_confirmation","context_ready")))</x:f>
      </x:c>
      <x:c r="AZ59" s="81" t="str">
        <x:f>IF($E59="","",IF($AU59&lt;&gt;"selected_for_runtime","no",IF(OR($AY59="context_with_coverage_gap",$AX59="exploratoria"),"ready_with_flags","ready")))</x:f>
      </x:c>
      <x:c r="BA59" s="81" t="str"/>
      <x:c r="BB59" s="81" t="str"/>
      <x:c r="BC59" s="81" t="str"/>
      <x:c r="BD59" s="81" t="str"/>
      <x:c r="BE59" s="81" t="str"/>
    </x:row>
    <x:row r="60">
      <x:c r="A60" s="81" t="str"/>
      <x:c r="B60" s="81" t="str"/>
      <x:c r="C60" s="81" t="str"/>
      <x:c r="D60" s="81" t="str"/>
      <x:c r="E60" s="81" t="str"/>
      <x:c r="F60" s="81" t="str"/>
      <x:c r="G60" s="81" t="str"/>
      <x:c r="H60" s="81" t="str"/>
      <x:c r="I60" s="81" t="str"/>
      <x:c r="J60" s="81" t="str"/>
      <x:c r="K60" s="81" t="str"/>
      <x:c r="L60" s="81" t="str"/>
      <x:c r="M60" s="81" t="str"/>
      <x:c r="N60" s="81" t="str"/>
      <x:c r="O60" s="81" t="str"/>
      <x:c r="P60" s="81" t="str"/>
      <x:c r="Q60" s="81" t="str"/>
      <x:c r="R60" s="81" t="str"/>
      <x:c r="S60" s="82" t="str"/>
      <x:c r="T60" s="82" t="str"/>
      <x:c r="U60" s="82" t="str"/>
      <x:c r="V60" s="82" t="str"/>
      <x:c r="W60" s="82" t="str"/>
      <x:c r="X60" s="82" t="str"/>
      <x:c r="Y60" s="82" t="str"/>
      <x:c r="Z60" s="82" t="str"/>
      <x:c r="AA60" s="82" t="str"/>
      <x:c r="AB60" s="82" t="str"/>
      <x:c r="AC60" s="82" t="str"/>
      <x:c r="AD60" s="82" t="str"/>
      <x:c r="AE60" s="82" t="str"/>
      <x:c r="AF60" s="82" t="str"/>
      <x:c r="AG60" s="82" t="str"/>
      <x:c r="AH60" s="82" t="str"/>
      <x:c r="AI60" s="81" t="str"/>
      <x:c r="AJ60" s="81" t="str"/>
      <x:c r="AK60" s="81" t="str">
        <x:f>IF($E60="","",IF(AND($M60="yes",OR($N60="yes",$N60="review"),OR($O60="yes",$O60="review"),$P60="fit",OR($Q60="unique",$Q60="alias_review"),$R60&lt;&gt;"context_only"),"pass","review/block"))</x:f>
      </x:c>
      <x:c r="AL60" s="81" t="str">
        <x:f>IF($E60="","",IF($AK60="pass","eligible",IF(OR($M60="no",$O60="no",$P60="too_macro",$P60="too_micro",$P60="context_only",$Q60="duplicate_confirmed",$R60="context_only"),"not_eligible","review")))</x:f>
      </x:c>
      <x:c r="AM60" s="81" t="str">
        <x:f>IF($E60="","",IF($C60=0,"reentry_required",IF($C60&lt;=8,"non_competitive_inclusion","competitive_selection")))</x:f>
      </x:c>
      <x:c r="AN60" s="82" t="str">
        <x:f>IF($E60="","",AVERAGE($U60:$X60))</x:f>
      </x:c>
      <x:c r="AO60" s="82" t="str">
        <x:f>IF($E60="","",AVERAGE($S60:$T60))</x:f>
      </x:c>
      <x:c r="AP60" s="82" t="str">
        <x:f>IF($E60="","",($AF60*0.08)+($AG60*0.08)+($AH60*0.10))</x:f>
      </x:c>
      <x:c r="AQ60" s="82" t="str">
        <x:f>IF($E60="","",MAX(0,($AN60*0.30)+($Y60*0.20)+($Z60*0.15)+($AA60*0.15)+($AB60*0.10)+($AC60*0.10)+($AE60*0.05)-$AP60))</x:f>
      </x:c>
      <x:c r="AR60" s="81" t="str">
        <x:f>IF($E60="","",IF($AM60="competitive_selection",RANK.EQ($AQ60,$AQ$2:$AQ$201,0),""))</x:f>
      </x:c>
      <x:c r="AS60" s="81" t="str">
        <x:f>IF($E60="","",IF(AND($AM60="non_competitive_inclusion",$AL60="eligible"),"selected",""))</x:f>
      </x:c>
      <x:c r="AT60" s="81" t="str">
        <x:f>IF($E60="","",IF($AM60&lt;&gt;"competitive_selection","",IF(AND($AL60="eligible",$AR60&lt;=8),"selected","context/backlog")))</x:f>
      </x:c>
      <x:c r="AU60" s="81" t="str">
        <x:f>IF($E60="","",IF($AM60="reentry_required","not_selected_reentry",IF($AS60="selected","selected_for_runtime",IF($AT60="selected","selected_for_runtime",IF($AL60="review","manual_review","context_or_not_selected")))))</x:f>
      </x:c>
      <x:c r="AV60" s="81" t="str">
        <x:f>IF($E60="","",IF($AU60="selected_for_runtime",IF($AM60="competitive_selection",$AR60,COUNTIF($AU$2:AU60,"selected_for_runtime")),""))</x:f>
      </x:c>
      <x:c r="AW60" s="81" t="str">
        <x:f>IF($E60="","",IF($AU60="selected_for_runtime",IF($AD60&gt;=2,"base_40_plus_uncertainty_probes",IF($AE60&gt;=2,"base_40_plus_exploratory_probes","base_40_standard")),"no_runtime"))</x:f>
      </x:c>
      <x:c r="AX60" s="81" t="str">
        <x:f>IF($E60="","",IF($AU60&lt;&gt;"selected_for_runtime","none",IF($AE60&gt;=2,"exploratoria",IF($AQ60&gt;=2.2,"alta",IF($AQ60&gt;=1.2,"media","baja")))))</x:f>
      </x:c>
      <x:c r="AY60" s="81" t="str">
        <x:f>IF($E60="","",IF($AJ60=TRUE,"context_with_coverage_gap",IF($AI60="review","context_requires_confirmation","context_ready")))</x:f>
      </x:c>
      <x:c r="AZ60" s="81" t="str">
        <x:f>IF($E60="","",IF($AU60&lt;&gt;"selected_for_runtime","no",IF(OR($AY60="context_with_coverage_gap",$AX60="exploratoria"),"ready_with_flags","ready")))</x:f>
      </x:c>
      <x:c r="BA60" s="81" t="str"/>
      <x:c r="BB60" s="81" t="str"/>
      <x:c r="BC60" s="81" t="str"/>
      <x:c r="BD60" s="81" t="str"/>
      <x:c r="BE60" s="81" t="str"/>
    </x:row>
    <x:row r="61">
      <x:c r="A61" s="81" t="str"/>
      <x:c r="B61" s="81" t="str"/>
      <x:c r="C61" s="81" t="str"/>
      <x:c r="D61" s="81" t="str"/>
      <x:c r="E61" s="81" t="str"/>
      <x:c r="F61" s="81" t="str"/>
      <x:c r="G61" s="81" t="str"/>
      <x:c r="H61" s="81" t="str"/>
      <x:c r="I61" s="81" t="str"/>
      <x:c r="J61" s="81" t="str"/>
      <x:c r="K61" s="81" t="str"/>
      <x:c r="L61" s="81" t="str"/>
      <x:c r="M61" s="81" t="str"/>
      <x:c r="N61" s="81" t="str"/>
      <x:c r="O61" s="81" t="str"/>
      <x:c r="P61" s="81" t="str"/>
      <x:c r="Q61" s="81" t="str"/>
      <x:c r="R61" s="81" t="str"/>
      <x:c r="S61" s="82" t="str"/>
      <x:c r="T61" s="82" t="str"/>
      <x:c r="U61" s="82" t="str"/>
      <x:c r="V61" s="82" t="str"/>
      <x:c r="W61" s="82" t="str"/>
      <x:c r="X61" s="82" t="str"/>
      <x:c r="Y61" s="82" t="str"/>
      <x:c r="Z61" s="82" t="str"/>
      <x:c r="AA61" s="82" t="str"/>
      <x:c r="AB61" s="82" t="str"/>
      <x:c r="AC61" s="82" t="str"/>
      <x:c r="AD61" s="82" t="str"/>
      <x:c r="AE61" s="82" t="str"/>
      <x:c r="AF61" s="82" t="str"/>
      <x:c r="AG61" s="82" t="str"/>
      <x:c r="AH61" s="82" t="str"/>
      <x:c r="AI61" s="81" t="str"/>
      <x:c r="AJ61" s="81" t="str"/>
      <x:c r="AK61" s="81" t="str">
        <x:f>IF($E61="","",IF(AND($M61="yes",OR($N61="yes",$N61="review"),OR($O61="yes",$O61="review"),$P61="fit",OR($Q61="unique",$Q61="alias_review"),$R61&lt;&gt;"context_only"),"pass","review/block"))</x:f>
      </x:c>
      <x:c r="AL61" s="81" t="str">
        <x:f>IF($E61="","",IF($AK61="pass","eligible",IF(OR($M61="no",$O61="no",$P61="too_macro",$P61="too_micro",$P61="context_only",$Q61="duplicate_confirmed",$R61="context_only"),"not_eligible","review")))</x:f>
      </x:c>
      <x:c r="AM61" s="81" t="str">
        <x:f>IF($E61="","",IF($C61=0,"reentry_required",IF($C61&lt;=8,"non_competitive_inclusion","competitive_selection")))</x:f>
      </x:c>
      <x:c r="AN61" s="82" t="str">
        <x:f>IF($E61="","",AVERAGE($U61:$X61))</x:f>
      </x:c>
      <x:c r="AO61" s="82" t="str">
        <x:f>IF($E61="","",AVERAGE($S61:$T61))</x:f>
      </x:c>
      <x:c r="AP61" s="82" t="str">
        <x:f>IF($E61="","",($AF61*0.08)+($AG61*0.08)+($AH61*0.10))</x:f>
      </x:c>
      <x:c r="AQ61" s="82" t="str">
        <x:f>IF($E61="","",MAX(0,($AN61*0.30)+($Y61*0.20)+($Z61*0.15)+($AA61*0.15)+($AB61*0.10)+($AC61*0.10)+($AE61*0.05)-$AP61))</x:f>
      </x:c>
      <x:c r="AR61" s="81" t="str">
        <x:f>IF($E61="","",IF($AM61="competitive_selection",RANK.EQ($AQ61,$AQ$2:$AQ$201,0),""))</x:f>
      </x:c>
      <x:c r="AS61" s="81" t="str">
        <x:f>IF($E61="","",IF(AND($AM61="non_competitive_inclusion",$AL61="eligible"),"selected",""))</x:f>
      </x:c>
      <x:c r="AT61" s="81" t="str">
        <x:f>IF($E61="","",IF($AM61&lt;&gt;"competitive_selection","",IF(AND($AL61="eligible",$AR61&lt;=8),"selected","context/backlog")))</x:f>
      </x:c>
      <x:c r="AU61" s="81" t="str">
        <x:f>IF($E61="","",IF($AM61="reentry_required","not_selected_reentry",IF($AS61="selected","selected_for_runtime",IF($AT61="selected","selected_for_runtime",IF($AL61="review","manual_review","context_or_not_selected")))))</x:f>
      </x:c>
      <x:c r="AV61" s="81" t="str">
        <x:f>IF($E61="","",IF($AU61="selected_for_runtime",IF($AM61="competitive_selection",$AR61,COUNTIF($AU$2:AU61,"selected_for_runtime")),""))</x:f>
      </x:c>
      <x:c r="AW61" s="81" t="str">
        <x:f>IF($E61="","",IF($AU61="selected_for_runtime",IF($AD61&gt;=2,"base_40_plus_uncertainty_probes",IF($AE61&gt;=2,"base_40_plus_exploratory_probes","base_40_standard")),"no_runtime"))</x:f>
      </x:c>
      <x:c r="AX61" s="81" t="str">
        <x:f>IF($E61="","",IF($AU61&lt;&gt;"selected_for_runtime","none",IF($AE61&gt;=2,"exploratoria",IF($AQ61&gt;=2.2,"alta",IF($AQ61&gt;=1.2,"media","baja")))))</x:f>
      </x:c>
      <x:c r="AY61" s="81" t="str">
        <x:f>IF($E61="","",IF($AJ61=TRUE,"context_with_coverage_gap",IF($AI61="review","context_requires_confirmation","context_ready")))</x:f>
      </x:c>
      <x:c r="AZ61" s="81" t="str">
        <x:f>IF($E61="","",IF($AU61&lt;&gt;"selected_for_runtime","no",IF(OR($AY61="context_with_coverage_gap",$AX61="exploratoria"),"ready_with_flags","ready")))</x:f>
      </x:c>
      <x:c r="BA61" s="81" t="str"/>
      <x:c r="BB61" s="81" t="str"/>
      <x:c r="BC61" s="81" t="str"/>
      <x:c r="BD61" s="81" t="str"/>
      <x:c r="BE61" s="81" t="str"/>
    </x:row>
    <x:row r="62">
      <x:c r="A62" s="81" t="str"/>
      <x:c r="B62" s="81" t="str"/>
      <x:c r="C62" s="81" t="str"/>
      <x:c r="D62" s="81" t="str"/>
      <x:c r="E62" s="81" t="str"/>
      <x:c r="F62" s="81" t="str"/>
      <x:c r="G62" s="81" t="str"/>
      <x:c r="H62" s="81" t="str"/>
      <x:c r="I62" s="81" t="str"/>
      <x:c r="J62" s="81" t="str"/>
      <x:c r="K62" s="81" t="str"/>
      <x:c r="L62" s="81" t="str"/>
      <x:c r="M62" s="81" t="str"/>
      <x:c r="N62" s="81" t="str"/>
      <x:c r="O62" s="81" t="str"/>
      <x:c r="P62" s="81" t="str"/>
      <x:c r="Q62" s="81" t="str"/>
      <x:c r="R62" s="81" t="str"/>
      <x:c r="S62" s="82" t="str"/>
      <x:c r="T62" s="82" t="str"/>
      <x:c r="U62" s="82" t="str"/>
      <x:c r="V62" s="82" t="str"/>
      <x:c r="W62" s="82" t="str"/>
      <x:c r="X62" s="82" t="str"/>
      <x:c r="Y62" s="82" t="str"/>
      <x:c r="Z62" s="82" t="str"/>
      <x:c r="AA62" s="82" t="str"/>
      <x:c r="AB62" s="82" t="str"/>
      <x:c r="AC62" s="82" t="str"/>
      <x:c r="AD62" s="82" t="str"/>
      <x:c r="AE62" s="82" t="str"/>
      <x:c r="AF62" s="82" t="str"/>
      <x:c r="AG62" s="82" t="str"/>
      <x:c r="AH62" s="82" t="str"/>
      <x:c r="AI62" s="81" t="str"/>
      <x:c r="AJ62" s="81" t="str"/>
      <x:c r="AK62" s="81" t="str">
        <x:f>IF($E62="","",IF(AND($M62="yes",OR($N62="yes",$N62="review"),OR($O62="yes",$O62="review"),$P62="fit",OR($Q62="unique",$Q62="alias_review"),$R62&lt;&gt;"context_only"),"pass","review/block"))</x:f>
      </x:c>
      <x:c r="AL62" s="81" t="str">
        <x:f>IF($E62="","",IF($AK62="pass","eligible",IF(OR($M62="no",$O62="no",$P62="too_macro",$P62="too_micro",$P62="context_only",$Q62="duplicate_confirmed",$R62="context_only"),"not_eligible","review")))</x:f>
      </x:c>
      <x:c r="AM62" s="81" t="str">
        <x:f>IF($E62="","",IF($C62=0,"reentry_required",IF($C62&lt;=8,"non_competitive_inclusion","competitive_selection")))</x:f>
      </x:c>
      <x:c r="AN62" s="82" t="str">
        <x:f>IF($E62="","",AVERAGE($U62:$X62))</x:f>
      </x:c>
      <x:c r="AO62" s="82" t="str">
        <x:f>IF($E62="","",AVERAGE($S62:$T62))</x:f>
      </x:c>
      <x:c r="AP62" s="82" t="str">
        <x:f>IF($E62="","",($AF62*0.08)+($AG62*0.08)+($AH62*0.10))</x:f>
      </x:c>
      <x:c r="AQ62" s="82" t="str">
        <x:f>IF($E62="","",MAX(0,($AN62*0.30)+($Y62*0.20)+($Z62*0.15)+($AA62*0.15)+($AB62*0.10)+($AC62*0.10)+($AE62*0.05)-$AP62))</x:f>
      </x:c>
      <x:c r="AR62" s="81" t="str">
        <x:f>IF($E62="","",IF($AM62="competitive_selection",RANK.EQ($AQ62,$AQ$2:$AQ$201,0),""))</x:f>
      </x:c>
      <x:c r="AS62" s="81" t="str">
        <x:f>IF($E62="","",IF(AND($AM62="non_competitive_inclusion",$AL62="eligible"),"selected",""))</x:f>
      </x:c>
      <x:c r="AT62" s="81" t="str">
        <x:f>IF($E62="","",IF($AM62&lt;&gt;"competitive_selection","",IF(AND($AL62="eligible",$AR62&lt;=8),"selected","context/backlog")))</x:f>
      </x:c>
      <x:c r="AU62" s="81" t="str">
        <x:f>IF($E62="","",IF($AM62="reentry_required","not_selected_reentry",IF($AS62="selected","selected_for_runtime",IF($AT62="selected","selected_for_runtime",IF($AL62="review","manual_review","context_or_not_selected")))))</x:f>
      </x:c>
      <x:c r="AV62" s="81" t="str">
        <x:f>IF($E62="","",IF($AU62="selected_for_runtime",IF($AM62="competitive_selection",$AR62,COUNTIF($AU$2:AU62,"selected_for_runtime")),""))</x:f>
      </x:c>
      <x:c r="AW62" s="81" t="str">
        <x:f>IF($E62="","",IF($AU62="selected_for_runtime",IF($AD62&gt;=2,"base_40_plus_uncertainty_probes",IF($AE62&gt;=2,"base_40_plus_exploratory_probes","base_40_standard")),"no_runtime"))</x:f>
      </x:c>
      <x:c r="AX62" s="81" t="str">
        <x:f>IF($E62="","",IF($AU62&lt;&gt;"selected_for_runtime","none",IF($AE62&gt;=2,"exploratoria",IF($AQ62&gt;=2.2,"alta",IF($AQ62&gt;=1.2,"media","baja")))))</x:f>
      </x:c>
      <x:c r="AY62" s="81" t="str">
        <x:f>IF($E62="","",IF($AJ62=TRUE,"context_with_coverage_gap",IF($AI62="review","context_requires_confirmation","context_ready")))</x:f>
      </x:c>
      <x:c r="AZ62" s="81" t="str">
        <x:f>IF($E62="","",IF($AU62&lt;&gt;"selected_for_runtime","no",IF(OR($AY62="context_with_coverage_gap",$AX62="exploratoria"),"ready_with_flags","ready")))</x:f>
      </x:c>
      <x:c r="BA62" s="81" t="str"/>
      <x:c r="BB62" s="81" t="str"/>
      <x:c r="BC62" s="81" t="str"/>
      <x:c r="BD62" s="81" t="str"/>
      <x:c r="BE62" s="81" t="str"/>
    </x:row>
    <x:row r="63">
      <x:c r="A63" s="81" t="str"/>
      <x:c r="B63" s="81" t="str"/>
      <x:c r="C63" s="81" t="str"/>
      <x:c r="D63" s="81" t="str"/>
      <x:c r="E63" s="81" t="str"/>
      <x:c r="F63" s="81" t="str"/>
      <x:c r="G63" s="81" t="str"/>
      <x:c r="H63" s="81" t="str"/>
      <x:c r="I63" s="81" t="str"/>
      <x:c r="J63" s="81" t="str"/>
      <x:c r="K63" s="81" t="str"/>
      <x:c r="L63" s="81" t="str"/>
      <x:c r="M63" s="81" t="str"/>
      <x:c r="N63" s="81" t="str"/>
      <x:c r="O63" s="81" t="str"/>
      <x:c r="P63" s="81" t="str"/>
      <x:c r="Q63" s="81" t="str"/>
      <x:c r="R63" s="81" t="str"/>
      <x:c r="S63" s="82" t="str"/>
      <x:c r="T63" s="82" t="str"/>
      <x:c r="U63" s="82" t="str"/>
      <x:c r="V63" s="82" t="str"/>
      <x:c r="W63" s="82" t="str"/>
      <x:c r="X63" s="82" t="str"/>
      <x:c r="Y63" s="82" t="str"/>
      <x:c r="Z63" s="82" t="str"/>
      <x:c r="AA63" s="82" t="str"/>
      <x:c r="AB63" s="82" t="str"/>
      <x:c r="AC63" s="82" t="str"/>
      <x:c r="AD63" s="82" t="str"/>
      <x:c r="AE63" s="82" t="str"/>
      <x:c r="AF63" s="82" t="str"/>
      <x:c r="AG63" s="82" t="str"/>
      <x:c r="AH63" s="82" t="str"/>
      <x:c r="AI63" s="81" t="str"/>
      <x:c r="AJ63" s="81" t="str"/>
      <x:c r="AK63" s="81" t="str">
        <x:f>IF($E63="","",IF(AND($M63="yes",OR($N63="yes",$N63="review"),OR($O63="yes",$O63="review"),$P63="fit",OR($Q63="unique",$Q63="alias_review"),$R63&lt;&gt;"context_only"),"pass","review/block"))</x:f>
      </x:c>
      <x:c r="AL63" s="81" t="str">
        <x:f>IF($E63="","",IF($AK63="pass","eligible",IF(OR($M63="no",$O63="no",$P63="too_macro",$P63="too_micro",$P63="context_only",$Q63="duplicate_confirmed",$R63="context_only"),"not_eligible","review")))</x:f>
      </x:c>
      <x:c r="AM63" s="81" t="str">
        <x:f>IF($E63="","",IF($C63=0,"reentry_required",IF($C63&lt;=8,"non_competitive_inclusion","competitive_selection")))</x:f>
      </x:c>
      <x:c r="AN63" s="82" t="str">
        <x:f>IF($E63="","",AVERAGE($U63:$X63))</x:f>
      </x:c>
      <x:c r="AO63" s="82" t="str">
        <x:f>IF($E63="","",AVERAGE($S63:$T63))</x:f>
      </x:c>
      <x:c r="AP63" s="82" t="str">
        <x:f>IF($E63="","",($AF63*0.08)+($AG63*0.08)+($AH63*0.10))</x:f>
      </x:c>
      <x:c r="AQ63" s="82" t="str">
        <x:f>IF($E63="","",MAX(0,($AN63*0.30)+($Y63*0.20)+($Z63*0.15)+($AA63*0.15)+($AB63*0.10)+($AC63*0.10)+($AE63*0.05)-$AP63))</x:f>
      </x:c>
      <x:c r="AR63" s="81" t="str">
        <x:f>IF($E63="","",IF($AM63="competitive_selection",RANK.EQ($AQ63,$AQ$2:$AQ$201,0),""))</x:f>
      </x:c>
      <x:c r="AS63" s="81" t="str">
        <x:f>IF($E63="","",IF(AND($AM63="non_competitive_inclusion",$AL63="eligible"),"selected",""))</x:f>
      </x:c>
      <x:c r="AT63" s="81" t="str">
        <x:f>IF($E63="","",IF($AM63&lt;&gt;"competitive_selection","",IF(AND($AL63="eligible",$AR63&lt;=8),"selected","context/backlog")))</x:f>
      </x:c>
      <x:c r="AU63" s="81" t="str">
        <x:f>IF($E63="","",IF($AM63="reentry_required","not_selected_reentry",IF($AS63="selected","selected_for_runtime",IF($AT63="selected","selected_for_runtime",IF($AL63="review","manual_review","context_or_not_selected")))))</x:f>
      </x:c>
      <x:c r="AV63" s="81" t="str">
        <x:f>IF($E63="","",IF($AU63="selected_for_runtime",IF($AM63="competitive_selection",$AR63,COUNTIF($AU$2:AU63,"selected_for_runtime")),""))</x:f>
      </x:c>
      <x:c r="AW63" s="81" t="str">
        <x:f>IF($E63="","",IF($AU63="selected_for_runtime",IF($AD63&gt;=2,"base_40_plus_uncertainty_probes",IF($AE63&gt;=2,"base_40_plus_exploratory_probes","base_40_standard")),"no_runtime"))</x:f>
      </x:c>
      <x:c r="AX63" s="81" t="str">
        <x:f>IF($E63="","",IF($AU63&lt;&gt;"selected_for_runtime","none",IF($AE63&gt;=2,"exploratoria",IF($AQ63&gt;=2.2,"alta",IF($AQ63&gt;=1.2,"media","baja")))))</x:f>
      </x:c>
      <x:c r="AY63" s="81" t="str">
        <x:f>IF($E63="","",IF($AJ63=TRUE,"context_with_coverage_gap",IF($AI63="review","context_requires_confirmation","context_ready")))</x:f>
      </x:c>
      <x:c r="AZ63" s="81" t="str">
        <x:f>IF($E63="","",IF($AU63&lt;&gt;"selected_for_runtime","no",IF(OR($AY63="context_with_coverage_gap",$AX63="exploratoria"),"ready_with_flags","ready")))</x:f>
      </x:c>
      <x:c r="BA63" s="81" t="str"/>
      <x:c r="BB63" s="81" t="str"/>
      <x:c r="BC63" s="81" t="str"/>
      <x:c r="BD63" s="81" t="str"/>
      <x:c r="BE63" s="81" t="str"/>
    </x:row>
    <x:row r="64">
      <x:c r="A64" s="81" t="str"/>
      <x:c r="B64" s="81" t="str"/>
      <x:c r="C64" s="81" t="str"/>
      <x:c r="D64" s="81" t="str"/>
      <x:c r="E64" s="81" t="str"/>
      <x:c r="F64" s="81" t="str"/>
      <x:c r="G64" s="81" t="str"/>
      <x:c r="H64" s="81" t="str"/>
      <x:c r="I64" s="81" t="str"/>
      <x:c r="J64" s="81" t="str"/>
      <x:c r="K64" s="81" t="str"/>
      <x:c r="L64" s="81" t="str"/>
      <x:c r="M64" s="81" t="str"/>
      <x:c r="N64" s="81" t="str"/>
      <x:c r="O64" s="81" t="str"/>
      <x:c r="P64" s="81" t="str"/>
      <x:c r="Q64" s="81" t="str"/>
      <x:c r="R64" s="81" t="str"/>
      <x:c r="S64" s="82" t="str"/>
      <x:c r="T64" s="82" t="str"/>
      <x:c r="U64" s="82" t="str"/>
      <x:c r="V64" s="82" t="str"/>
      <x:c r="W64" s="82" t="str"/>
      <x:c r="X64" s="82" t="str"/>
      <x:c r="Y64" s="82" t="str"/>
      <x:c r="Z64" s="82" t="str"/>
      <x:c r="AA64" s="82" t="str"/>
      <x:c r="AB64" s="82" t="str"/>
      <x:c r="AC64" s="82" t="str"/>
      <x:c r="AD64" s="82" t="str"/>
      <x:c r="AE64" s="82" t="str"/>
      <x:c r="AF64" s="82" t="str"/>
      <x:c r="AG64" s="82" t="str"/>
      <x:c r="AH64" s="82" t="str"/>
      <x:c r="AI64" s="81" t="str"/>
      <x:c r="AJ64" s="81" t="str"/>
      <x:c r="AK64" s="81" t="str">
        <x:f>IF($E64="","",IF(AND($M64="yes",OR($N64="yes",$N64="review"),OR($O64="yes",$O64="review"),$P64="fit",OR($Q64="unique",$Q64="alias_review"),$R64&lt;&gt;"context_only"),"pass","review/block"))</x:f>
      </x:c>
      <x:c r="AL64" s="81" t="str">
        <x:f>IF($E64="","",IF($AK64="pass","eligible",IF(OR($M64="no",$O64="no",$P64="too_macro",$P64="too_micro",$P64="context_only",$Q64="duplicate_confirmed",$R64="context_only"),"not_eligible","review")))</x:f>
      </x:c>
      <x:c r="AM64" s="81" t="str">
        <x:f>IF($E64="","",IF($C64=0,"reentry_required",IF($C64&lt;=8,"non_competitive_inclusion","competitive_selection")))</x:f>
      </x:c>
      <x:c r="AN64" s="82" t="str">
        <x:f>IF($E64="","",AVERAGE($U64:$X64))</x:f>
      </x:c>
      <x:c r="AO64" s="82" t="str">
        <x:f>IF($E64="","",AVERAGE($S64:$T64))</x:f>
      </x:c>
      <x:c r="AP64" s="82" t="str">
        <x:f>IF($E64="","",($AF64*0.08)+($AG64*0.08)+($AH64*0.10))</x:f>
      </x:c>
      <x:c r="AQ64" s="82" t="str">
        <x:f>IF($E64="","",MAX(0,($AN64*0.30)+($Y64*0.20)+($Z64*0.15)+($AA64*0.15)+($AB64*0.10)+($AC64*0.10)+($AE64*0.05)-$AP64))</x:f>
      </x:c>
      <x:c r="AR64" s="81" t="str">
        <x:f>IF($E64="","",IF($AM64="competitive_selection",RANK.EQ($AQ64,$AQ$2:$AQ$201,0),""))</x:f>
      </x:c>
      <x:c r="AS64" s="81" t="str">
        <x:f>IF($E64="","",IF(AND($AM64="non_competitive_inclusion",$AL64="eligible"),"selected",""))</x:f>
      </x:c>
      <x:c r="AT64" s="81" t="str">
        <x:f>IF($E64="","",IF($AM64&lt;&gt;"competitive_selection","",IF(AND($AL64="eligible",$AR64&lt;=8),"selected","context/backlog")))</x:f>
      </x:c>
      <x:c r="AU64" s="81" t="str">
        <x:f>IF($E64="","",IF($AM64="reentry_required","not_selected_reentry",IF($AS64="selected","selected_for_runtime",IF($AT64="selected","selected_for_runtime",IF($AL64="review","manual_review","context_or_not_selected")))))</x:f>
      </x:c>
      <x:c r="AV64" s="81" t="str">
        <x:f>IF($E64="","",IF($AU64="selected_for_runtime",IF($AM64="competitive_selection",$AR64,COUNTIF($AU$2:AU64,"selected_for_runtime")),""))</x:f>
      </x:c>
      <x:c r="AW64" s="81" t="str">
        <x:f>IF($E64="","",IF($AU64="selected_for_runtime",IF($AD64&gt;=2,"base_40_plus_uncertainty_probes",IF($AE64&gt;=2,"base_40_plus_exploratory_probes","base_40_standard")),"no_runtime"))</x:f>
      </x:c>
      <x:c r="AX64" s="81" t="str">
        <x:f>IF($E64="","",IF($AU64&lt;&gt;"selected_for_runtime","none",IF($AE64&gt;=2,"exploratoria",IF($AQ64&gt;=2.2,"alta",IF($AQ64&gt;=1.2,"media","baja")))))</x:f>
      </x:c>
      <x:c r="AY64" s="81" t="str">
        <x:f>IF($E64="","",IF($AJ64=TRUE,"context_with_coverage_gap",IF($AI64="review","context_requires_confirmation","context_ready")))</x:f>
      </x:c>
      <x:c r="AZ64" s="81" t="str">
        <x:f>IF($E64="","",IF($AU64&lt;&gt;"selected_for_runtime","no",IF(OR($AY64="context_with_coverage_gap",$AX64="exploratoria"),"ready_with_flags","ready")))</x:f>
      </x:c>
      <x:c r="BA64" s="81" t="str"/>
      <x:c r="BB64" s="81" t="str"/>
      <x:c r="BC64" s="81" t="str"/>
      <x:c r="BD64" s="81" t="str"/>
      <x:c r="BE64" s="81" t="str"/>
    </x:row>
    <x:row r="65">
      <x:c r="A65" s="81" t="str"/>
      <x:c r="B65" s="81" t="str"/>
      <x:c r="C65" s="81" t="str"/>
      <x:c r="D65" s="81" t="str"/>
      <x:c r="E65" s="81" t="str"/>
      <x:c r="F65" s="81" t="str"/>
      <x:c r="G65" s="81" t="str"/>
      <x:c r="H65" s="81" t="str"/>
      <x:c r="I65" s="81" t="str"/>
      <x:c r="J65" s="81" t="str"/>
      <x:c r="K65" s="81" t="str"/>
      <x:c r="L65" s="81" t="str"/>
      <x:c r="M65" s="81" t="str"/>
      <x:c r="N65" s="81" t="str"/>
      <x:c r="O65" s="81" t="str"/>
      <x:c r="P65" s="81" t="str"/>
      <x:c r="Q65" s="81" t="str"/>
      <x:c r="R65" s="81" t="str"/>
      <x:c r="S65" s="82" t="str"/>
      <x:c r="T65" s="82" t="str"/>
      <x:c r="U65" s="82" t="str"/>
      <x:c r="V65" s="82" t="str"/>
      <x:c r="W65" s="82" t="str"/>
      <x:c r="X65" s="82" t="str"/>
      <x:c r="Y65" s="82" t="str"/>
      <x:c r="Z65" s="82" t="str"/>
      <x:c r="AA65" s="82" t="str"/>
      <x:c r="AB65" s="82" t="str"/>
      <x:c r="AC65" s="82" t="str"/>
      <x:c r="AD65" s="82" t="str"/>
      <x:c r="AE65" s="82" t="str"/>
      <x:c r="AF65" s="82" t="str"/>
      <x:c r="AG65" s="82" t="str"/>
      <x:c r="AH65" s="82" t="str"/>
      <x:c r="AI65" s="81" t="str"/>
      <x:c r="AJ65" s="81" t="str"/>
      <x:c r="AK65" s="81" t="str">
        <x:f>IF($E65="","",IF(AND($M65="yes",OR($N65="yes",$N65="review"),OR($O65="yes",$O65="review"),$P65="fit",OR($Q65="unique",$Q65="alias_review"),$R65&lt;&gt;"context_only"),"pass","review/block"))</x:f>
      </x:c>
      <x:c r="AL65" s="81" t="str">
        <x:f>IF($E65="","",IF($AK65="pass","eligible",IF(OR($M65="no",$O65="no",$P65="too_macro",$P65="too_micro",$P65="context_only",$Q65="duplicate_confirmed",$R65="context_only"),"not_eligible","review")))</x:f>
      </x:c>
      <x:c r="AM65" s="81" t="str">
        <x:f>IF($E65="","",IF($C65=0,"reentry_required",IF($C65&lt;=8,"non_competitive_inclusion","competitive_selection")))</x:f>
      </x:c>
      <x:c r="AN65" s="82" t="str">
        <x:f>IF($E65="","",AVERAGE($U65:$X65))</x:f>
      </x:c>
      <x:c r="AO65" s="82" t="str">
        <x:f>IF($E65="","",AVERAGE($S65:$T65))</x:f>
      </x:c>
      <x:c r="AP65" s="82" t="str">
        <x:f>IF($E65="","",($AF65*0.08)+($AG65*0.08)+($AH65*0.10))</x:f>
      </x:c>
      <x:c r="AQ65" s="82" t="str">
        <x:f>IF($E65="","",MAX(0,($AN65*0.30)+($Y65*0.20)+($Z65*0.15)+($AA65*0.15)+($AB65*0.10)+($AC65*0.10)+($AE65*0.05)-$AP65))</x:f>
      </x:c>
      <x:c r="AR65" s="81" t="str">
        <x:f>IF($E65="","",IF($AM65="competitive_selection",RANK.EQ($AQ65,$AQ$2:$AQ$201,0),""))</x:f>
      </x:c>
      <x:c r="AS65" s="81" t="str">
        <x:f>IF($E65="","",IF(AND($AM65="non_competitive_inclusion",$AL65="eligible"),"selected",""))</x:f>
      </x:c>
      <x:c r="AT65" s="81" t="str">
        <x:f>IF($E65="","",IF($AM65&lt;&gt;"competitive_selection","",IF(AND($AL65="eligible",$AR65&lt;=8),"selected","context/backlog")))</x:f>
      </x:c>
      <x:c r="AU65" s="81" t="str">
        <x:f>IF($E65="","",IF($AM65="reentry_required","not_selected_reentry",IF($AS65="selected","selected_for_runtime",IF($AT65="selected","selected_for_runtime",IF($AL65="review","manual_review","context_or_not_selected")))))</x:f>
      </x:c>
      <x:c r="AV65" s="81" t="str">
        <x:f>IF($E65="","",IF($AU65="selected_for_runtime",IF($AM65="competitive_selection",$AR65,COUNTIF($AU$2:AU65,"selected_for_runtime")),""))</x:f>
      </x:c>
      <x:c r="AW65" s="81" t="str">
        <x:f>IF($E65="","",IF($AU65="selected_for_runtime",IF($AD65&gt;=2,"base_40_plus_uncertainty_probes",IF($AE65&gt;=2,"base_40_plus_exploratory_probes","base_40_standard")),"no_runtime"))</x:f>
      </x:c>
      <x:c r="AX65" s="81" t="str">
        <x:f>IF($E65="","",IF($AU65&lt;&gt;"selected_for_runtime","none",IF($AE65&gt;=2,"exploratoria",IF($AQ65&gt;=2.2,"alta",IF($AQ65&gt;=1.2,"media","baja")))))</x:f>
      </x:c>
      <x:c r="AY65" s="81" t="str">
        <x:f>IF($E65="","",IF($AJ65=TRUE,"context_with_coverage_gap",IF($AI65="review","context_requires_confirmation","context_ready")))</x:f>
      </x:c>
      <x:c r="AZ65" s="81" t="str">
        <x:f>IF($E65="","",IF($AU65&lt;&gt;"selected_for_runtime","no",IF(OR($AY65="context_with_coverage_gap",$AX65="exploratoria"),"ready_with_flags","ready")))</x:f>
      </x:c>
      <x:c r="BA65" s="81" t="str"/>
      <x:c r="BB65" s="81" t="str"/>
      <x:c r="BC65" s="81" t="str"/>
      <x:c r="BD65" s="81" t="str"/>
      <x:c r="BE65" s="81" t="str"/>
    </x:row>
    <x:row r="66">
      <x:c r="A66" s="81" t="str"/>
      <x:c r="B66" s="81" t="str"/>
      <x:c r="C66" s="81" t="str"/>
      <x:c r="D66" s="81" t="str"/>
      <x:c r="E66" s="81" t="str"/>
      <x:c r="F66" s="81" t="str"/>
      <x:c r="G66" s="81" t="str"/>
      <x:c r="H66" s="81" t="str"/>
      <x:c r="I66" s="81" t="str"/>
      <x:c r="J66" s="81" t="str"/>
      <x:c r="K66" s="81" t="str"/>
      <x:c r="L66" s="81" t="str"/>
      <x:c r="M66" s="81" t="str"/>
      <x:c r="N66" s="81" t="str"/>
      <x:c r="O66" s="81" t="str"/>
      <x:c r="P66" s="81" t="str"/>
      <x:c r="Q66" s="81" t="str"/>
      <x:c r="R66" s="81" t="str"/>
      <x:c r="S66" s="82" t="str"/>
      <x:c r="T66" s="82" t="str"/>
      <x:c r="U66" s="82" t="str"/>
      <x:c r="V66" s="82" t="str"/>
      <x:c r="W66" s="82" t="str"/>
      <x:c r="X66" s="82" t="str"/>
      <x:c r="Y66" s="82" t="str"/>
      <x:c r="Z66" s="82" t="str"/>
      <x:c r="AA66" s="82" t="str"/>
      <x:c r="AB66" s="82" t="str"/>
      <x:c r="AC66" s="82" t="str"/>
      <x:c r="AD66" s="82" t="str"/>
      <x:c r="AE66" s="82" t="str"/>
      <x:c r="AF66" s="82" t="str"/>
      <x:c r="AG66" s="82" t="str"/>
      <x:c r="AH66" s="82" t="str"/>
      <x:c r="AI66" s="81" t="str"/>
      <x:c r="AJ66" s="81" t="str"/>
      <x:c r="AK66" s="81" t="str">
        <x:f>IF($E66="","",IF(AND($M66="yes",OR($N66="yes",$N66="review"),OR($O66="yes",$O66="review"),$P66="fit",OR($Q66="unique",$Q66="alias_review"),$R66&lt;&gt;"context_only"),"pass","review/block"))</x:f>
      </x:c>
      <x:c r="AL66" s="81" t="str">
        <x:f>IF($E66="","",IF($AK66="pass","eligible",IF(OR($M66="no",$O66="no",$P66="too_macro",$P66="too_micro",$P66="context_only",$Q66="duplicate_confirmed",$R66="context_only"),"not_eligible","review")))</x:f>
      </x:c>
      <x:c r="AM66" s="81" t="str">
        <x:f>IF($E66="","",IF($C66=0,"reentry_required",IF($C66&lt;=8,"non_competitive_inclusion","competitive_selection")))</x:f>
      </x:c>
      <x:c r="AN66" s="82" t="str">
        <x:f>IF($E66="","",AVERAGE($U66:$X66))</x:f>
      </x:c>
      <x:c r="AO66" s="82" t="str">
        <x:f>IF($E66="","",AVERAGE($S66:$T66))</x:f>
      </x:c>
      <x:c r="AP66" s="82" t="str">
        <x:f>IF($E66="","",($AF66*0.08)+($AG66*0.08)+($AH66*0.10))</x:f>
      </x:c>
      <x:c r="AQ66" s="82" t="str">
        <x:f>IF($E66="","",MAX(0,($AN66*0.30)+($Y66*0.20)+($Z66*0.15)+($AA66*0.15)+($AB66*0.10)+($AC66*0.10)+($AE66*0.05)-$AP66))</x:f>
      </x:c>
      <x:c r="AR66" s="81" t="str">
        <x:f>IF($E66="","",IF($AM66="competitive_selection",RANK.EQ($AQ66,$AQ$2:$AQ$201,0),""))</x:f>
      </x:c>
      <x:c r="AS66" s="81" t="str">
        <x:f>IF($E66="","",IF(AND($AM66="non_competitive_inclusion",$AL66="eligible"),"selected",""))</x:f>
      </x:c>
      <x:c r="AT66" s="81" t="str">
        <x:f>IF($E66="","",IF($AM66&lt;&gt;"competitive_selection","",IF(AND($AL66="eligible",$AR66&lt;=8),"selected","context/backlog")))</x:f>
      </x:c>
      <x:c r="AU66" s="81" t="str">
        <x:f>IF($E66="","",IF($AM66="reentry_required","not_selected_reentry",IF($AS66="selected","selected_for_runtime",IF($AT66="selected","selected_for_runtime",IF($AL66="review","manual_review","context_or_not_selected")))))</x:f>
      </x:c>
      <x:c r="AV66" s="81" t="str">
        <x:f>IF($E66="","",IF($AU66="selected_for_runtime",IF($AM66="competitive_selection",$AR66,COUNTIF($AU$2:AU66,"selected_for_runtime")),""))</x:f>
      </x:c>
      <x:c r="AW66" s="81" t="str">
        <x:f>IF($E66="","",IF($AU66="selected_for_runtime",IF($AD66&gt;=2,"base_40_plus_uncertainty_probes",IF($AE66&gt;=2,"base_40_plus_exploratory_probes","base_40_standard")),"no_runtime"))</x:f>
      </x:c>
      <x:c r="AX66" s="81" t="str">
        <x:f>IF($E66="","",IF($AU66&lt;&gt;"selected_for_runtime","none",IF($AE66&gt;=2,"exploratoria",IF($AQ66&gt;=2.2,"alta",IF($AQ66&gt;=1.2,"media","baja")))))</x:f>
      </x:c>
      <x:c r="AY66" s="81" t="str">
        <x:f>IF($E66="","",IF($AJ66=TRUE,"context_with_coverage_gap",IF($AI66="review","context_requires_confirmation","context_ready")))</x:f>
      </x:c>
      <x:c r="AZ66" s="81" t="str">
        <x:f>IF($E66="","",IF($AU66&lt;&gt;"selected_for_runtime","no",IF(OR($AY66="context_with_coverage_gap",$AX66="exploratoria"),"ready_with_flags","ready")))</x:f>
      </x:c>
      <x:c r="BA66" s="81" t="str"/>
      <x:c r="BB66" s="81" t="str"/>
      <x:c r="BC66" s="81" t="str"/>
      <x:c r="BD66" s="81" t="str"/>
      <x:c r="BE66" s="81" t="str"/>
    </x:row>
    <x:row r="67">
      <x:c r="A67" s="81" t="str"/>
      <x:c r="B67" s="81" t="str"/>
      <x:c r="C67" s="81" t="str"/>
      <x:c r="D67" s="81" t="str"/>
      <x:c r="E67" s="81" t="str"/>
      <x:c r="F67" s="81" t="str"/>
      <x:c r="G67" s="81" t="str"/>
      <x:c r="H67" s="81" t="str"/>
      <x:c r="I67" s="81" t="str"/>
      <x:c r="J67" s="81" t="str"/>
      <x:c r="K67" s="81" t="str"/>
      <x:c r="L67" s="81" t="str"/>
      <x:c r="M67" s="81" t="str"/>
      <x:c r="N67" s="81" t="str"/>
      <x:c r="O67" s="81" t="str"/>
      <x:c r="P67" s="81" t="str"/>
      <x:c r="Q67" s="81" t="str"/>
      <x:c r="R67" s="81" t="str"/>
      <x:c r="S67" s="82" t="str"/>
      <x:c r="T67" s="82" t="str"/>
      <x:c r="U67" s="82" t="str"/>
      <x:c r="V67" s="82" t="str"/>
      <x:c r="W67" s="82" t="str"/>
      <x:c r="X67" s="82" t="str"/>
      <x:c r="Y67" s="82" t="str"/>
      <x:c r="Z67" s="82" t="str"/>
      <x:c r="AA67" s="82" t="str"/>
      <x:c r="AB67" s="82" t="str"/>
      <x:c r="AC67" s="82" t="str"/>
      <x:c r="AD67" s="82" t="str"/>
      <x:c r="AE67" s="82" t="str"/>
      <x:c r="AF67" s="82" t="str"/>
      <x:c r="AG67" s="82" t="str"/>
      <x:c r="AH67" s="82" t="str"/>
      <x:c r="AI67" s="81" t="str"/>
      <x:c r="AJ67" s="81" t="str"/>
      <x:c r="AK67" s="81" t="str">
        <x:f>IF($E67="","",IF(AND($M67="yes",OR($N67="yes",$N67="review"),OR($O67="yes",$O67="review"),$P67="fit",OR($Q67="unique",$Q67="alias_review"),$R67&lt;&gt;"context_only"),"pass","review/block"))</x:f>
      </x:c>
      <x:c r="AL67" s="81" t="str">
        <x:f>IF($E67="","",IF($AK67="pass","eligible",IF(OR($M67="no",$O67="no",$P67="too_macro",$P67="too_micro",$P67="context_only",$Q67="duplicate_confirmed",$R67="context_only"),"not_eligible","review")))</x:f>
      </x:c>
      <x:c r="AM67" s="81" t="str">
        <x:f>IF($E67="","",IF($C67=0,"reentry_required",IF($C67&lt;=8,"non_competitive_inclusion","competitive_selection")))</x:f>
      </x:c>
      <x:c r="AN67" s="82" t="str">
        <x:f>IF($E67="","",AVERAGE($U67:$X67))</x:f>
      </x:c>
      <x:c r="AO67" s="82" t="str">
        <x:f>IF($E67="","",AVERAGE($S67:$T67))</x:f>
      </x:c>
      <x:c r="AP67" s="82" t="str">
        <x:f>IF($E67="","",($AF67*0.08)+($AG67*0.08)+($AH67*0.10))</x:f>
      </x:c>
      <x:c r="AQ67" s="82" t="str">
        <x:f>IF($E67="","",MAX(0,($AN67*0.30)+($Y67*0.20)+($Z67*0.15)+($AA67*0.15)+($AB67*0.10)+($AC67*0.10)+($AE67*0.05)-$AP67))</x:f>
      </x:c>
      <x:c r="AR67" s="81" t="str">
        <x:f>IF($E67="","",IF($AM67="competitive_selection",RANK.EQ($AQ67,$AQ$2:$AQ$201,0),""))</x:f>
      </x:c>
      <x:c r="AS67" s="81" t="str">
        <x:f>IF($E67="","",IF(AND($AM67="non_competitive_inclusion",$AL67="eligible"),"selected",""))</x:f>
      </x:c>
      <x:c r="AT67" s="81" t="str">
        <x:f>IF($E67="","",IF($AM67&lt;&gt;"competitive_selection","",IF(AND($AL67="eligible",$AR67&lt;=8),"selected","context/backlog")))</x:f>
      </x:c>
      <x:c r="AU67" s="81" t="str">
        <x:f>IF($E67="","",IF($AM67="reentry_required","not_selected_reentry",IF($AS67="selected","selected_for_runtime",IF($AT67="selected","selected_for_runtime",IF($AL67="review","manual_review","context_or_not_selected")))))</x:f>
      </x:c>
      <x:c r="AV67" s="81" t="str">
        <x:f>IF($E67="","",IF($AU67="selected_for_runtime",IF($AM67="competitive_selection",$AR67,COUNTIF($AU$2:AU67,"selected_for_runtime")),""))</x:f>
      </x:c>
      <x:c r="AW67" s="81" t="str">
        <x:f>IF($E67="","",IF($AU67="selected_for_runtime",IF($AD67&gt;=2,"base_40_plus_uncertainty_probes",IF($AE67&gt;=2,"base_40_plus_exploratory_probes","base_40_standard")),"no_runtime"))</x:f>
      </x:c>
      <x:c r="AX67" s="81" t="str">
        <x:f>IF($E67="","",IF($AU67&lt;&gt;"selected_for_runtime","none",IF($AE67&gt;=2,"exploratoria",IF($AQ67&gt;=2.2,"alta",IF($AQ67&gt;=1.2,"media","baja")))))</x:f>
      </x:c>
      <x:c r="AY67" s="81" t="str">
        <x:f>IF($E67="","",IF($AJ67=TRUE,"context_with_coverage_gap",IF($AI67="review","context_requires_confirmation","context_ready")))</x:f>
      </x:c>
      <x:c r="AZ67" s="81" t="str">
        <x:f>IF($E67="","",IF($AU67&lt;&gt;"selected_for_runtime","no",IF(OR($AY67="context_with_coverage_gap",$AX67="exploratoria"),"ready_with_flags","ready")))</x:f>
      </x:c>
      <x:c r="BA67" s="81" t="str"/>
      <x:c r="BB67" s="81" t="str"/>
      <x:c r="BC67" s="81" t="str"/>
      <x:c r="BD67" s="81" t="str"/>
      <x:c r="BE67" s="81" t="str"/>
    </x:row>
    <x:row r="68">
      <x:c r="A68" s="81" t="str"/>
      <x:c r="B68" s="81" t="str"/>
      <x:c r="C68" s="81" t="str"/>
      <x:c r="D68" s="81" t="str"/>
      <x:c r="E68" s="81" t="str"/>
      <x:c r="F68" s="81" t="str"/>
      <x:c r="G68" s="81" t="str"/>
      <x:c r="H68" s="81" t="str"/>
      <x:c r="I68" s="81" t="str"/>
      <x:c r="J68" s="81" t="str"/>
      <x:c r="K68" s="81" t="str"/>
      <x:c r="L68" s="81" t="str"/>
      <x:c r="M68" s="81" t="str"/>
      <x:c r="N68" s="81" t="str"/>
      <x:c r="O68" s="81" t="str"/>
      <x:c r="P68" s="81" t="str"/>
      <x:c r="Q68" s="81" t="str"/>
      <x:c r="R68" s="81" t="str"/>
      <x:c r="S68" s="82" t="str"/>
      <x:c r="T68" s="82" t="str"/>
      <x:c r="U68" s="82" t="str"/>
      <x:c r="V68" s="82" t="str"/>
      <x:c r="W68" s="82" t="str"/>
      <x:c r="X68" s="82" t="str"/>
      <x:c r="Y68" s="82" t="str"/>
      <x:c r="Z68" s="82" t="str"/>
      <x:c r="AA68" s="82" t="str"/>
      <x:c r="AB68" s="82" t="str"/>
      <x:c r="AC68" s="82" t="str"/>
      <x:c r="AD68" s="82" t="str"/>
      <x:c r="AE68" s="82" t="str"/>
      <x:c r="AF68" s="82" t="str"/>
      <x:c r="AG68" s="82" t="str"/>
      <x:c r="AH68" s="82" t="str"/>
      <x:c r="AI68" s="81" t="str"/>
      <x:c r="AJ68" s="81" t="str"/>
      <x:c r="AK68" s="81" t="str">
        <x:f>IF($E68="","",IF(AND($M68="yes",OR($N68="yes",$N68="review"),OR($O68="yes",$O68="review"),$P68="fit",OR($Q68="unique",$Q68="alias_review"),$R68&lt;&gt;"context_only"),"pass","review/block"))</x:f>
      </x:c>
      <x:c r="AL68" s="81" t="str">
        <x:f>IF($E68="","",IF($AK68="pass","eligible",IF(OR($M68="no",$O68="no",$P68="too_macro",$P68="too_micro",$P68="context_only",$Q68="duplicate_confirmed",$R68="context_only"),"not_eligible","review")))</x:f>
      </x:c>
      <x:c r="AM68" s="81" t="str">
        <x:f>IF($E68="","",IF($C68=0,"reentry_required",IF($C68&lt;=8,"non_competitive_inclusion","competitive_selection")))</x:f>
      </x:c>
      <x:c r="AN68" s="82" t="str">
        <x:f>IF($E68="","",AVERAGE($U68:$X68))</x:f>
      </x:c>
      <x:c r="AO68" s="82" t="str">
        <x:f>IF($E68="","",AVERAGE($S68:$T68))</x:f>
      </x:c>
      <x:c r="AP68" s="82" t="str">
        <x:f>IF($E68="","",($AF68*0.08)+($AG68*0.08)+($AH68*0.10))</x:f>
      </x:c>
      <x:c r="AQ68" s="82" t="str">
        <x:f>IF($E68="","",MAX(0,($AN68*0.30)+($Y68*0.20)+($Z68*0.15)+($AA68*0.15)+($AB68*0.10)+($AC68*0.10)+($AE68*0.05)-$AP68))</x:f>
      </x:c>
      <x:c r="AR68" s="81" t="str">
        <x:f>IF($E68="","",IF($AM68="competitive_selection",RANK.EQ($AQ68,$AQ$2:$AQ$201,0),""))</x:f>
      </x:c>
      <x:c r="AS68" s="81" t="str">
        <x:f>IF($E68="","",IF(AND($AM68="non_competitive_inclusion",$AL68="eligible"),"selected",""))</x:f>
      </x:c>
      <x:c r="AT68" s="81" t="str">
        <x:f>IF($E68="","",IF($AM68&lt;&gt;"competitive_selection","",IF(AND($AL68="eligible",$AR68&lt;=8),"selected","context/backlog")))</x:f>
      </x:c>
      <x:c r="AU68" s="81" t="str">
        <x:f>IF($E68="","",IF($AM68="reentry_required","not_selected_reentry",IF($AS68="selected","selected_for_runtime",IF($AT68="selected","selected_for_runtime",IF($AL68="review","manual_review","context_or_not_selected")))))</x:f>
      </x:c>
      <x:c r="AV68" s="81" t="str">
        <x:f>IF($E68="","",IF($AU68="selected_for_runtime",IF($AM68="competitive_selection",$AR68,COUNTIF($AU$2:AU68,"selected_for_runtime")),""))</x:f>
      </x:c>
      <x:c r="AW68" s="81" t="str">
        <x:f>IF($E68="","",IF($AU68="selected_for_runtime",IF($AD68&gt;=2,"base_40_plus_uncertainty_probes",IF($AE68&gt;=2,"base_40_plus_exploratory_probes","base_40_standard")),"no_runtime"))</x:f>
      </x:c>
      <x:c r="AX68" s="81" t="str">
        <x:f>IF($E68="","",IF($AU68&lt;&gt;"selected_for_runtime","none",IF($AE68&gt;=2,"exploratoria",IF($AQ68&gt;=2.2,"alta",IF($AQ68&gt;=1.2,"media","baja")))))</x:f>
      </x:c>
      <x:c r="AY68" s="81" t="str">
        <x:f>IF($E68="","",IF($AJ68=TRUE,"context_with_coverage_gap",IF($AI68="review","context_requires_confirmation","context_ready")))</x:f>
      </x:c>
      <x:c r="AZ68" s="81" t="str">
        <x:f>IF($E68="","",IF($AU68&lt;&gt;"selected_for_runtime","no",IF(OR($AY68="context_with_coverage_gap",$AX68="exploratoria"),"ready_with_flags","ready")))</x:f>
      </x:c>
      <x:c r="BA68" s="81" t="str"/>
      <x:c r="BB68" s="81" t="str"/>
      <x:c r="BC68" s="81" t="str"/>
      <x:c r="BD68" s="81" t="str"/>
      <x:c r="BE68" s="81" t="str"/>
    </x:row>
    <x:row r="69">
      <x:c r="A69" s="81" t="str"/>
      <x:c r="B69" s="81" t="str"/>
      <x:c r="C69" s="81" t="str"/>
      <x:c r="D69" s="81" t="str"/>
      <x:c r="E69" s="81" t="str"/>
      <x:c r="F69" s="81" t="str"/>
      <x:c r="G69" s="81" t="str"/>
      <x:c r="H69" s="81" t="str"/>
      <x:c r="I69" s="81" t="str"/>
      <x:c r="J69" s="81" t="str"/>
      <x:c r="K69" s="81" t="str"/>
      <x:c r="L69" s="81" t="str"/>
      <x:c r="M69" s="81" t="str"/>
      <x:c r="N69" s="81" t="str"/>
      <x:c r="O69" s="81" t="str"/>
      <x:c r="P69" s="81" t="str"/>
      <x:c r="Q69" s="81" t="str"/>
      <x:c r="R69" s="81" t="str"/>
      <x:c r="S69" s="82" t="str"/>
      <x:c r="T69" s="82" t="str"/>
      <x:c r="U69" s="82" t="str"/>
      <x:c r="V69" s="82" t="str"/>
      <x:c r="W69" s="82" t="str"/>
      <x:c r="X69" s="82" t="str"/>
      <x:c r="Y69" s="82" t="str"/>
      <x:c r="Z69" s="82" t="str"/>
      <x:c r="AA69" s="82" t="str"/>
      <x:c r="AB69" s="82" t="str"/>
      <x:c r="AC69" s="82" t="str"/>
      <x:c r="AD69" s="82" t="str"/>
      <x:c r="AE69" s="82" t="str"/>
      <x:c r="AF69" s="82" t="str"/>
      <x:c r="AG69" s="82" t="str"/>
      <x:c r="AH69" s="82" t="str"/>
      <x:c r="AI69" s="81" t="str"/>
      <x:c r="AJ69" s="81" t="str"/>
      <x:c r="AK69" s="81" t="str">
        <x:f>IF($E69="","",IF(AND($M69="yes",OR($N69="yes",$N69="review"),OR($O69="yes",$O69="review"),$P69="fit",OR($Q69="unique",$Q69="alias_review"),$R69&lt;&gt;"context_only"),"pass","review/block"))</x:f>
      </x:c>
      <x:c r="AL69" s="81" t="str">
        <x:f>IF($E69="","",IF($AK69="pass","eligible",IF(OR($M69="no",$O69="no",$P69="too_macro",$P69="too_micro",$P69="context_only",$Q69="duplicate_confirmed",$R69="context_only"),"not_eligible","review")))</x:f>
      </x:c>
      <x:c r="AM69" s="81" t="str">
        <x:f>IF($E69="","",IF($C69=0,"reentry_required",IF($C69&lt;=8,"non_competitive_inclusion","competitive_selection")))</x:f>
      </x:c>
      <x:c r="AN69" s="82" t="str">
        <x:f>IF($E69="","",AVERAGE($U69:$X69))</x:f>
      </x:c>
      <x:c r="AO69" s="82" t="str">
        <x:f>IF($E69="","",AVERAGE($S69:$T69))</x:f>
      </x:c>
      <x:c r="AP69" s="82" t="str">
        <x:f>IF($E69="","",($AF69*0.08)+($AG69*0.08)+($AH69*0.10))</x:f>
      </x:c>
      <x:c r="AQ69" s="82" t="str">
        <x:f>IF($E69="","",MAX(0,($AN69*0.30)+($Y69*0.20)+($Z69*0.15)+($AA69*0.15)+($AB69*0.10)+($AC69*0.10)+($AE69*0.05)-$AP69))</x:f>
      </x:c>
      <x:c r="AR69" s="81" t="str">
        <x:f>IF($E69="","",IF($AM69="competitive_selection",RANK.EQ($AQ69,$AQ$2:$AQ$201,0),""))</x:f>
      </x:c>
      <x:c r="AS69" s="81" t="str">
        <x:f>IF($E69="","",IF(AND($AM69="non_competitive_inclusion",$AL69="eligible"),"selected",""))</x:f>
      </x:c>
      <x:c r="AT69" s="81" t="str">
        <x:f>IF($E69="","",IF($AM69&lt;&gt;"competitive_selection","",IF(AND($AL69="eligible",$AR69&lt;=8),"selected","context/backlog")))</x:f>
      </x:c>
      <x:c r="AU69" s="81" t="str">
        <x:f>IF($E69="","",IF($AM69="reentry_required","not_selected_reentry",IF($AS69="selected","selected_for_runtime",IF($AT69="selected","selected_for_runtime",IF($AL69="review","manual_review","context_or_not_selected")))))</x:f>
      </x:c>
      <x:c r="AV69" s="81" t="str">
        <x:f>IF($E69="","",IF($AU69="selected_for_runtime",IF($AM69="competitive_selection",$AR69,COUNTIF($AU$2:AU69,"selected_for_runtime")),""))</x:f>
      </x:c>
      <x:c r="AW69" s="81" t="str">
        <x:f>IF($E69="","",IF($AU69="selected_for_runtime",IF($AD69&gt;=2,"base_40_plus_uncertainty_probes",IF($AE69&gt;=2,"base_40_plus_exploratory_probes","base_40_standard")),"no_runtime"))</x:f>
      </x:c>
      <x:c r="AX69" s="81" t="str">
        <x:f>IF($E69="","",IF($AU69&lt;&gt;"selected_for_runtime","none",IF($AE69&gt;=2,"exploratoria",IF($AQ69&gt;=2.2,"alta",IF($AQ69&gt;=1.2,"media","baja")))))</x:f>
      </x:c>
      <x:c r="AY69" s="81" t="str">
        <x:f>IF($E69="","",IF($AJ69=TRUE,"context_with_coverage_gap",IF($AI69="review","context_requires_confirmation","context_ready")))</x:f>
      </x:c>
      <x:c r="AZ69" s="81" t="str">
        <x:f>IF($E69="","",IF($AU69&lt;&gt;"selected_for_runtime","no",IF(OR($AY69="context_with_coverage_gap",$AX69="exploratoria"),"ready_with_flags","ready")))</x:f>
      </x:c>
      <x:c r="BA69" s="81" t="str"/>
      <x:c r="BB69" s="81" t="str"/>
      <x:c r="BC69" s="81" t="str"/>
      <x:c r="BD69" s="81" t="str"/>
      <x:c r="BE69" s="81" t="str"/>
    </x:row>
    <x:row r="70">
      <x:c r="A70" s="81" t="str"/>
      <x:c r="B70" s="81" t="str"/>
      <x:c r="C70" s="81" t="str"/>
      <x:c r="D70" s="81" t="str"/>
      <x:c r="E70" s="81" t="str"/>
      <x:c r="F70" s="81" t="str"/>
      <x:c r="G70" s="81" t="str"/>
      <x:c r="H70" s="81" t="str"/>
      <x:c r="I70" s="81" t="str"/>
      <x:c r="J70" s="81" t="str"/>
      <x:c r="K70" s="81" t="str"/>
      <x:c r="L70" s="81" t="str"/>
      <x:c r="M70" s="81" t="str"/>
      <x:c r="N70" s="81" t="str"/>
      <x:c r="O70" s="81" t="str"/>
      <x:c r="P70" s="81" t="str"/>
      <x:c r="Q70" s="81" t="str"/>
      <x:c r="R70" s="81" t="str"/>
      <x:c r="S70" s="82" t="str"/>
      <x:c r="T70" s="82" t="str"/>
      <x:c r="U70" s="82" t="str"/>
      <x:c r="V70" s="82" t="str"/>
      <x:c r="W70" s="82" t="str"/>
      <x:c r="X70" s="82" t="str"/>
      <x:c r="Y70" s="82" t="str"/>
      <x:c r="Z70" s="82" t="str"/>
      <x:c r="AA70" s="82" t="str"/>
      <x:c r="AB70" s="82" t="str"/>
      <x:c r="AC70" s="82" t="str"/>
      <x:c r="AD70" s="82" t="str"/>
      <x:c r="AE70" s="82" t="str"/>
      <x:c r="AF70" s="82" t="str"/>
      <x:c r="AG70" s="82" t="str"/>
      <x:c r="AH70" s="82" t="str"/>
      <x:c r="AI70" s="81" t="str"/>
      <x:c r="AJ70" s="81" t="str"/>
      <x:c r="AK70" s="81" t="str">
        <x:f>IF($E70="","",IF(AND($M70="yes",OR($N70="yes",$N70="review"),OR($O70="yes",$O70="review"),$P70="fit",OR($Q70="unique",$Q70="alias_review"),$R70&lt;&gt;"context_only"),"pass","review/block"))</x:f>
      </x:c>
      <x:c r="AL70" s="81" t="str">
        <x:f>IF($E70="","",IF($AK70="pass","eligible",IF(OR($M70="no",$O70="no",$P70="too_macro",$P70="too_micro",$P70="context_only",$Q70="duplicate_confirmed",$R70="context_only"),"not_eligible","review")))</x:f>
      </x:c>
      <x:c r="AM70" s="81" t="str">
        <x:f>IF($E70="","",IF($C70=0,"reentry_required",IF($C70&lt;=8,"non_competitive_inclusion","competitive_selection")))</x:f>
      </x:c>
      <x:c r="AN70" s="82" t="str">
        <x:f>IF($E70="","",AVERAGE($U70:$X70))</x:f>
      </x:c>
      <x:c r="AO70" s="82" t="str">
        <x:f>IF($E70="","",AVERAGE($S70:$T70))</x:f>
      </x:c>
      <x:c r="AP70" s="82" t="str">
        <x:f>IF($E70="","",($AF70*0.08)+($AG70*0.08)+($AH70*0.10))</x:f>
      </x:c>
      <x:c r="AQ70" s="82" t="str">
        <x:f>IF($E70="","",MAX(0,($AN70*0.30)+($Y70*0.20)+($Z70*0.15)+($AA70*0.15)+($AB70*0.10)+($AC70*0.10)+($AE70*0.05)-$AP70))</x:f>
      </x:c>
      <x:c r="AR70" s="81" t="str">
        <x:f>IF($E70="","",IF($AM70="competitive_selection",RANK.EQ($AQ70,$AQ$2:$AQ$201,0),""))</x:f>
      </x:c>
      <x:c r="AS70" s="81" t="str">
        <x:f>IF($E70="","",IF(AND($AM70="non_competitive_inclusion",$AL70="eligible"),"selected",""))</x:f>
      </x:c>
      <x:c r="AT70" s="81" t="str">
        <x:f>IF($E70="","",IF($AM70&lt;&gt;"competitive_selection","",IF(AND($AL70="eligible",$AR70&lt;=8),"selected","context/backlog")))</x:f>
      </x:c>
      <x:c r="AU70" s="81" t="str">
        <x:f>IF($E70="","",IF($AM70="reentry_required","not_selected_reentry",IF($AS70="selected","selected_for_runtime",IF($AT70="selected","selected_for_runtime",IF($AL70="review","manual_review","context_or_not_selected")))))</x:f>
      </x:c>
      <x:c r="AV70" s="81" t="str">
        <x:f>IF($E70="","",IF($AU70="selected_for_runtime",IF($AM70="competitive_selection",$AR70,COUNTIF($AU$2:AU70,"selected_for_runtime")),""))</x:f>
      </x:c>
      <x:c r="AW70" s="81" t="str">
        <x:f>IF($E70="","",IF($AU70="selected_for_runtime",IF($AD70&gt;=2,"base_40_plus_uncertainty_probes",IF($AE70&gt;=2,"base_40_plus_exploratory_probes","base_40_standard")),"no_runtime"))</x:f>
      </x:c>
      <x:c r="AX70" s="81" t="str">
        <x:f>IF($E70="","",IF($AU70&lt;&gt;"selected_for_runtime","none",IF($AE70&gt;=2,"exploratoria",IF($AQ70&gt;=2.2,"alta",IF($AQ70&gt;=1.2,"media","baja")))))</x:f>
      </x:c>
      <x:c r="AY70" s="81" t="str">
        <x:f>IF($E70="","",IF($AJ70=TRUE,"context_with_coverage_gap",IF($AI70="review","context_requires_confirmation","context_ready")))</x:f>
      </x:c>
      <x:c r="AZ70" s="81" t="str">
        <x:f>IF($E70="","",IF($AU70&lt;&gt;"selected_for_runtime","no",IF(OR($AY70="context_with_coverage_gap",$AX70="exploratoria"),"ready_with_flags","ready")))</x:f>
      </x:c>
      <x:c r="BA70" s="81" t="str"/>
      <x:c r="BB70" s="81" t="str"/>
      <x:c r="BC70" s="81" t="str"/>
      <x:c r="BD70" s="81" t="str"/>
      <x:c r="BE70" s="81" t="str"/>
    </x:row>
    <x:row r="71">
      <x:c r="A71" s="81" t="str"/>
      <x:c r="B71" s="81" t="str"/>
      <x:c r="C71" s="81" t="str"/>
      <x:c r="D71" s="81" t="str"/>
      <x:c r="E71" s="81" t="str"/>
      <x:c r="F71" s="81" t="str"/>
      <x:c r="G71" s="81" t="str"/>
      <x:c r="H71" s="81" t="str"/>
      <x:c r="I71" s="81" t="str"/>
      <x:c r="J71" s="81" t="str"/>
      <x:c r="K71" s="81" t="str"/>
      <x:c r="L71" s="81" t="str"/>
      <x:c r="M71" s="81" t="str"/>
      <x:c r="N71" s="81" t="str"/>
      <x:c r="O71" s="81" t="str"/>
      <x:c r="P71" s="81" t="str"/>
      <x:c r="Q71" s="81" t="str"/>
      <x:c r="R71" s="81" t="str"/>
      <x:c r="S71" s="82" t="str"/>
      <x:c r="T71" s="82" t="str"/>
      <x:c r="U71" s="82" t="str"/>
      <x:c r="V71" s="82" t="str"/>
      <x:c r="W71" s="82" t="str"/>
      <x:c r="X71" s="82" t="str"/>
      <x:c r="Y71" s="82" t="str"/>
      <x:c r="Z71" s="82" t="str"/>
      <x:c r="AA71" s="82" t="str"/>
      <x:c r="AB71" s="82" t="str"/>
      <x:c r="AC71" s="82" t="str"/>
      <x:c r="AD71" s="82" t="str"/>
      <x:c r="AE71" s="82" t="str"/>
      <x:c r="AF71" s="82" t="str"/>
      <x:c r="AG71" s="82" t="str"/>
      <x:c r="AH71" s="82" t="str"/>
      <x:c r="AI71" s="81" t="str"/>
      <x:c r="AJ71" s="81" t="str"/>
      <x:c r="AK71" s="81" t="str">
        <x:f>IF($E71="","",IF(AND($M71="yes",OR($N71="yes",$N71="review"),OR($O71="yes",$O71="review"),$P71="fit",OR($Q71="unique",$Q71="alias_review"),$R71&lt;&gt;"context_only"),"pass","review/block"))</x:f>
      </x:c>
      <x:c r="AL71" s="81" t="str">
        <x:f>IF($E71="","",IF($AK71="pass","eligible",IF(OR($M71="no",$O71="no",$P71="too_macro",$P71="too_micro",$P71="context_only",$Q71="duplicate_confirmed",$R71="context_only"),"not_eligible","review")))</x:f>
      </x:c>
      <x:c r="AM71" s="81" t="str">
        <x:f>IF($E71="","",IF($C71=0,"reentry_required",IF($C71&lt;=8,"non_competitive_inclusion","competitive_selection")))</x:f>
      </x:c>
      <x:c r="AN71" s="82" t="str">
        <x:f>IF($E71="","",AVERAGE($U71:$X71))</x:f>
      </x:c>
      <x:c r="AO71" s="82" t="str">
        <x:f>IF($E71="","",AVERAGE($S71:$T71))</x:f>
      </x:c>
      <x:c r="AP71" s="82" t="str">
        <x:f>IF($E71="","",($AF71*0.08)+($AG71*0.08)+($AH71*0.10))</x:f>
      </x:c>
      <x:c r="AQ71" s="82" t="str">
        <x:f>IF($E71="","",MAX(0,($AN71*0.30)+($Y71*0.20)+($Z71*0.15)+($AA71*0.15)+($AB71*0.10)+($AC71*0.10)+($AE71*0.05)-$AP71))</x:f>
      </x:c>
      <x:c r="AR71" s="81" t="str">
        <x:f>IF($E71="","",IF($AM71="competitive_selection",RANK.EQ($AQ71,$AQ$2:$AQ$201,0),""))</x:f>
      </x:c>
      <x:c r="AS71" s="81" t="str">
        <x:f>IF($E71="","",IF(AND($AM71="non_competitive_inclusion",$AL71="eligible"),"selected",""))</x:f>
      </x:c>
      <x:c r="AT71" s="81" t="str">
        <x:f>IF($E71="","",IF($AM71&lt;&gt;"competitive_selection","",IF(AND($AL71="eligible",$AR71&lt;=8),"selected","context/backlog")))</x:f>
      </x:c>
      <x:c r="AU71" s="81" t="str">
        <x:f>IF($E71="","",IF($AM71="reentry_required","not_selected_reentry",IF($AS71="selected","selected_for_runtime",IF($AT71="selected","selected_for_runtime",IF($AL71="review","manual_review","context_or_not_selected")))))</x:f>
      </x:c>
      <x:c r="AV71" s="81" t="str">
        <x:f>IF($E71="","",IF($AU71="selected_for_runtime",IF($AM71="competitive_selection",$AR71,COUNTIF($AU$2:AU71,"selected_for_runtime")),""))</x:f>
      </x:c>
      <x:c r="AW71" s="81" t="str">
        <x:f>IF($E71="","",IF($AU71="selected_for_runtime",IF($AD71&gt;=2,"base_40_plus_uncertainty_probes",IF($AE71&gt;=2,"base_40_plus_exploratory_probes","base_40_standard")),"no_runtime"))</x:f>
      </x:c>
      <x:c r="AX71" s="81" t="str">
        <x:f>IF($E71="","",IF($AU71&lt;&gt;"selected_for_runtime","none",IF($AE71&gt;=2,"exploratoria",IF($AQ71&gt;=2.2,"alta",IF($AQ71&gt;=1.2,"media","baja")))))</x:f>
      </x:c>
      <x:c r="AY71" s="81" t="str">
        <x:f>IF($E71="","",IF($AJ71=TRUE,"context_with_coverage_gap",IF($AI71="review","context_requires_confirmation","context_ready")))</x:f>
      </x:c>
      <x:c r="AZ71" s="81" t="str">
        <x:f>IF($E71="","",IF($AU71&lt;&gt;"selected_for_runtime","no",IF(OR($AY71="context_with_coverage_gap",$AX71="exploratoria"),"ready_with_flags","ready")))</x:f>
      </x:c>
      <x:c r="BA71" s="81" t="str"/>
      <x:c r="BB71" s="81" t="str"/>
      <x:c r="BC71" s="81" t="str"/>
      <x:c r="BD71" s="81" t="str"/>
      <x:c r="BE71" s="81" t="str"/>
    </x:row>
    <x:row r="72">
      <x:c r="A72" s="81" t="str"/>
      <x:c r="B72" s="81" t="str"/>
      <x:c r="C72" s="81" t="str"/>
      <x:c r="D72" s="81" t="str"/>
      <x:c r="E72" s="81" t="str"/>
      <x:c r="F72" s="81" t="str"/>
      <x:c r="G72" s="81" t="str"/>
      <x:c r="H72" s="81" t="str"/>
      <x:c r="I72" s="81" t="str"/>
      <x:c r="J72" s="81" t="str"/>
      <x:c r="K72" s="81" t="str"/>
      <x:c r="L72" s="81" t="str"/>
      <x:c r="M72" s="81" t="str"/>
      <x:c r="N72" s="81" t="str"/>
      <x:c r="O72" s="81" t="str"/>
      <x:c r="P72" s="81" t="str"/>
      <x:c r="Q72" s="81" t="str"/>
      <x:c r="R72" s="81" t="str"/>
      <x:c r="S72" s="82" t="str"/>
      <x:c r="T72" s="82" t="str"/>
      <x:c r="U72" s="82" t="str"/>
      <x:c r="V72" s="82" t="str"/>
      <x:c r="W72" s="82" t="str"/>
      <x:c r="X72" s="82" t="str"/>
      <x:c r="Y72" s="82" t="str"/>
      <x:c r="Z72" s="82" t="str"/>
      <x:c r="AA72" s="82" t="str"/>
      <x:c r="AB72" s="82" t="str"/>
      <x:c r="AC72" s="82" t="str"/>
      <x:c r="AD72" s="82" t="str"/>
      <x:c r="AE72" s="82" t="str"/>
      <x:c r="AF72" s="82" t="str"/>
      <x:c r="AG72" s="82" t="str"/>
      <x:c r="AH72" s="82" t="str"/>
      <x:c r="AI72" s="81" t="str"/>
      <x:c r="AJ72" s="81" t="str"/>
      <x:c r="AK72" s="81" t="str">
        <x:f>IF($E72="","",IF(AND($M72="yes",OR($N72="yes",$N72="review"),OR($O72="yes",$O72="review"),$P72="fit",OR($Q72="unique",$Q72="alias_review"),$R72&lt;&gt;"context_only"),"pass","review/block"))</x:f>
      </x:c>
      <x:c r="AL72" s="81" t="str">
        <x:f>IF($E72="","",IF($AK72="pass","eligible",IF(OR($M72="no",$O72="no",$P72="too_macro",$P72="too_micro",$P72="context_only",$Q72="duplicate_confirmed",$R72="context_only"),"not_eligible","review")))</x:f>
      </x:c>
      <x:c r="AM72" s="81" t="str">
        <x:f>IF($E72="","",IF($C72=0,"reentry_required",IF($C72&lt;=8,"non_competitive_inclusion","competitive_selection")))</x:f>
      </x:c>
      <x:c r="AN72" s="82" t="str">
        <x:f>IF($E72="","",AVERAGE($U72:$X72))</x:f>
      </x:c>
      <x:c r="AO72" s="82" t="str">
        <x:f>IF($E72="","",AVERAGE($S72:$T72))</x:f>
      </x:c>
      <x:c r="AP72" s="82" t="str">
        <x:f>IF($E72="","",($AF72*0.08)+($AG72*0.08)+($AH72*0.10))</x:f>
      </x:c>
      <x:c r="AQ72" s="82" t="str">
        <x:f>IF($E72="","",MAX(0,($AN72*0.30)+($Y72*0.20)+($Z72*0.15)+($AA72*0.15)+($AB72*0.10)+($AC72*0.10)+($AE72*0.05)-$AP72))</x:f>
      </x:c>
      <x:c r="AR72" s="81" t="str">
        <x:f>IF($E72="","",IF($AM72="competitive_selection",RANK.EQ($AQ72,$AQ$2:$AQ$201,0),""))</x:f>
      </x:c>
      <x:c r="AS72" s="81" t="str">
        <x:f>IF($E72="","",IF(AND($AM72="non_competitive_inclusion",$AL72="eligible"),"selected",""))</x:f>
      </x:c>
      <x:c r="AT72" s="81" t="str">
        <x:f>IF($E72="","",IF($AM72&lt;&gt;"competitive_selection","",IF(AND($AL72="eligible",$AR72&lt;=8),"selected","context/backlog")))</x:f>
      </x:c>
      <x:c r="AU72" s="81" t="str">
        <x:f>IF($E72="","",IF($AM72="reentry_required","not_selected_reentry",IF($AS72="selected","selected_for_runtime",IF($AT72="selected","selected_for_runtime",IF($AL72="review","manual_review","context_or_not_selected")))))</x:f>
      </x:c>
      <x:c r="AV72" s="81" t="str">
        <x:f>IF($E72="","",IF($AU72="selected_for_runtime",IF($AM72="competitive_selection",$AR72,COUNTIF($AU$2:AU72,"selected_for_runtime")),""))</x:f>
      </x:c>
      <x:c r="AW72" s="81" t="str">
        <x:f>IF($E72="","",IF($AU72="selected_for_runtime",IF($AD72&gt;=2,"base_40_plus_uncertainty_probes",IF($AE72&gt;=2,"base_40_plus_exploratory_probes","base_40_standard")),"no_runtime"))</x:f>
      </x:c>
      <x:c r="AX72" s="81" t="str">
        <x:f>IF($E72="","",IF($AU72&lt;&gt;"selected_for_runtime","none",IF($AE72&gt;=2,"exploratoria",IF($AQ72&gt;=2.2,"alta",IF($AQ72&gt;=1.2,"media","baja")))))</x:f>
      </x:c>
      <x:c r="AY72" s="81" t="str">
        <x:f>IF($E72="","",IF($AJ72=TRUE,"context_with_coverage_gap",IF($AI72="review","context_requires_confirmation","context_ready")))</x:f>
      </x:c>
      <x:c r="AZ72" s="81" t="str">
        <x:f>IF($E72="","",IF($AU72&lt;&gt;"selected_for_runtime","no",IF(OR($AY72="context_with_coverage_gap",$AX72="exploratoria"),"ready_with_flags","ready")))</x:f>
      </x:c>
      <x:c r="BA72" s="81" t="str"/>
      <x:c r="BB72" s="81" t="str"/>
      <x:c r="BC72" s="81" t="str"/>
      <x:c r="BD72" s="81" t="str"/>
      <x:c r="BE72" s="81" t="str"/>
    </x:row>
    <x:row r="73">
      <x:c r="A73" s="81" t="str"/>
      <x:c r="B73" s="81" t="str"/>
      <x:c r="C73" s="81" t="str"/>
      <x:c r="D73" s="81" t="str"/>
      <x:c r="E73" s="81" t="str"/>
      <x:c r="F73" s="81" t="str"/>
      <x:c r="G73" s="81" t="str"/>
      <x:c r="H73" s="81" t="str"/>
      <x:c r="I73" s="81" t="str"/>
      <x:c r="J73" s="81" t="str"/>
      <x:c r="K73" s="81" t="str"/>
      <x:c r="L73" s="81" t="str"/>
      <x:c r="M73" s="81" t="str"/>
      <x:c r="N73" s="81" t="str"/>
      <x:c r="O73" s="81" t="str"/>
      <x:c r="P73" s="81" t="str"/>
      <x:c r="Q73" s="81" t="str"/>
      <x:c r="R73" s="81" t="str"/>
      <x:c r="S73" s="82" t="str"/>
      <x:c r="T73" s="82" t="str"/>
      <x:c r="U73" s="82" t="str"/>
      <x:c r="V73" s="82" t="str"/>
      <x:c r="W73" s="82" t="str"/>
      <x:c r="X73" s="82" t="str"/>
      <x:c r="Y73" s="82" t="str"/>
      <x:c r="Z73" s="82" t="str"/>
      <x:c r="AA73" s="82" t="str"/>
      <x:c r="AB73" s="82" t="str"/>
      <x:c r="AC73" s="82" t="str"/>
      <x:c r="AD73" s="82" t="str"/>
      <x:c r="AE73" s="82" t="str"/>
      <x:c r="AF73" s="82" t="str"/>
      <x:c r="AG73" s="82" t="str"/>
      <x:c r="AH73" s="82" t="str"/>
      <x:c r="AI73" s="81" t="str"/>
      <x:c r="AJ73" s="81" t="str"/>
      <x:c r="AK73" s="81" t="str">
        <x:f>IF($E73="","",IF(AND($M73="yes",OR($N73="yes",$N73="review"),OR($O73="yes",$O73="review"),$P73="fit",OR($Q73="unique",$Q73="alias_review"),$R73&lt;&gt;"context_only"),"pass","review/block"))</x:f>
      </x:c>
      <x:c r="AL73" s="81" t="str">
        <x:f>IF($E73="","",IF($AK73="pass","eligible",IF(OR($M73="no",$O73="no",$P73="too_macro",$P73="too_micro",$P73="context_only",$Q73="duplicate_confirmed",$R73="context_only"),"not_eligible","review")))</x:f>
      </x:c>
      <x:c r="AM73" s="81" t="str">
        <x:f>IF($E73="","",IF($C73=0,"reentry_required",IF($C73&lt;=8,"non_competitive_inclusion","competitive_selection")))</x:f>
      </x:c>
      <x:c r="AN73" s="82" t="str">
        <x:f>IF($E73="","",AVERAGE($U73:$X73))</x:f>
      </x:c>
      <x:c r="AO73" s="82" t="str">
        <x:f>IF($E73="","",AVERAGE($S73:$T73))</x:f>
      </x:c>
      <x:c r="AP73" s="82" t="str">
        <x:f>IF($E73="","",($AF73*0.08)+($AG73*0.08)+($AH73*0.10))</x:f>
      </x:c>
      <x:c r="AQ73" s="82" t="str">
        <x:f>IF($E73="","",MAX(0,($AN73*0.30)+($Y73*0.20)+($Z73*0.15)+($AA73*0.15)+($AB73*0.10)+($AC73*0.10)+($AE73*0.05)-$AP73))</x:f>
      </x:c>
      <x:c r="AR73" s="81" t="str">
        <x:f>IF($E73="","",IF($AM73="competitive_selection",RANK.EQ($AQ73,$AQ$2:$AQ$201,0),""))</x:f>
      </x:c>
      <x:c r="AS73" s="81" t="str">
        <x:f>IF($E73="","",IF(AND($AM73="non_competitive_inclusion",$AL73="eligible"),"selected",""))</x:f>
      </x:c>
      <x:c r="AT73" s="81" t="str">
        <x:f>IF($E73="","",IF($AM73&lt;&gt;"competitive_selection","",IF(AND($AL73="eligible",$AR73&lt;=8),"selected","context/backlog")))</x:f>
      </x:c>
      <x:c r="AU73" s="81" t="str">
        <x:f>IF($E73="","",IF($AM73="reentry_required","not_selected_reentry",IF($AS73="selected","selected_for_runtime",IF($AT73="selected","selected_for_runtime",IF($AL73="review","manual_review","context_or_not_selected")))))</x:f>
      </x:c>
      <x:c r="AV73" s="81" t="str">
        <x:f>IF($E73="","",IF($AU73="selected_for_runtime",IF($AM73="competitive_selection",$AR73,COUNTIF($AU$2:AU73,"selected_for_runtime")),""))</x:f>
      </x:c>
      <x:c r="AW73" s="81" t="str">
        <x:f>IF($E73="","",IF($AU73="selected_for_runtime",IF($AD73&gt;=2,"base_40_plus_uncertainty_probes",IF($AE73&gt;=2,"base_40_plus_exploratory_probes","base_40_standard")),"no_runtime"))</x:f>
      </x:c>
      <x:c r="AX73" s="81" t="str">
        <x:f>IF($E73="","",IF($AU73&lt;&gt;"selected_for_runtime","none",IF($AE73&gt;=2,"exploratoria",IF($AQ73&gt;=2.2,"alta",IF($AQ73&gt;=1.2,"media","baja")))))</x:f>
      </x:c>
      <x:c r="AY73" s="81" t="str">
        <x:f>IF($E73="","",IF($AJ73=TRUE,"context_with_coverage_gap",IF($AI73="review","context_requires_confirmation","context_ready")))</x:f>
      </x:c>
      <x:c r="AZ73" s="81" t="str">
        <x:f>IF($E73="","",IF($AU73&lt;&gt;"selected_for_runtime","no",IF(OR($AY73="context_with_coverage_gap",$AX73="exploratoria"),"ready_with_flags","ready")))</x:f>
      </x:c>
      <x:c r="BA73" s="81" t="str"/>
      <x:c r="BB73" s="81" t="str"/>
      <x:c r="BC73" s="81" t="str"/>
      <x:c r="BD73" s="81" t="str"/>
      <x:c r="BE73" s="81" t="str"/>
    </x:row>
    <x:row r="74">
      <x:c r="A74" s="81" t="str"/>
      <x:c r="B74" s="81" t="str"/>
      <x:c r="C74" s="81" t="str"/>
      <x:c r="D74" s="81" t="str"/>
      <x:c r="E74" s="81" t="str"/>
      <x:c r="F74" s="81" t="str"/>
      <x:c r="G74" s="81" t="str"/>
      <x:c r="H74" s="81" t="str"/>
      <x:c r="I74" s="81" t="str"/>
      <x:c r="J74" s="81" t="str"/>
      <x:c r="K74" s="81" t="str"/>
      <x:c r="L74" s="81" t="str"/>
      <x:c r="M74" s="81" t="str"/>
      <x:c r="N74" s="81" t="str"/>
      <x:c r="O74" s="81" t="str"/>
      <x:c r="P74" s="81" t="str"/>
      <x:c r="Q74" s="81" t="str"/>
      <x:c r="R74" s="81" t="str"/>
      <x:c r="S74" s="82" t="str"/>
      <x:c r="T74" s="82" t="str"/>
      <x:c r="U74" s="82" t="str"/>
      <x:c r="V74" s="82" t="str"/>
      <x:c r="W74" s="82" t="str"/>
      <x:c r="X74" s="82" t="str"/>
      <x:c r="Y74" s="82" t="str"/>
      <x:c r="Z74" s="82" t="str"/>
      <x:c r="AA74" s="82" t="str"/>
      <x:c r="AB74" s="82" t="str"/>
      <x:c r="AC74" s="82" t="str"/>
      <x:c r="AD74" s="82" t="str"/>
      <x:c r="AE74" s="82" t="str"/>
      <x:c r="AF74" s="82" t="str"/>
      <x:c r="AG74" s="82" t="str"/>
      <x:c r="AH74" s="82" t="str"/>
      <x:c r="AI74" s="81" t="str"/>
      <x:c r="AJ74" s="81" t="str"/>
      <x:c r="AK74" s="81" t="str">
        <x:f>IF($E74="","",IF(AND($M74="yes",OR($N74="yes",$N74="review"),OR($O74="yes",$O74="review"),$P74="fit",OR($Q74="unique",$Q74="alias_review"),$R74&lt;&gt;"context_only"),"pass","review/block"))</x:f>
      </x:c>
      <x:c r="AL74" s="81" t="str">
        <x:f>IF($E74="","",IF($AK74="pass","eligible",IF(OR($M74="no",$O74="no",$P74="too_macro",$P74="too_micro",$P74="context_only",$Q74="duplicate_confirmed",$R74="context_only"),"not_eligible","review")))</x:f>
      </x:c>
      <x:c r="AM74" s="81" t="str">
        <x:f>IF($E74="","",IF($C74=0,"reentry_required",IF($C74&lt;=8,"non_competitive_inclusion","competitive_selection")))</x:f>
      </x:c>
      <x:c r="AN74" s="82" t="str">
        <x:f>IF($E74="","",AVERAGE($U74:$X74))</x:f>
      </x:c>
      <x:c r="AO74" s="82" t="str">
        <x:f>IF($E74="","",AVERAGE($S74:$T74))</x:f>
      </x:c>
      <x:c r="AP74" s="82" t="str">
        <x:f>IF($E74="","",($AF74*0.08)+($AG74*0.08)+($AH74*0.10))</x:f>
      </x:c>
      <x:c r="AQ74" s="82" t="str">
        <x:f>IF($E74="","",MAX(0,($AN74*0.30)+($Y74*0.20)+($Z74*0.15)+($AA74*0.15)+($AB74*0.10)+($AC74*0.10)+($AE74*0.05)-$AP74))</x:f>
      </x:c>
      <x:c r="AR74" s="81" t="str">
        <x:f>IF($E74="","",IF($AM74="competitive_selection",RANK.EQ($AQ74,$AQ$2:$AQ$201,0),""))</x:f>
      </x:c>
      <x:c r="AS74" s="81" t="str">
        <x:f>IF($E74="","",IF(AND($AM74="non_competitive_inclusion",$AL74="eligible"),"selected",""))</x:f>
      </x:c>
      <x:c r="AT74" s="81" t="str">
        <x:f>IF($E74="","",IF($AM74&lt;&gt;"competitive_selection","",IF(AND($AL74="eligible",$AR74&lt;=8),"selected","context/backlog")))</x:f>
      </x:c>
      <x:c r="AU74" s="81" t="str">
        <x:f>IF($E74="","",IF($AM74="reentry_required","not_selected_reentry",IF($AS74="selected","selected_for_runtime",IF($AT74="selected","selected_for_runtime",IF($AL74="review","manual_review","context_or_not_selected")))))</x:f>
      </x:c>
      <x:c r="AV74" s="81" t="str">
        <x:f>IF($E74="","",IF($AU74="selected_for_runtime",IF($AM74="competitive_selection",$AR74,COUNTIF($AU$2:AU74,"selected_for_runtime")),""))</x:f>
      </x:c>
      <x:c r="AW74" s="81" t="str">
        <x:f>IF($E74="","",IF($AU74="selected_for_runtime",IF($AD74&gt;=2,"base_40_plus_uncertainty_probes",IF($AE74&gt;=2,"base_40_plus_exploratory_probes","base_40_standard")),"no_runtime"))</x:f>
      </x:c>
      <x:c r="AX74" s="81" t="str">
        <x:f>IF($E74="","",IF($AU74&lt;&gt;"selected_for_runtime","none",IF($AE74&gt;=2,"exploratoria",IF($AQ74&gt;=2.2,"alta",IF($AQ74&gt;=1.2,"media","baja")))))</x:f>
      </x:c>
      <x:c r="AY74" s="81" t="str">
        <x:f>IF($E74="","",IF($AJ74=TRUE,"context_with_coverage_gap",IF($AI74="review","context_requires_confirmation","context_ready")))</x:f>
      </x:c>
      <x:c r="AZ74" s="81" t="str">
        <x:f>IF($E74="","",IF($AU74&lt;&gt;"selected_for_runtime","no",IF(OR($AY74="context_with_coverage_gap",$AX74="exploratoria"),"ready_with_flags","ready")))</x:f>
      </x:c>
      <x:c r="BA74" s="81" t="str"/>
      <x:c r="BB74" s="81" t="str"/>
      <x:c r="BC74" s="81" t="str"/>
      <x:c r="BD74" s="81" t="str"/>
      <x:c r="BE74" s="81" t="str"/>
    </x:row>
    <x:row r="75">
      <x:c r="A75" s="81" t="str"/>
      <x:c r="B75" s="81" t="str"/>
      <x:c r="C75" s="81" t="str"/>
      <x:c r="D75" s="81" t="str"/>
      <x:c r="E75" s="81" t="str"/>
      <x:c r="F75" s="81" t="str"/>
      <x:c r="G75" s="81" t="str"/>
      <x:c r="H75" s="81" t="str"/>
      <x:c r="I75" s="81" t="str"/>
      <x:c r="J75" s="81" t="str"/>
      <x:c r="K75" s="81" t="str"/>
      <x:c r="L75" s="81" t="str"/>
      <x:c r="M75" s="81" t="str"/>
      <x:c r="N75" s="81" t="str"/>
      <x:c r="O75" s="81" t="str"/>
      <x:c r="P75" s="81" t="str"/>
      <x:c r="Q75" s="81" t="str"/>
      <x:c r="R75" s="81" t="str"/>
      <x:c r="S75" s="82" t="str"/>
      <x:c r="T75" s="82" t="str"/>
      <x:c r="U75" s="82" t="str"/>
      <x:c r="V75" s="82" t="str"/>
      <x:c r="W75" s="82" t="str"/>
      <x:c r="X75" s="82" t="str"/>
      <x:c r="Y75" s="82" t="str"/>
      <x:c r="Z75" s="82" t="str"/>
      <x:c r="AA75" s="82" t="str"/>
      <x:c r="AB75" s="82" t="str"/>
      <x:c r="AC75" s="82" t="str"/>
      <x:c r="AD75" s="82" t="str"/>
      <x:c r="AE75" s="82" t="str"/>
      <x:c r="AF75" s="82" t="str"/>
      <x:c r="AG75" s="82" t="str"/>
      <x:c r="AH75" s="82" t="str"/>
      <x:c r="AI75" s="81" t="str"/>
      <x:c r="AJ75" s="81" t="str"/>
      <x:c r="AK75" s="81" t="str">
        <x:f>IF($E75="","",IF(AND($M75="yes",OR($N75="yes",$N75="review"),OR($O75="yes",$O75="review"),$P75="fit",OR($Q75="unique",$Q75="alias_review"),$R75&lt;&gt;"context_only"),"pass","review/block"))</x:f>
      </x:c>
      <x:c r="AL75" s="81" t="str">
        <x:f>IF($E75="","",IF($AK75="pass","eligible",IF(OR($M75="no",$O75="no",$P75="too_macro",$P75="too_micro",$P75="context_only",$Q75="duplicate_confirmed",$R75="context_only"),"not_eligible","review")))</x:f>
      </x:c>
      <x:c r="AM75" s="81" t="str">
        <x:f>IF($E75="","",IF($C75=0,"reentry_required",IF($C75&lt;=8,"non_competitive_inclusion","competitive_selection")))</x:f>
      </x:c>
      <x:c r="AN75" s="82" t="str">
        <x:f>IF($E75="","",AVERAGE($U75:$X75))</x:f>
      </x:c>
      <x:c r="AO75" s="82" t="str">
        <x:f>IF($E75="","",AVERAGE($S75:$T75))</x:f>
      </x:c>
      <x:c r="AP75" s="82" t="str">
        <x:f>IF($E75="","",($AF75*0.08)+($AG75*0.08)+($AH75*0.10))</x:f>
      </x:c>
      <x:c r="AQ75" s="82" t="str">
        <x:f>IF($E75="","",MAX(0,($AN75*0.30)+($Y75*0.20)+($Z75*0.15)+($AA75*0.15)+($AB75*0.10)+($AC75*0.10)+($AE75*0.05)-$AP75))</x:f>
      </x:c>
      <x:c r="AR75" s="81" t="str">
        <x:f>IF($E75="","",IF($AM75="competitive_selection",RANK.EQ($AQ75,$AQ$2:$AQ$201,0),""))</x:f>
      </x:c>
      <x:c r="AS75" s="81" t="str">
        <x:f>IF($E75="","",IF(AND($AM75="non_competitive_inclusion",$AL75="eligible"),"selected",""))</x:f>
      </x:c>
      <x:c r="AT75" s="81" t="str">
        <x:f>IF($E75="","",IF($AM75&lt;&gt;"competitive_selection","",IF(AND($AL75="eligible",$AR75&lt;=8),"selected","context/backlog")))</x:f>
      </x:c>
      <x:c r="AU75" s="81" t="str">
        <x:f>IF($E75="","",IF($AM75="reentry_required","not_selected_reentry",IF($AS75="selected","selected_for_runtime",IF($AT75="selected","selected_for_runtime",IF($AL75="review","manual_review","context_or_not_selected")))))</x:f>
      </x:c>
      <x:c r="AV75" s="81" t="str">
        <x:f>IF($E75="","",IF($AU75="selected_for_runtime",IF($AM75="competitive_selection",$AR75,COUNTIF($AU$2:AU75,"selected_for_runtime")),""))</x:f>
      </x:c>
      <x:c r="AW75" s="81" t="str">
        <x:f>IF($E75="","",IF($AU75="selected_for_runtime",IF($AD75&gt;=2,"base_40_plus_uncertainty_probes",IF($AE75&gt;=2,"base_40_plus_exploratory_probes","base_40_standard")),"no_runtime"))</x:f>
      </x:c>
      <x:c r="AX75" s="81" t="str">
        <x:f>IF($E75="","",IF($AU75&lt;&gt;"selected_for_runtime","none",IF($AE75&gt;=2,"exploratoria",IF($AQ75&gt;=2.2,"alta",IF($AQ75&gt;=1.2,"media","baja")))))</x:f>
      </x:c>
      <x:c r="AY75" s="81" t="str">
        <x:f>IF($E75="","",IF($AJ75=TRUE,"context_with_coverage_gap",IF($AI75="review","context_requires_confirmation","context_ready")))</x:f>
      </x:c>
      <x:c r="AZ75" s="81" t="str">
        <x:f>IF($E75="","",IF($AU75&lt;&gt;"selected_for_runtime","no",IF(OR($AY75="context_with_coverage_gap",$AX75="exploratoria"),"ready_with_flags","ready")))</x:f>
      </x:c>
      <x:c r="BA75" s="81" t="str"/>
      <x:c r="BB75" s="81" t="str"/>
      <x:c r="BC75" s="81" t="str"/>
      <x:c r="BD75" s="81" t="str"/>
      <x:c r="BE75" s="81" t="str"/>
    </x:row>
    <x:row r="76">
      <x:c r="A76" s="81" t="str"/>
      <x:c r="B76" s="81" t="str"/>
      <x:c r="C76" s="81" t="str"/>
      <x:c r="D76" s="81" t="str"/>
      <x:c r="E76" s="81" t="str"/>
      <x:c r="F76" s="81" t="str"/>
      <x:c r="G76" s="81" t="str"/>
      <x:c r="H76" s="81" t="str"/>
      <x:c r="I76" s="81" t="str"/>
      <x:c r="J76" s="81" t="str"/>
      <x:c r="K76" s="81" t="str"/>
      <x:c r="L76" s="81" t="str"/>
      <x:c r="M76" s="81" t="str"/>
      <x:c r="N76" s="81" t="str"/>
      <x:c r="O76" s="81" t="str"/>
      <x:c r="P76" s="81" t="str"/>
      <x:c r="Q76" s="81" t="str"/>
      <x:c r="R76" s="81" t="str"/>
      <x:c r="S76" s="82" t="str"/>
      <x:c r="T76" s="82" t="str"/>
      <x:c r="U76" s="82" t="str"/>
      <x:c r="V76" s="82" t="str"/>
      <x:c r="W76" s="82" t="str"/>
      <x:c r="X76" s="82" t="str"/>
      <x:c r="Y76" s="82" t="str"/>
      <x:c r="Z76" s="82" t="str"/>
      <x:c r="AA76" s="82" t="str"/>
      <x:c r="AB76" s="82" t="str"/>
      <x:c r="AC76" s="82" t="str"/>
      <x:c r="AD76" s="82" t="str"/>
      <x:c r="AE76" s="82" t="str"/>
      <x:c r="AF76" s="82" t="str"/>
      <x:c r="AG76" s="82" t="str"/>
      <x:c r="AH76" s="82" t="str"/>
      <x:c r="AI76" s="81" t="str"/>
      <x:c r="AJ76" s="81" t="str"/>
      <x:c r="AK76" s="81" t="str">
        <x:f>IF($E76="","",IF(AND($M76="yes",OR($N76="yes",$N76="review"),OR($O76="yes",$O76="review"),$P76="fit",OR($Q76="unique",$Q76="alias_review"),$R76&lt;&gt;"context_only"),"pass","review/block"))</x:f>
      </x:c>
      <x:c r="AL76" s="81" t="str">
        <x:f>IF($E76="","",IF($AK76="pass","eligible",IF(OR($M76="no",$O76="no",$P76="too_macro",$P76="too_micro",$P76="context_only",$Q76="duplicate_confirmed",$R76="context_only"),"not_eligible","review")))</x:f>
      </x:c>
      <x:c r="AM76" s="81" t="str">
        <x:f>IF($E76="","",IF($C76=0,"reentry_required",IF($C76&lt;=8,"non_competitive_inclusion","competitive_selection")))</x:f>
      </x:c>
      <x:c r="AN76" s="82" t="str">
        <x:f>IF($E76="","",AVERAGE($U76:$X76))</x:f>
      </x:c>
      <x:c r="AO76" s="82" t="str">
        <x:f>IF($E76="","",AVERAGE($S76:$T76))</x:f>
      </x:c>
      <x:c r="AP76" s="82" t="str">
        <x:f>IF($E76="","",($AF76*0.08)+($AG76*0.08)+($AH76*0.10))</x:f>
      </x:c>
      <x:c r="AQ76" s="82" t="str">
        <x:f>IF($E76="","",MAX(0,($AN76*0.30)+($Y76*0.20)+($Z76*0.15)+($AA76*0.15)+($AB76*0.10)+($AC76*0.10)+($AE76*0.05)-$AP76))</x:f>
      </x:c>
      <x:c r="AR76" s="81" t="str">
        <x:f>IF($E76="","",IF($AM76="competitive_selection",RANK.EQ($AQ76,$AQ$2:$AQ$201,0),""))</x:f>
      </x:c>
      <x:c r="AS76" s="81" t="str">
        <x:f>IF($E76="","",IF(AND($AM76="non_competitive_inclusion",$AL76="eligible"),"selected",""))</x:f>
      </x:c>
      <x:c r="AT76" s="81" t="str">
        <x:f>IF($E76="","",IF($AM76&lt;&gt;"competitive_selection","",IF(AND($AL76="eligible",$AR76&lt;=8),"selected","context/backlog")))</x:f>
      </x:c>
      <x:c r="AU76" s="81" t="str">
        <x:f>IF($E76="","",IF($AM76="reentry_required","not_selected_reentry",IF($AS76="selected","selected_for_runtime",IF($AT76="selected","selected_for_runtime",IF($AL76="review","manual_review","context_or_not_selected")))))</x:f>
      </x:c>
      <x:c r="AV76" s="81" t="str">
        <x:f>IF($E76="","",IF($AU76="selected_for_runtime",IF($AM76="competitive_selection",$AR76,COUNTIF($AU$2:AU76,"selected_for_runtime")),""))</x:f>
      </x:c>
      <x:c r="AW76" s="81" t="str">
        <x:f>IF($E76="","",IF($AU76="selected_for_runtime",IF($AD76&gt;=2,"base_40_plus_uncertainty_probes",IF($AE76&gt;=2,"base_40_plus_exploratory_probes","base_40_standard")),"no_runtime"))</x:f>
      </x:c>
      <x:c r="AX76" s="81" t="str">
        <x:f>IF($E76="","",IF($AU76&lt;&gt;"selected_for_runtime","none",IF($AE76&gt;=2,"exploratoria",IF($AQ76&gt;=2.2,"alta",IF($AQ76&gt;=1.2,"media","baja")))))</x:f>
      </x:c>
      <x:c r="AY76" s="81" t="str">
        <x:f>IF($E76="","",IF($AJ76=TRUE,"context_with_coverage_gap",IF($AI76="review","context_requires_confirmation","context_ready")))</x:f>
      </x:c>
      <x:c r="AZ76" s="81" t="str">
        <x:f>IF($E76="","",IF($AU76&lt;&gt;"selected_for_runtime","no",IF(OR($AY76="context_with_coverage_gap",$AX76="exploratoria"),"ready_with_flags","ready")))</x:f>
      </x:c>
      <x:c r="BA76" s="81" t="str"/>
      <x:c r="BB76" s="81" t="str"/>
      <x:c r="BC76" s="81" t="str"/>
      <x:c r="BD76" s="81" t="str"/>
      <x:c r="BE76" s="81" t="str"/>
    </x:row>
    <x:row r="77">
      <x:c r="A77" s="81" t="str"/>
      <x:c r="B77" s="81" t="str"/>
      <x:c r="C77" s="81" t="str"/>
      <x:c r="D77" s="81" t="str"/>
      <x:c r="E77" s="81" t="str"/>
      <x:c r="F77" s="81" t="str"/>
      <x:c r="G77" s="81" t="str"/>
      <x:c r="H77" s="81" t="str"/>
      <x:c r="I77" s="81" t="str"/>
      <x:c r="J77" s="81" t="str"/>
      <x:c r="K77" s="81" t="str"/>
      <x:c r="L77" s="81" t="str"/>
      <x:c r="M77" s="81" t="str"/>
      <x:c r="N77" s="81" t="str"/>
      <x:c r="O77" s="81" t="str"/>
      <x:c r="P77" s="81" t="str"/>
      <x:c r="Q77" s="81" t="str"/>
      <x:c r="R77" s="81" t="str"/>
      <x:c r="S77" s="82" t="str"/>
      <x:c r="T77" s="82" t="str"/>
      <x:c r="U77" s="82" t="str"/>
      <x:c r="V77" s="82" t="str"/>
      <x:c r="W77" s="82" t="str"/>
      <x:c r="X77" s="82" t="str"/>
      <x:c r="Y77" s="82" t="str"/>
      <x:c r="Z77" s="82" t="str"/>
      <x:c r="AA77" s="82" t="str"/>
      <x:c r="AB77" s="82" t="str"/>
      <x:c r="AC77" s="82" t="str"/>
      <x:c r="AD77" s="82" t="str"/>
      <x:c r="AE77" s="82" t="str"/>
      <x:c r="AF77" s="82" t="str"/>
      <x:c r="AG77" s="82" t="str"/>
      <x:c r="AH77" s="82" t="str"/>
      <x:c r="AI77" s="81" t="str"/>
      <x:c r="AJ77" s="81" t="str"/>
      <x:c r="AK77" s="81" t="str">
        <x:f>IF($E77="","",IF(AND($M77="yes",OR($N77="yes",$N77="review"),OR($O77="yes",$O77="review"),$P77="fit",OR($Q77="unique",$Q77="alias_review"),$R77&lt;&gt;"context_only"),"pass","review/block"))</x:f>
      </x:c>
      <x:c r="AL77" s="81" t="str">
        <x:f>IF($E77="","",IF($AK77="pass","eligible",IF(OR($M77="no",$O77="no",$P77="too_macro",$P77="too_micro",$P77="context_only",$Q77="duplicate_confirmed",$R77="context_only"),"not_eligible","review")))</x:f>
      </x:c>
      <x:c r="AM77" s="81" t="str">
        <x:f>IF($E77="","",IF($C77=0,"reentry_required",IF($C77&lt;=8,"non_competitive_inclusion","competitive_selection")))</x:f>
      </x:c>
      <x:c r="AN77" s="82" t="str">
        <x:f>IF($E77="","",AVERAGE($U77:$X77))</x:f>
      </x:c>
      <x:c r="AO77" s="82" t="str">
        <x:f>IF($E77="","",AVERAGE($S77:$T77))</x:f>
      </x:c>
      <x:c r="AP77" s="82" t="str">
        <x:f>IF($E77="","",($AF77*0.08)+($AG77*0.08)+($AH77*0.10))</x:f>
      </x:c>
      <x:c r="AQ77" s="82" t="str">
        <x:f>IF($E77="","",MAX(0,($AN77*0.30)+($Y77*0.20)+($Z77*0.15)+($AA77*0.15)+($AB77*0.10)+($AC77*0.10)+($AE77*0.05)-$AP77))</x:f>
      </x:c>
      <x:c r="AR77" s="81" t="str">
        <x:f>IF($E77="","",IF($AM77="competitive_selection",RANK.EQ($AQ77,$AQ$2:$AQ$201,0),""))</x:f>
      </x:c>
      <x:c r="AS77" s="81" t="str">
        <x:f>IF($E77="","",IF(AND($AM77="non_competitive_inclusion",$AL77="eligible"),"selected",""))</x:f>
      </x:c>
      <x:c r="AT77" s="81" t="str">
        <x:f>IF($E77="","",IF($AM77&lt;&gt;"competitive_selection","",IF(AND($AL77="eligible",$AR77&lt;=8),"selected","context/backlog")))</x:f>
      </x:c>
      <x:c r="AU77" s="81" t="str">
        <x:f>IF($E77="","",IF($AM77="reentry_required","not_selected_reentry",IF($AS77="selected","selected_for_runtime",IF($AT77="selected","selected_for_runtime",IF($AL77="review","manual_review","context_or_not_selected")))))</x:f>
      </x:c>
      <x:c r="AV77" s="81" t="str">
        <x:f>IF($E77="","",IF($AU77="selected_for_runtime",IF($AM77="competitive_selection",$AR77,COUNTIF($AU$2:AU77,"selected_for_runtime")),""))</x:f>
      </x:c>
      <x:c r="AW77" s="81" t="str">
        <x:f>IF($E77="","",IF($AU77="selected_for_runtime",IF($AD77&gt;=2,"base_40_plus_uncertainty_probes",IF($AE77&gt;=2,"base_40_plus_exploratory_probes","base_40_standard")),"no_runtime"))</x:f>
      </x:c>
      <x:c r="AX77" s="81" t="str">
        <x:f>IF($E77="","",IF($AU77&lt;&gt;"selected_for_runtime","none",IF($AE77&gt;=2,"exploratoria",IF($AQ77&gt;=2.2,"alta",IF($AQ77&gt;=1.2,"media","baja")))))</x:f>
      </x:c>
      <x:c r="AY77" s="81" t="str">
        <x:f>IF($E77="","",IF($AJ77=TRUE,"context_with_coverage_gap",IF($AI77="review","context_requires_confirmation","context_ready")))</x:f>
      </x:c>
      <x:c r="AZ77" s="81" t="str">
        <x:f>IF($E77="","",IF($AU77&lt;&gt;"selected_for_runtime","no",IF(OR($AY77="context_with_coverage_gap",$AX77="exploratoria"),"ready_with_flags","ready")))</x:f>
      </x:c>
      <x:c r="BA77" s="81" t="str"/>
      <x:c r="BB77" s="81" t="str"/>
      <x:c r="BC77" s="81" t="str"/>
      <x:c r="BD77" s="81" t="str"/>
      <x:c r="BE77" s="81" t="str"/>
    </x:row>
    <x:row r="78">
      <x:c r="A78" s="81" t="str"/>
      <x:c r="B78" s="81" t="str"/>
      <x:c r="C78" s="81" t="str"/>
      <x:c r="D78" s="81" t="str"/>
      <x:c r="E78" s="81" t="str"/>
      <x:c r="F78" s="81" t="str"/>
      <x:c r="G78" s="81" t="str"/>
      <x:c r="H78" s="81" t="str"/>
      <x:c r="I78" s="81" t="str"/>
      <x:c r="J78" s="81" t="str"/>
      <x:c r="K78" s="81" t="str"/>
      <x:c r="L78" s="81" t="str"/>
      <x:c r="M78" s="81" t="str"/>
      <x:c r="N78" s="81" t="str"/>
      <x:c r="O78" s="81" t="str"/>
      <x:c r="P78" s="81" t="str"/>
      <x:c r="Q78" s="81" t="str"/>
      <x:c r="R78" s="81" t="str"/>
      <x:c r="S78" s="82" t="str"/>
      <x:c r="T78" s="82" t="str"/>
      <x:c r="U78" s="82" t="str"/>
      <x:c r="V78" s="82" t="str"/>
      <x:c r="W78" s="82" t="str"/>
      <x:c r="X78" s="82" t="str"/>
      <x:c r="Y78" s="82" t="str"/>
      <x:c r="Z78" s="82" t="str"/>
      <x:c r="AA78" s="82" t="str"/>
      <x:c r="AB78" s="82" t="str"/>
      <x:c r="AC78" s="82" t="str"/>
      <x:c r="AD78" s="82" t="str"/>
      <x:c r="AE78" s="82" t="str"/>
      <x:c r="AF78" s="82" t="str"/>
      <x:c r="AG78" s="82" t="str"/>
      <x:c r="AH78" s="82" t="str"/>
      <x:c r="AI78" s="81" t="str"/>
      <x:c r="AJ78" s="81" t="str"/>
      <x:c r="AK78" s="81" t="str">
        <x:f>IF($E78="","",IF(AND($M78="yes",OR($N78="yes",$N78="review"),OR($O78="yes",$O78="review"),$P78="fit",OR($Q78="unique",$Q78="alias_review"),$R78&lt;&gt;"context_only"),"pass","review/block"))</x:f>
      </x:c>
      <x:c r="AL78" s="81" t="str">
        <x:f>IF($E78="","",IF($AK78="pass","eligible",IF(OR($M78="no",$O78="no",$P78="too_macro",$P78="too_micro",$P78="context_only",$Q78="duplicate_confirmed",$R78="context_only"),"not_eligible","review")))</x:f>
      </x:c>
      <x:c r="AM78" s="81" t="str">
        <x:f>IF($E78="","",IF($C78=0,"reentry_required",IF($C78&lt;=8,"non_competitive_inclusion","competitive_selection")))</x:f>
      </x:c>
      <x:c r="AN78" s="82" t="str">
        <x:f>IF($E78="","",AVERAGE($U78:$X78))</x:f>
      </x:c>
      <x:c r="AO78" s="82" t="str">
        <x:f>IF($E78="","",AVERAGE($S78:$T78))</x:f>
      </x:c>
      <x:c r="AP78" s="82" t="str">
        <x:f>IF($E78="","",($AF78*0.08)+($AG78*0.08)+($AH78*0.10))</x:f>
      </x:c>
      <x:c r="AQ78" s="82" t="str">
        <x:f>IF($E78="","",MAX(0,($AN78*0.30)+($Y78*0.20)+($Z78*0.15)+($AA78*0.15)+($AB78*0.10)+($AC78*0.10)+($AE78*0.05)-$AP78))</x:f>
      </x:c>
      <x:c r="AR78" s="81" t="str">
        <x:f>IF($E78="","",IF($AM78="competitive_selection",RANK.EQ($AQ78,$AQ$2:$AQ$201,0),""))</x:f>
      </x:c>
      <x:c r="AS78" s="81" t="str">
        <x:f>IF($E78="","",IF(AND($AM78="non_competitive_inclusion",$AL78="eligible"),"selected",""))</x:f>
      </x:c>
      <x:c r="AT78" s="81" t="str">
        <x:f>IF($E78="","",IF($AM78&lt;&gt;"competitive_selection","",IF(AND($AL78="eligible",$AR78&lt;=8),"selected","context/backlog")))</x:f>
      </x:c>
      <x:c r="AU78" s="81" t="str">
        <x:f>IF($E78="","",IF($AM78="reentry_required","not_selected_reentry",IF($AS78="selected","selected_for_runtime",IF($AT78="selected","selected_for_runtime",IF($AL78="review","manual_review","context_or_not_selected")))))</x:f>
      </x:c>
      <x:c r="AV78" s="81" t="str">
        <x:f>IF($E78="","",IF($AU78="selected_for_runtime",IF($AM78="competitive_selection",$AR78,COUNTIF($AU$2:AU78,"selected_for_runtime")),""))</x:f>
      </x:c>
      <x:c r="AW78" s="81" t="str">
        <x:f>IF($E78="","",IF($AU78="selected_for_runtime",IF($AD78&gt;=2,"base_40_plus_uncertainty_probes",IF($AE78&gt;=2,"base_40_plus_exploratory_probes","base_40_standard")),"no_runtime"))</x:f>
      </x:c>
      <x:c r="AX78" s="81" t="str">
        <x:f>IF($E78="","",IF($AU78&lt;&gt;"selected_for_runtime","none",IF($AE78&gt;=2,"exploratoria",IF($AQ78&gt;=2.2,"alta",IF($AQ78&gt;=1.2,"media","baja")))))</x:f>
      </x:c>
      <x:c r="AY78" s="81" t="str">
        <x:f>IF($E78="","",IF($AJ78=TRUE,"context_with_coverage_gap",IF($AI78="review","context_requires_confirmation","context_ready")))</x:f>
      </x:c>
      <x:c r="AZ78" s="81" t="str">
        <x:f>IF($E78="","",IF($AU78&lt;&gt;"selected_for_runtime","no",IF(OR($AY78="context_with_coverage_gap",$AX78="exploratoria"),"ready_with_flags","ready")))</x:f>
      </x:c>
      <x:c r="BA78" s="81" t="str"/>
      <x:c r="BB78" s="81" t="str"/>
      <x:c r="BC78" s="81" t="str"/>
      <x:c r="BD78" s="81" t="str"/>
      <x:c r="BE78" s="81" t="str"/>
    </x:row>
    <x:row r="79">
      <x:c r="A79" s="81" t="str"/>
      <x:c r="B79" s="81" t="str"/>
      <x:c r="C79" s="81" t="str"/>
      <x:c r="D79" s="81" t="str"/>
      <x:c r="E79" s="81" t="str"/>
      <x:c r="F79" s="81" t="str"/>
      <x:c r="G79" s="81" t="str"/>
      <x:c r="H79" s="81" t="str"/>
      <x:c r="I79" s="81" t="str"/>
      <x:c r="J79" s="81" t="str"/>
      <x:c r="K79" s="81" t="str"/>
      <x:c r="L79" s="81" t="str"/>
      <x:c r="M79" s="81" t="str"/>
      <x:c r="N79" s="81" t="str"/>
      <x:c r="O79" s="81" t="str"/>
      <x:c r="P79" s="81" t="str"/>
      <x:c r="Q79" s="81" t="str"/>
      <x:c r="R79" s="81" t="str"/>
      <x:c r="S79" s="82" t="str"/>
      <x:c r="T79" s="82" t="str"/>
      <x:c r="U79" s="82" t="str"/>
      <x:c r="V79" s="82" t="str"/>
      <x:c r="W79" s="82" t="str"/>
      <x:c r="X79" s="82" t="str"/>
      <x:c r="Y79" s="82" t="str"/>
      <x:c r="Z79" s="82" t="str"/>
      <x:c r="AA79" s="82" t="str"/>
      <x:c r="AB79" s="82" t="str"/>
      <x:c r="AC79" s="82" t="str"/>
      <x:c r="AD79" s="82" t="str"/>
      <x:c r="AE79" s="82" t="str"/>
      <x:c r="AF79" s="82" t="str"/>
      <x:c r="AG79" s="82" t="str"/>
      <x:c r="AH79" s="82" t="str"/>
      <x:c r="AI79" s="81" t="str"/>
      <x:c r="AJ79" s="81" t="str"/>
      <x:c r="AK79" s="81" t="str">
        <x:f>IF($E79="","",IF(AND($M79="yes",OR($N79="yes",$N79="review"),OR($O79="yes",$O79="review"),$P79="fit",OR($Q79="unique",$Q79="alias_review"),$R79&lt;&gt;"context_only"),"pass","review/block"))</x:f>
      </x:c>
      <x:c r="AL79" s="81" t="str">
        <x:f>IF($E79="","",IF($AK79="pass","eligible",IF(OR($M79="no",$O79="no",$P79="too_macro",$P79="too_micro",$P79="context_only",$Q79="duplicate_confirmed",$R79="context_only"),"not_eligible","review")))</x:f>
      </x:c>
      <x:c r="AM79" s="81" t="str">
        <x:f>IF($E79="","",IF($C79=0,"reentry_required",IF($C79&lt;=8,"non_competitive_inclusion","competitive_selection")))</x:f>
      </x:c>
      <x:c r="AN79" s="82" t="str">
        <x:f>IF($E79="","",AVERAGE($U79:$X79))</x:f>
      </x:c>
      <x:c r="AO79" s="82" t="str">
        <x:f>IF($E79="","",AVERAGE($S79:$T79))</x:f>
      </x:c>
      <x:c r="AP79" s="82" t="str">
        <x:f>IF($E79="","",($AF79*0.08)+($AG79*0.08)+($AH79*0.10))</x:f>
      </x:c>
      <x:c r="AQ79" s="82" t="str">
        <x:f>IF($E79="","",MAX(0,($AN79*0.30)+($Y79*0.20)+($Z79*0.15)+($AA79*0.15)+($AB79*0.10)+($AC79*0.10)+($AE79*0.05)-$AP79))</x:f>
      </x:c>
      <x:c r="AR79" s="81" t="str">
        <x:f>IF($E79="","",IF($AM79="competitive_selection",RANK.EQ($AQ79,$AQ$2:$AQ$201,0),""))</x:f>
      </x:c>
      <x:c r="AS79" s="81" t="str">
        <x:f>IF($E79="","",IF(AND($AM79="non_competitive_inclusion",$AL79="eligible"),"selected",""))</x:f>
      </x:c>
      <x:c r="AT79" s="81" t="str">
        <x:f>IF($E79="","",IF($AM79&lt;&gt;"competitive_selection","",IF(AND($AL79="eligible",$AR79&lt;=8),"selected","context/backlog")))</x:f>
      </x:c>
      <x:c r="AU79" s="81" t="str">
        <x:f>IF($E79="","",IF($AM79="reentry_required","not_selected_reentry",IF($AS79="selected","selected_for_runtime",IF($AT79="selected","selected_for_runtime",IF($AL79="review","manual_review","context_or_not_selected")))))</x:f>
      </x:c>
      <x:c r="AV79" s="81" t="str">
        <x:f>IF($E79="","",IF($AU79="selected_for_runtime",IF($AM79="competitive_selection",$AR79,COUNTIF($AU$2:AU79,"selected_for_runtime")),""))</x:f>
      </x:c>
      <x:c r="AW79" s="81" t="str">
        <x:f>IF($E79="","",IF($AU79="selected_for_runtime",IF($AD79&gt;=2,"base_40_plus_uncertainty_probes",IF($AE79&gt;=2,"base_40_plus_exploratory_probes","base_40_standard")),"no_runtime"))</x:f>
      </x:c>
      <x:c r="AX79" s="81" t="str">
        <x:f>IF($E79="","",IF($AU79&lt;&gt;"selected_for_runtime","none",IF($AE79&gt;=2,"exploratoria",IF($AQ79&gt;=2.2,"alta",IF($AQ79&gt;=1.2,"media","baja")))))</x:f>
      </x:c>
      <x:c r="AY79" s="81" t="str">
        <x:f>IF($E79="","",IF($AJ79=TRUE,"context_with_coverage_gap",IF($AI79="review","context_requires_confirmation","context_ready")))</x:f>
      </x:c>
      <x:c r="AZ79" s="81" t="str">
        <x:f>IF($E79="","",IF($AU79&lt;&gt;"selected_for_runtime","no",IF(OR($AY79="context_with_coverage_gap",$AX79="exploratoria"),"ready_with_flags","ready")))</x:f>
      </x:c>
      <x:c r="BA79" s="81" t="str"/>
      <x:c r="BB79" s="81" t="str"/>
      <x:c r="BC79" s="81" t="str"/>
      <x:c r="BD79" s="81" t="str"/>
      <x:c r="BE79" s="81" t="str"/>
    </x:row>
    <x:row r="80">
      <x:c r="A80" s="81" t="str"/>
      <x:c r="B80" s="81" t="str"/>
      <x:c r="C80" s="81" t="str"/>
      <x:c r="D80" s="81" t="str"/>
      <x:c r="E80" s="81" t="str"/>
      <x:c r="F80" s="81" t="str"/>
      <x:c r="G80" s="81" t="str"/>
      <x:c r="H80" s="81" t="str"/>
      <x:c r="I80" s="81" t="str"/>
      <x:c r="J80" s="81" t="str"/>
      <x:c r="K80" s="81" t="str"/>
      <x:c r="L80" s="81" t="str"/>
      <x:c r="M80" s="81" t="str"/>
      <x:c r="N80" s="81" t="str"/>
      <x:c r="O80" s="81" t="str"/>
      <x:c r="P80" s="81" t="str"/>
      <x:c r="Q80" s="81" t="str"/>
      <x:c r="R80" s="81" t="str"/>
      <x:c r="S80" s="82" t="str"/>
      <x:c r="T80" s="82" t="str"/>
      <x:c r="U80" s="82" t="str"/>
      <x:c r="V80" s="82" t="str"/>
      <x:c r="W80" s="82" t="str"/>
      <x:c r="X80" s="82" t="str"/>
      <x:c r="Y80" s="82" t="str"/>
      <x:c r="Z80" s="82" t="str"/>
      <x:c r="AA80" s="82" t="str"/>
      <x:c r="AB80" s="82" t="str"/>
      <x:c r="AC80" s="82" t="str"/>
      <x:c r="AD80" s="82" t="str"/>
      <x:c r="AE80" s="82" t="str"/>
      <x:c r="AF80" s="82" t="str"/>
      <x:c r="AG80" s="82" t="str"/>
      <x:c r="AH80" s="82" t="str"/>
      <x:c r="AI80" s="81" t="str"/>
      <x:c r="AJ80" s="81" t="str"/>
      <x:c r="AK80" s="81" t="str">
        <x:f>IF($E80="","",IF(AND($M80="yes",OR($N80="yes",$N80="review"),OR($O80="yes",$O80="review"),$P80="fit",OR($Q80="unique",$Q80="alias_review"),$R80&lt;&gt;"context_only"),"pass","review/block"))</x:f>
      </x:c>
      <x:c r="AL80" s="81" t="str">
        <x:f>IF($E80="","",IF($AK80="pass","eligible",IF(OR($M80="no",$O80="no",$P80="too_macro",$P80="too_micro",$P80="context_only",$Q80="duplicate_confirmed",$R80="context_only"),"not_eligible","review")))</x:f>
      </x:c>
      <x:c r="AM80" s="81" t="str">
        <x:f>IF($E80="","",IF($C80=0,"reentry_required",IF($C80&lt;=8,"non_competitive_inclusion","competitive_selection")))</x:f>
      </x:c>
      <x:c r="AN80" s="82" t="str">
        <x:f>IF($E80="","",AVERAGE($U80:$X80))</x:f>
      </x:c>
      <x:c r="AO80" s="82" t="str">
        <x:f>IF($E80="","",AVERAGE($S80:$T80))</x:f>
      </x:c>
      <x:c r="AP80" s="82" t="str">
        <x:f>IF($E80="","",($AF80*0.08)+($AG80*0.08)+($AH80*0.10))</x:f>
      </x:c>
      <x:c r="AQ80" s="82" t="str">
        <x:f>IF($E80="","",MAX(0,($AN80*0.30)+($Y80*0.20)+($Z80*0.15)+($AA80*0.15)+($AB80*0.10)+($AC80*0.10)+($AE80*0.05)-$AP80))</x:f>
      </x:c>
      <x:c r="AR80" s="81" t="str">
        <x:f>IF($E80="","",IF($AM80="competitive_selection",RANK.EQ($AQ80,$AQ$2:$AQ$201,0),""))</x:f>
      </x:c>
      <x:c r="AS80" s="81" t="str">
        <x:f>IF($E80="","",IF(AND($AM80="non_competitive_inclusion",$AL80="eligible"),"selected",""))</x:f>
      </x:c>
      <x:c r="AT80" s="81" t="str">
        <x:f>IF($E80="","",IF($AM80&lt;&gt;"competitive_selection","",IF(AND($AL80="eligible",$AR80&lt;=8),"selected","context/backlog")))</x:f>
      </x:c>
      <x:c r="AU80" s="81" t="str">
        <x:f>IF($E80="","",IF($AM80="reentry_required","not_selected_reentry",IF($AS80="selected","selected_for_runtime",IF($AT80="selected","selected_for_runtime",IF($AL80="review","manual_review","context_or_not_selected")))))</x:f>
      </x:c>
      <x:c r="AV80" s="81" t="str">
        <x:f>IF($E80="","",IF($AU80="selected_for_runtime",IF($AM80="competitive_selection",$AR80,COUNTIF($AU$2:AU80,"selected_for_runtime")),""))</x:f>
      </x:c>
      <x:c r="AW80" s="81" t="str">
        <x:f>IF($E80="","",IF($AU80="selected_for_runtime",IF($AD80&gt;=2,"base_40_plus_uncertainty_probes",IF($AE80&gt;=2,"base_40_plus_exploratory_probes","base_40_standard")),"no_runtime"))</x:f>
      </x:c>
      <x:c r="AX80" s="81" t="str">
        <x:f>IF($E80="","",IF($AU80&lt;&gt;"selected_for_runtime","none",IF($AE80&gt;=2,"exploratoria",IF($AQ80&gt;=2.2,"alta",IF($AQ80&gt;=1.2,"media","baja")))))</x:f>
      </x:c>
      <x:c r="AY80" s="81" t="str">
        <x:f>IF($E80="","",IF($AJ80=TRUE,"context_with_coverage_gap",IF($AI80="review","context_requires_confirmation","context_ready")))</x:f>
      </x:c>
      <x:c r="AZ80" s="81" t="str">
        <x:f>IF($E80="","",IF($AU80&lt;&gt;"selected_for_runtime","no",IF(OR($AY80="context_with_coverage_gap",$AX80="exploratoria"),"ready_with_flags","ready")))</x:f>
      </x:c>
      <x:c r="BA80" s="81" t="str"/>
      <x:c r="BB80" s="81" t="str"/>
      <x:c r="BC80" s="81" t="str"/>
      <x:c r="BD80" s="81" t="str"/>
      <x:c r="BE80" s="81" t="str"/>
    </x:row>
    <x:row r="81">
      <x:c r="A81" s="81" t="str"/>
      <x:c r="B81" s="81" t="str"/>
      <x:c r="C81" s="81" t="str"/>
      <x:c r="D81" s="81" t="str"/>
      <x:c r="E81" s="81" t="str"/>
      <x:c r="F81" s="81" t="str"/>
      <x:c r="G81" s="81" t="str"/>
      <x:c r="H81" s="81" t="str"/>
      <x:c r="I81" s="81" t="str"/>
      <x:c r="J81" s="81" t="str"/>
      <x:c r="K81" s="81" t="str"/>
      <x:c r="L81" s="81" t="str"/>
      <x:c r="M81" s="81" t="str"/>
      <x:c r="N81" s="81" t="str"/>
      <x:c r="O81" s="81" t="str"/>
      <x:c r="P81" s="81" t="str"/>
      <x:c r="Q81" s="81" t="str"/>
      <x:c r="R81" s="81" t="str"/>
      <x:c r="S81" s="82" t="str"/>
      <x:c r="T81" s="82" t="str"/>
      <x:c r="U81" s="82" t="str"/>
      <x:c r="V81" s="82" t="str"/>
      <x:c r="W81" s="82" t="str"/>
      <x:c r="X81" s="82" t="str"/>
      <x:c r="Y81" s="82" t="str"/>
      <x:c r="Z81" s="82" t="str"/>
      <x:c r="AA81" s="82" t="str"/>
      <x:c r="AB81" s="82" t="str"/>
      <x:c r="AC81" s="82" t="str"/>
      <x:c r="AD81" s="82" t="str"/>
      <x:c r="AE81" s="82" t="str"/>
      <x:c r="AF81" s="82" t="str"/>
      <x:c r="AG81" s="82" t="str"/>
      <x:c r="AH81" s="82" t="str"/>
      <x:c r="AI81" s="81" t="str"/>
      <x:c r="AJ81" s="81" t="str"/>
      <x:c r="AK81" s="81" t="str">
        <x:f>IF($E81="","",IF(AND($M81="yes",OR($N81="yes",$N81="review"),OR($O81="yes",$O81="review"),$P81="fit",OR($Q81="unique",$Q81="alias_review"),$R81&lt;&gt;"context_only"),"pass","review/block"))</x:f>
      </x:c>
      <x:c r="AL81" s="81" t="str">
        <x:f>IF($E81="","",IF($AK81="pass","eligible",IF(OR($M81="no",$O81="no",$P81="too_macro",$P81="too_micro",$P81="context_only",$Q81="duplicate_confirmed",$R81="context_only"),"not_eligible","review")))</x:f>
      </x:c>
      <x:c r="AM81" s="81" t="str">
        <x:f>IF($E81="","",IF($C81=0,"reentry_required",IF($C81&lt;=8,"non_competitive_inclusion","competitive_selection")))</x:f>
      </x:c>
      <x:c r="AN81" s="82" t="str">
        <x:f>IF($E81="","",AVERAGE($U81:$X81))</x:f>
      </x:c>
      <x:c r="AO81" s="82" t="str">
        <x:f>IF($E81="","",AVERAGE($S81:$T81))</x:f>
      </x:c>
      <x:c r="AP81" s="82" t="str">
        <x:f>IF($E81="","",($AF81*0.08)+($AG81*0.08)+($AH81*0.10))</x:f>
      </x:c>
      <x:c r="AQ81" s="82" t="str">
        <x:f>IF($E81="","",MAX(0,($AN81*0.30)+($Y81*0.20)+($Z81*0.15)+($AA81*0.15)+($AB81*0.10)+($AC81*0.10)+($AE81*0.05)-$AP81))</x:f>
      </x:c>
      <x:c r="AR81" s="81" t="str">
        <x:f>IF($E81="","",IF($AM81="competitive_selection",RANK.EQ($AQ81,$AQ$2:$AQ$201,0),""))</x:f>
      </x:c>
      <x:c r="AS81" s="81" t="str">
        <x:f>IF($E81="","",IF(AND($AM81="non_competitive_inclusion",$AL81="eligible"),"selected",""))</x:f>
      </x:c>
      <x:c r="AT81" s="81" t="str">
        <x:f>IF($E81="","",IF($AM81&lt;&gt;"competitive_selection","",IF(AND($AL81="eligible",$AR81&lt;=8),"selected","context/backlog")))</x:f>
      </x:c>
      <x:c r="AU81" s="81" t="str">
        <x:f>IF($E81="","",IF($AM81="reentry_required","not_selected_reentry",IF($AS81="selected","selected_for_runtime",IF($AT81="selected","selected_for_runtime",IF($AL81="review","manual_review","context_or_not_selected")))))</x:f>
      </x:c>
      <x:c r="AV81" s="81" t="str">
        <x:f>IF($E81="","",IF($AU81="selected_for_runtime",IF($AM81="competitive_selection",$AR81,COUNTIF($AU$2:AU81,"selected_for_runtime")),""))</x:f>
      </x:c>
      <x:c r="AW81" s="81" t="str">
        <x:f>IF($E81="","",IF($AU81="selected_for_runtime",IF($AD81&gt;=2,"base_40_plus_uncertainty_probes",IF($AE81&gt;=2,"base_40_plus_exploratory_probes","base_40_standard")),"no_runtime"))</x:f>
      </x:c>
      <x:c r="AX81" s="81" t="str">
        <x:f>IF($E81="","",IF($AU81&lt;&gt;"selected_for_runtime","none",IF($AE81&gt;=2,"exploratoria",IF($AQ81&gt;=2.2,"alta",IF($AQ81&gt;=1.2,"media","baja")))))</x:f>
      </x:c>
      <x:c r="AY81" s="81" t="str">
        <x:f>IF($E81="","",IF($AJ81=TRUE,"context_with_coverage_gap",IF($AI81="review","context_requires_confirmation","context_ready")))</x:f>
      </x:c>
      <x:c r="AZ81" s="81" t="str">
        <x:f>IF($E81="","",IF($AU81&lt;&gt;"selected_for_runtime","no",IF(OR($AY81="context_with_coverage_gap",$AX81="exploratoria"),"ready_with_flags","ready")))</x:f>
      </x:c>
      <x:c r="BA81" s="81" t="str"/>
      <x:c r="BB81" s="81" t="str"/>
      <x:c r="BC81" s="81" t="str"/>
      <x:c r="BD81" s="81" t="str"/>
      <x:c r="BE81" s="81" t="str"/>
    </x:row>
    <x:row r="82">
      <x:c r="A82" s="81" t="str"/>
      <x:c r="B82" s="81" t="str"/>
      <x:c r="C82" s="81" t="str"/>
      <x:c r="D82" s="81" t="str"/>
      <x:c r="E82" s="81" t="str"/>
      <x:c r="F82" s="81" t="str"/>
      <x:c r="G82" s="81" t="str"/>
      <x:c r="H82" s="81" t="str"/>
      <x:c r="I82" s="81" t="str"/>
      <x:c r="J82" s="81" t="str"/>
      <x:c r="K82" s="81" t="str"/>
      <x:c r="L82" s="81" t="str"/>
      <x:c r="M82" s="81" t="str"/>
      <x:c r="N82" s="81" t="str"/>
      <x:c r="O82" s="81" t="str"/>
      <x:c r="P82" s="81" t="str"/>
      <x:c r="Q82" s="81" t="str"/>
      <x:c r="R82" s="81" t="str"/>
      <x:c r="S82" s="82" t="str"/>
      <x:c r="T82" s="82" t="str"/>
      <x:c r="U82" s="82" t="str"/>
      <x:c r="V82" s="82" t="str"/>
      <x:c r="W82" s="82" t="str"/>
      <x:c r="X82" s="82" t="str"/>
      <x:c r="Y82" s="82" t="str"/>
      <x:c r="Z82" s="82" t="str"/>
      <x:c r="AA82" s="82" t="str"/>
      <x:c r="AB82" s="82" t="str"/>
      <x:c r="AC82" s="82" t="str"/>
      <x:c r="AD82" s="82" t="str"/>
      <x:c r="AE82" s="82" t="str"/>
      <x:c r="AF82" s="82" t="str"/>
      <x:c r="AG82" s="82" t="str"/>
      <x:c r="AH82" s="82" t="str"/>
      <x:c r="AI82" s="81" t="str"/>
      <x:c r="AJ82" s="81" t="str"/>
      <x:c r="AK82" s="81" t="str">
        <x:f>IF($E82="","",IF(AND($M82="yes",OR($N82="yes",$N82="review"),OR($O82="yes",$O82="review"),$P82="fit",OR($Q82="unique",$Q82="alias_review"),$R82&lt;&gt;"context_only"),"pass","review/block"))</x:f>
      </x:c>
      <x:c r="AL82" s="81" t="str">
        <x:f>IF($E82="","",IF($AK82="pass","eligible",IF(OR($M82="no",$O82="no",$P82="too_macro",$P82="too_micro",$P82="context_only",$Q82="duplicate_confirmed",$R82="context_only"),"not_eligible","review")))</x:f>
      </x:c>
      <x:c r="AM82" s="81" t="str">
        <x:f>IF($E82="","",IF($C82=0,"reentry_required",IF($C82&lt;=8,"non_competitive_inclusion","competitive_selection")))</x:f>
      </x:c>
      <x:c r="AN82" s="82" t="str">
        <x:f>IF($E82="","",AVERAGE($U82:$X82))</x:f>
      </x:c>
      <x:c r="AO82" s="82" t="str">
        <x:f>IF($E82="","",AVERAGE($S82:$T82))</x:f>
      </x:c>
      <x:c r="AP82" s="82" t="str">
        <x:f>IF($E82="","",($AF82*0.08)+($AG82*0.08)+($AH82*0.10))</x:f>
      </x:c>
      <x:c r="AQ82" s="82" t="str">
        <x:f>IF($E82="","",MAX(0,($AN82*0.30)+($Y82*0.20)+($Z82*0.15)+($AA82*0.15)+($AB82*0.10)+($AC82*0.10)+($AE82*0.05)-$AP82))</x:f>
      </x:c>
      <x:c r="AR82" s="81" t="str">
        <x:f>IF($E82="","",IF($AM82="competitive_selection",RANK.EQ($AQ82,$AQ$2:$AQ$201,0),""))</x:f>
      </x:c>
      <x:c r="AS82" s="81" t="str">
        <x:f>IF($E82="","",IF(AND($AM82="non_competitive_inclusion",$AL82="eligible"),"selected",""))</x:f>
      </x:c>
      <x:c r="AT82" s="81" t="str">
        <x:f>IF($E82="","",IF($AM82&lt;&gt;"competitive_selection","",IF(AND($AL82="eligible",$AR82&lt;=8),"selected","context/backlog")))</x:f>
      </x:c>
      <x:c r="AU82" s="81" t="str">
        <x:f>IF($E82="","",IF($AM82="reentry_required","not_selected_reentry",IF($AS82="selected","selected_for_runtime",IF($AT82="selected","selected_for_runtime",IF($AL82="review","manual_review","context_or_not_selected")))))</x:f>
      </x:c>
      <x:c r="AV82" s="81" t="str">
        <x:f>IF($E82="","",IF($AU82="selected_for_runtime",IF($AM82="competitive_selection",$AR82,COUNTIF($AU$2:AU82,"selected_for_runtime")),""))</x:f>
      </x:c>
      <x:c r="AW82" s="81" t="str">
        <x:f>IF($E82="","",IF($AU82="selected_for_runtime",IF($AD82&gt;=2,"base_40_plus_uncertainty_probes",IF($AE82&gt;=2,"base_40_plus_exploratory_probes","base_40_standard")),"no_runtime"))</x:f>
      </x:c>
      <x:c r="AX82" s="81" t="str">
        <x:f>IF($E82="","",IF($AU82&lt;&gt;"selected_for_runtime","none",IF($AE82&gt;=2,"exploratoria",IF($AQ82&gt;=2.2,"alta",IF($AQ82&gt;=1.2,"media","baja")))))</x:f>
      </x:c>
      <x:c r="AY82" s="81" t="str">
        <x:f>IF($E82="","",IF($AJ82=TRUE,"context_with_coverage_gap",IF($AI82="review","context_requires_confirmation","context_ready")))</x:f>
      </x:c>
      <x:c r="AZ82" s="81" t="str">
        <x:f>IF($E82="","",IF($AU82&lt;&gt;"selected_for_runtime","no",IF(OR($AY82="context_with_coverage_gap",$AX82="exploratoria"),"ready_with_flags","ready")))</x:f>
      </x:c>
      <x:c r="BA82" s="81" t="str"/>
      <x:c r="BB82" s="81" t="str"/>
      <x:c r="BC82" s="81" t="str"/>
      <x:c r="BD82" s="81" t="str"/>
      <x:c r="BE82" s="81" t="str"/>
    </x:row>
    <x:row r="83">
      <x:c r="A83" s="81" t="str"/>
      <x:c r="B83" s="81" t="str"/>
      <x:c r="C83" s="81" t="str"/>
      <x:c r="D83" s="81" t="str"/>
      <x:c r="E83" s="81" t="str"/>
      <x:c r="F83" s="81" t="str"/>
      <x:c r="G83" s="81" t="str"/>
      <x:c r="H83" s="81" t="str"/>
      <x:c r="I83" s="81" t="str"/>
      <x:c r="J83" s="81" t="str"/>
      <x:c r="K83" s="81" t="str"/>
      <x:c r="L83" s="81" t="str"/>
      <x:c r="M83" s="81" t="str"/>
      <x:c r="N83" s="81" t="str"/>
      <x:c r="O83" s="81" t="str"/>
      <x:c r="P83" s="81" t="str"/>
      <x:c r="Q83" s="81" t="str"/>
      <x:c r="R83" s="81" t="str"/>
      <x:c r="S83" s="82" t="str"/>
      <x:c r="T83" s="82" t="str"/>
      <x:c r="U83" s="82" t="str"/>
      <x:c r="V83" s="82" t="str"/>
      <x:c r="W83" s="82" t="str"/>
      <x:c r="X83" s="82" t="str"/>
      <x:c r="Y83" s="82" t="str"/>
      <x:c r="Z83" s="82" t="str"/>
      <x:c r="AA83" s="82" t="str"/>
      <x:c r="AB83" s="82" t="str"/>
      <x:c r="AC83" s="82" t="str"/>
      <x:c r="AD83" s="82" t="str"/>
      <x:c r="AE83" s="82" t="str"/>
      <x:c r="AF83" s="82" t="str"/>
      <x:c r="AG83" s="82" t="str"/>
      <x:c r="AH83" s="82" t="str"/>
      <x:c r="AI83" s="81" t="str"/>
      <x:c r="AJ83" s="81" t="str"/>
      <x:c r="AK83" s="81" t="str">
        <x:f>IF($E83="","",IF(AND($M83="yes",OR($N83="yes",$N83="review"),OR($O83="yes",$O83="review"),$P83="fit",OR($Q83="unique",$Q83="alias_review"),$R83&lt;&gt;"context_only"),"pass","review/block"))</x:f>
      </x:c>
      <x:c r="AL83" s="81" t="str">
        <x:f>IF($E83="","",IF($AK83="pass","eligible",IF(OR($M83="no",$O83="no",$P83="too_macro",$P83="too_micro",$P83="context_only",$Q83="duplicate_confirmed",$R83="context_only"),"not_eligible","review")))</x:f>
      </x:c>
      <x:c r="AM83" s="81" t="str">
        <x:f>IF($E83="","",IF($C83=0,"reentry_required",IF($C83&lt;=8,"non_competitive_inclusion","competitive_selection")))</x:f>
      </x:c>
      <x:c r="AN83" s="82" t="str">
        <x:f>IF($E83="","",AVERAGE($U83:$X83))</x:f>
      </x:c>
      <x:c r="AO83" s="82" t="str">
        <x:f>IF($E83="","",AVERAGE($S83:$T83))</x:f>
      </x:c>
      <x:c r="AP83" s="82" t="str">
        <x:f>IF($E83="","",($AF83*0.08)+($AG83*0.08)+($AH83*0.10))</x:f>
      </x:c>
      <x:c r="AQ83" s="82" t="str">
        <x:f>IF($E83="","",MAX(0,($AN83*0.30)+($Y83*0.20)+($Z83*0.15)+($AA83*0.15)+($AB83*0.10)+($AC83*0.10)+($AE83*0.05)-$AP83))</x:f>
      </x:c>
      <x:c r="AR83" s="81" t="str">
        <x:f>IF($E83="","",IF($AM83="competitive_selection",RANK.EQ($AQ83,$AQ$2:$AQ$201,0),""))</x:f>
      </x:c>
      <x:c r="AS83" s="81" t="str">
        <x:f>IF($E83="","",IF(AND($AM83="non_competitive_inclusion",$AL83="eligible"),"selected",""))</x:f>
      </x:c>
      <x:c r="AT83" s="81" t="str">
        <x:f>IF($E83="","",IF($AM83&lt;&gt;"competitive_selection","",IF(AND($AL83="eligible",$AR83&lt;=8),"selected","context/backlog")))</x:f>
      </x:c>
      <x:c r="AU83" s="81" t="str">
        <x:f>IF($E83="","",IF($AM83="reentry_required","not_selected_reentry",IF($AS83="selected","selected_for_runtime",IF($AT83="selected","selected_for_runtime",IF($AL83="review","manual_review","context_or_not_selected")))))</x:f>
      </x:c>
      <x:c r="AV83" s="81" t="str">
        <x:f>IF($E83="","",IF($AU83="selected_for_runtime",IF($AM83="competitive_selection",$AR83,COUNTIF($AU$2:AU83,"selected_for_runtime")),""))</x:f>
      </x:c>
      <x:c r="AW83" s="81" t="str">
        <x:f>IF($E83="","",IF($AU83="selected_for_runtime",IF($AD83&gt;=2,"base_40_plus_uncertainty_probes",IF($AE83&gt;=2,"base_40_plus_exploratory_probes","base_40_standard")),"no_runtime"))</x:f>
      </x:c>
      <x:c r="AX83" s="81" t="str">
        <x:f>IF($E83="","",IF($AU83&lt;&gt;"selected_for_runtime","none",IF($AE83&gt;=2,"exploratoria",IF($AQ83&gt;=2.2,"alta",IF($AQ83&gt;=1.2,"media","baja")))))</x:f>
      </x:c>
      <x:c r="AY83" s="81" t="str">
        <x:f>IF($E83="","",IF($AJ83=TRUE,"context_with_coverage_gap",IF($AI83="review","context_requires_confirmation","context_ready")))</x:f>
      </x:c>
      <x:c r="AZ83" s="81" t="str">
        <x:f>IF($E83="","",IF($AU83&lt;&gt;"selected_for_runtime","no",IF(OR($AY83="context_with_coverage_gap",$AX83="exploratoria"),"ready_with_flags","ready")))</x:f>
      </x:c>
      <x:c r="BA83" s="81" t="str"/>
      <x:c r="BB83" s="81" t="str"/>
      <x:c r="BC83" s="81" t="str"/>
      <x:c r="BD83" s="81" t="str"/>
      <x:c r="BE83" s="81" t="str"/>
    </x:row>
    <x:row r="84">
      <x:c r="A84" s="81" t="str"/>
      <x:c r="B84" s="81" t="str"/>
      <x:c r="C84" s="81" t="str"/>
      <x:c r="D84" s="81" t="str"/>
      <x:c r="E84" s="81" t="str"/>
      <x:c r="F84" s="81" t="str"/>
      <x:c r="G84" s="81" t="str"/>
      <x:c r="H84" s="81" t="str"/>
      <x:c r="I84" s="81" t="str"/>
      <x:c r="J84" s="81" t="str"/>
      <x:c r="K84" s="81" t="str"/>
      <x:c r="L84" s="81" t="str"/>
      <x:c r="M84" s="81" t="str"/>
      <x:c r="N84" s="81" t="str"/>
      <x:c r="O84" s="81" t="str"/>
      <x:c r="P84" s="81" t="str"/>
      <x:c r="Q84" s="81" t="str"/>
      <x:c r="R84" s="81" t="str"/>
      <x:c r="S84" s="82" t="str"/>
      <x:c r="T84" s="82" t="str"/>
      <x:c r="U84" s="82" t="str"/>
      <x:c r="V84" s="82" t="str"/>
      <x:c r="W84" s="82" t="str"/>
      <x:c r="X84" s="82" t="str"/>
      <x:c r="Y84" s="82" t="str"/>
      <x:c r="Z84" s="82" t="str"/>
      <x:c r="AA84" s="82" t="str"/>
      <x:c r="AB84" s="82" t="str"/>
      <x:c r="AC84" s="82" t="str"/>
      <x:c r="AD84" s="82" t="str"/>
      <x:c r="AE84" s="82" t="str"/>
      <x:c r="AF84" s="82" t="str"/>
      <x:c r="AG84" s="82" t="str"/>
      <x:c r="AH84" s="82" t="str"/>
      <x:c r="AI84" s="81" t="str"/>
      <x:c r="AJ84" s="81" t="str"/>
      <x:c r="AK84" s="81" t="str">
        <x:f>IF($E84="","",IF(AND($M84="yes",OR($N84="yes",$N84="review"),OR($O84="yes",$O84="review"),$P84="fit",OR($Q84="unique",$Q84="alias_review"),$R84&lt;&gt;"context_only"),"pass","review/block"))</x:f>
      </x:c>
      <x:c r="AL84" s="81" t="str">
        <x:f>IF($E84="","",IF($AK84="pass","eligible",IF(OR($M84="no",$O84="no",$P84="too_macro",$P84="too_micro",$P84="context_only",$Q84="duplicate_confirmed",$R84="context_only"),"not_eligible","review")))</x:f>
      </x:c>
      <x:c r="AM84" s="81" t="str">
        <x:f>IF($E84="","",IF($C84=0,"reentry_required",IF($C84&lt;=8,"non_competitive_inclusion","competitive_selection")))</x:f>
      </x:c>
      <x:c r="AN84" s="82" t="str">
        <x:f>IF($E84="","",AVERAGE($U84:$X84))</x:f>
      </x:c>
      <x:c r="AO84" s="82" t="str">
        <x:f>IF($E84="","",AVERAGE($S84:$T84))</x:f>
      </x:c>
      <x:c r="AP84" s="82" t="str">
        <x:f>IF($E84="","",($AF84*0.08)+($AG84*0.08)+($AH84*0.10))</x:f>
      </x:c>
      <x:c r="AQ84" s="82" t="str">
        <x:f>IF($E84="","",MAX(0,($AN84*0.30)+($Y84*0.20)+($Z84*0.15)+($AA84*0.15)+($AB84*0.10)+($AC84*0.10)+($AE84*0.05)-$AP84))</x:f>
      </x:c>
      <x:c r="AR84" s="81" t="str">
        <x:f>IF($E84="","",IF($AM84="competitive_selection",RANK.EQ($AQ84,$AQ$2:$AQ$201,0),""))</x:f>
      </x:c>
      <x:c r="AS84" s="81" t="str">
        <x:f>IF($E84="","",IF(AND($AM84="non_competitive_inclusion",$AL84="eligible"),"selected",""))</x:f>
      </x:c>
      <x:c r="AT84" s="81" t="str">
        <x:f>IF($E84="","",IF($AM84&lt;&gt;"competitive_selection","",IF(AND($AL84="eligible",$AR84&lt;=8),"selected","context/backlog")))</x:f>
      </x:c>
      <x:c r="AU84" s="81" t="str">
        <x:f>IF($E84="","",IF($AM84="reentry_required","not_selected_reentry",IF($AS84="selected","selected_for_runtime",IF($AT84="selected","selected_for_runtime",IF($AL84="review","manual_review","context_or_not_selected")))))</x:f>
      </x:c>
      <x:c r="AV84" s="81" t="str">
        <x:f>IF($E84="","",IF($AU84="selected_for_runtime",IF($AM84="competitive_selection",$AR84,COUNTIF($AU$2:AU84,"selected_for_runtime")),""))</x:f>
      </x:c>
      <x:c r="AW84" s="81" t="str">
        <x:f>IF($E84="","",IF($AU84="selected_for_runtime",IF($AD84&gt;=2,"base_40_plus_uncertainty_probes",IF($AE84&gt;=2,"base_40_plus_exploratory_probes","base_40_standard")),"no_runtime"))</x:f>
      </x:c>
      <x:c r="AX84" s="81" t="str">
        <x:f>IF($E84="","",IF($AU84&lt;&gt;"selected_for_runtime","none",IF($AE84&gt;=2,"exploratoria",IF($AQ84&gt;=2.2,"alta",IF($AQ84&gt;=1.2,"media","baja")))))</x:f>
      </x:c>
      <x:c r="AY84" s="81" t="str">
        <x:f>IF($E84="","",IF($AJ84=TRUE,"context_with_coverage_gap",IF($AI84="review","context_requires_confirmation","context_ready")))</x:f>
      </x:c>
      <x:c r="AZ84" s="81" t="str">
        <x:f>IF($E84="","",IF($AU84&lt;&gt;"selected_for_runtime","no",IF(OR($AY84="context_with_coverage_gap",$AX84="exploratoria"),"ready_with_flags","ready")))</x:f>
      </x:c>
      <x:c r="BA84" s="81" t="str"/>
      <x:c r="BB84" s="81" t="str"/>
      <x:c r="BC84" s="81" t="str"/>
      <x:c r="BD84" s="81" t="str"/>
      <x:c r="BE84" s="81" t="str"/>
    </x:row>
    <x:row r="85">
      <x:c r="A85" s="81" t="str"/>
      <x:c r="B85" s="81" t="str"/>
      <x:c r="C85" s="81" t="str"/>
      <x:c r="D85" s="81" t="str"/>
      <x:c r="E85" s="81" t="str"/>
      <x:c r="F85" s="81" t="str"/>
      <x:c r="G85" s="81" t="str"/>
      <x:c r="H85" s="81" t="str"/>
      <x:c r="I85" s="81" t="str"/>
      <x:c r="J85" s="81" t="str"/>
      <x:c r="K85" s="81" t="str"/>
      <x:c r="L85" s="81" t="str"/>
      <x:c r="M85" s="81" t="str"/>
      <x:c r="N85" s="81" t="str"/>
      <x:c r="O85" s="81" t="str"/>
      <x:c r="P85" s="81" t="str"/>
      <x:c r="Q85" s="81" t="str"/>
      <x:c r="R85" s="81" t="str"/>
      <x:c r="S85" s="82" t="str"/>
      <x:c r="T85" s="82" t="str"/>
      <x:c r="U85" s="82" t="str"/>
      <x:c r="V85" s="82" t="str"/>
      <x:c r="W85" s="82" t="str"/>
      <x:c r="X85" s="82" t="str"/>
      <x:c r="Y85" s="82" t="str"/>
      <x:c r="Z85" s="82" t="str"/>
      <x:c r="AA85" s="82" t="str"/>
      <x:c r="AB85" s="82" t="str"/>
      <x:c r="AC85" s="82" t="str"/>
      <x:c r="AD85" s="82" t="str"/>
      <x:c r="AE85" s="82" t="str"/>
      <x:c r="AF85" s="82" t="str"/>
      <x:c r="AG85" s="82" t="str"/>
      <x:c r="AH85" s="82" t="str"/>
      <x:c r="AI85" s="81" t="str"/>
      <x:c r="AJ85" s="81" t="str"/>
      <x:c r="AK85" s="81" t="str">
        <x:f>IF($E85="","",IF(AND($M85="yes",OR($N85="yes",$N85="review"),OR($O85="yes",$O85="review"),$P85="fit",OR($Q85="unique",$Q85="alias_review"),$R85&lt;&gt;"context_only"),"pass","review/block"))</x:f>
      </x:c>
      <x:c r="AL85" s="81" t="str">
        <x:f>IF($E85="","",IF($AK85="pass","eligible",IF(OR($M85="no",$O85="no",$P85="too_macro",$P85="too_micro",$P85="context_only",$Q85="duplicate_confirmed",$R85="context_only"),"not_eligible","review")))</x:f>
      </x:c>
      <x:c r="AM85" s="81" t="str">
        <x:f>IF($E85="","",IF($C85=0,"reentry_required",IF($C85&lt;=8,"non_competitive_inclusion","competitive_selection")))</x:f>
      </x:c>
      <x:c r="AN85" s="82" t="str">
        <x:f>IF($E85="","",AVERAGE($U85:$X85))</x:f>
      </x:c>
      <x:c r="AO85" s="82" t="str">
        <x:f>IF($E85="","",AVERAGE($S85:$T85))</x:f>
      </x:c>
      <x:c r="AP85" s="82" t="str">
        <x:f>IF($E85="","",($AF85*0.08)+($AG85*0.08)+($AH85*0.10))</x:f>
      </x:c>
      <x:c r="AQ85" s="82" t="str">
        <x:f>IF($E85="","",MAX(0,($AN85*0.30)+($Y85*0.20)+($Z85*0.15)+($AA85*0.15)+($AB85*0.10)+($AC85*0.10)+($AE85*0.05)-$AP85))</x:f>
      </x:c>
      <x:c r="AR85" s="81" t="str">
        <x:f>IF($E85="","",IF($AM85="competitive_selection",RANK.EQ($AQ85,$AQ$2:$AQ$201,0),""))</x:f>
      </x:c>
      <x:c r="AS85" s="81" t="str">
        <x:f>IF($E85="","",IF(AND($AM85="non_competitive_inclusion",$AL85="eligible"),"selected",""))</x:f>
      </x:c>
      <x:c r="AT85" s="81" t="str">
        <x:f>IF($E85="","",IF($AM85&lt;&gt;"competitive_selection","",IF(AND($AL85="eligible",$AR85&lt;=8),"selected","context/backlog")))</x:f>
      </x:c>
      <x:c r="AU85" s="81" t="str">
        <x:f>IF($E85="","",IF($AM85="reentry_required","not_selected_reentry",IF($AS85="selected","selected_for_runtime",IF($AT85="selected","selected_for_runtime",IF($AL85="review","manual_review","context_or_not_selected")))))</x:f>
      </x:c>
      <x:c r="AV85" s="81" t="str">
        <x:f>IF($E85="","",IF($AU85="selected_for_runtime",IF($AM85="competitive_selection",$AR85,COUNTIF($AU$2:AU85,"selected_for_runtime")),""))</x:f>
      </x:c>
      <x:c r="AW85" s="81" t="str">
        <x:f>IF($E85="","",IF($AU85="selected_for_runtime",IF($AD85&gt;=2,"base_40_plus_uncertainty_probes",IF($AE85&gt;=2,"base_40_plus_exploratory_probes","base_40_standard")),"no_runtime"))</x:f>
      </x:c>
      <x:c r="AX85" s="81" t="str">
        <x:f>IF($E85="","",IF($AU85&lt;&gt;"selected_for_runtime","none",IF($AE85&gt;=2,"exploratoria",IF($AQ85&gt;=2.2,"alta",IF($AQ85&gt;=1.2,"media","baja")))))</x:f>
      </x:c>
      <x:c r="AY85" s="81" t="str">
        <x:f>IF($E85="","",IF($AJ85=TRUE,"context_with_coverage_gap",IF($AI85="review","context_requires_confirmation","context_ready")))</x:f>
      </x:c>
      <x:c r="AZ85" s="81" t="str">
        <x:f>IF($E85="","",IF($AU85&lt;&gt;"selected_for_runtime","no",IF(OR($AY85="context_with_coverage_gap",$AX85="exploratoria"),"ready_with_flags","ready")))</x:f>
      </x:c>
      <x:c r="BA85" s="81" t="str"/>
      <x:c r="BB85" s="81" t="str"/>
      <x:c r="BC85" s="81" t="str"/>
      <x:c r="BD85" s="81" t="str"/>
      <x:c r="BE85" s="81" t="str"/>
    </x:row>
    <x:row r="86">
      <x:c r="A86" s="81" t="str"/>
      <x:c r="B86" s="81" t="str"/>
      <x:c r="C86" s="81" t="str"/>
      <x:c r="D86" s="81" t="str"/>
      <x:c r="E86" s="81" t="str"/>
      <x:c r="F86" s="81" t="str"/>
      <x:c r="G86" s="81" t="str"/>
      <x:c r="H86" s="81" t="str"/>
      <x:c r="I86" s="81" t="str"/>
      <x:c r="J86" s="81" t="str"/>
      <x:c r="K86" s="81" t="str"/>
      <x:c r="L86" s="81" t="str"/>
      <x:c r="M86" s="81" t="str"/>
      <x:c r="N86" s="81" t="str"/>
      <x:c r="O86" s="81" t="str"/>
      <x:c r="P86" s="81" t="str"/>
      <x:c r="Q86" s="81" t="str"/>
      <x:c r="R86" s="81" t="str"/>
      <x:c r="S86" s="82" t="str"/>
      <x:c r="T86" s="82" t="str"/>
      <x:c r="U86" s="82" t="str"/>
      <x:c r="V86" s="82" t="str"/>
      <x:c r="W86" s="82" t="str"/>
      <x:c r="X86" s="82" t="str"/>
      <x:c r="Y86" s="82" t="str"/>
      <x:c r="Z86" s="82" t="str"/>
      <x:c r="AA86" s="82" t="str"/>
      <x:c r="AB86" s="82" t="str"/>
      <x:c r="AC86" s="82" t="str"/>
      <x:c r="AD86" s="82" t="str"/>
      <x:c r="AE86" s="82" t="str"/>
      <x:c r="AF86" s="82" t="str"/>
      <x:c r="AG86" s="82" t="str"/>
      <x:c r="AH86" s="82" t="str"/>
      <x:c r="AI86" s="81" t="str"/>
      <x:c r="AJ86" s="81" t="str"/>
      <x:c r="AK86" s="81" t="str">
        <x:f>IF($E86="","",IF(AND($M86="yes",OR($N86="yes",$N86="review"),OR($O86="yes",$O86="review"),$P86="fit",OR($Q86="unique",$Q86="alias_review"),$R86&lt;&gt;"context_only"),"pass","review/block"))</x:f>
      </x:c>
      <x:c r="AL86" s="81" t="str">
        <x:f>IF($E86="","",IF($AK86="pass","eligible",IF(OR($M86="no",$O86="no",$P86="too_macro",$P86="too_micro",$P86="context_only",$Q86="duplicate_confirmed",$R86="context_only"),"not_eligible","review")))</x:f>
      </x:c>
      <x:c r="AM86" s="81" t="str">
        <x:f>IF($E86="","",IF($C86=0,"reentry_required",IF($C86&lt;=8,"non_competitive_inclusion","competitive_selection")))</x:f>
      </x:c>
      <x:c r="AN86" s="82" t="str">
        <x:f>IF($E86="","",AVERAGE($U86:$X86))</x:f>
      </x:c>
      <x:c r="AO86" s="82" t="str">
        <x:f>IF($E86="","",AVERAGE($S86:$T86))</x:f>
      </x:c>
      <x:c r="AP86" s="82" t="str">
        <x:f>IF($E86="","",($AF86*0.08)+($AG86*0.08)+($AH86*0.10))</x:f>
      </x:c>
      <x:c r="AQ86" s="82" t="str">
        <x:f>IF($E86="","",MAX(0,($AN86*0.30)+($Y86*0.20)+($Z86*0.15)+($AA86*0.15)+($AB86*0.10)+($AC86*0.10)+($AE86*0.05)-$AP86))</x:f>
      </x:c>
      <x:c r="AR86" s="81" t="str">
        <x:f>IF($E86="","",IF($AM86="competitive_selection",RANK.EQ($AQ86,$AQ$2:$AQ$201,0),""))</x:f>
      </x:c>
      <x:c r="AS86" s="81" t="str">
        <x:f>IF($E86="","",IF(AND($AM86="non_competitive_inclusion",$AL86="eligible"),"selected",""))</x:f>
      </x:c>
      <x:c r="AT86" s="81" t="str">
        <x:f>IF($E86="","",IF($AM86&lt;&gt;"competitive_selection","",IF(AND($AL86="eligible",$AR86&lt;=8),"selected","context/backlog")))</x:f>
      </x:c>
      <x:c r="AU86" s="81" t="str">
        <x:f>IF($E86="","",IF($AM86="reentry_required","not_selected_reentry",IF($AS86="selected","selected_for_runtime",IF($AT86="selected","selected_for_runtime",IF($AL86="review","manual_review","context_or_not_selected")))))</x:f>
      </x:c>
      <x:c r="AV86" s="81" t="str">
        <x:f>IF($E86="","",IF($AU86="selected_for_runtime",IF($AM86="competitive_selection",$AR86,COUNTIF($AU$2:AU86,"selected_for_runtime")),""))</x:f>
      </x:c>
      <x:c r="AW86" s="81" t="str">
        <x:f>IF($E86="","",IF($AU86="selected_for_runtime",IF($AD86&gt;=2,"base_40_plus_uncertainty_probes",IF($AE86&gt;=2,"base_40_plus_exploratory_probes","base_40_standard")),"no_runtime"))</x:f>
      </x:c>
      <x:c r="AX86" s="81" t="str">
        <x:f>IF($E86="","",IF($AU86&lt;&gt;"selected_for_runtime","none",IF($AE86&gt;=2,"exploratoria",IF($AQ86&gt;=2.2,"alta",IF($AQ86&gt;=1.2,"media","baja")))))</x:f>
      </x:c>
      <x:c r="AY86" s="81" t="str">
        <x:f>IF($E86="","",IF($AJ86=TRUE,"context_with_coverage_gap",IF($AI86="review","context_requires_confirmation","context_ready")))</x:f>
      </x:c>
      <x:c r="AZ86" s="81" t="str">
        <x:f>IF($E86="","",IF($AU86&lt;&gt;"selected_for_runtime","no",IF(OR($AY86="context_with_coverage_gap",$AX86="exploratoria"),"ready_with_flags","ready")))</x:f>
      </x:c>
      <x:c r="BA86" s="81" t="str"/>
      <x:c r="BB86" s="81" t="str"/>
      <x:c r="BC86" s="81" t="str"/>
      <x:c r="BD86" s="81" t="str"/>
      <x:c r="BE86" s="81" t="str"/>
    </x:row>
    <x:row r="87">
      <x:c r="A87" s="81" t="str"/>
      <x:c r="B87" s="81" t="str"/>
      <x:c r="C87" s="81" t="str"/>
      <x:c r="D87" s="81" t="str"/>
      <x:c r="E87" s="81" t="str"/>
      <x:c r="F87" s="81" t="str"/>
      <x:c r="G87" s="81" t="str"/>
      <x:c r="H87" s="81" t="str"/>
      <x:c r="I87" s="81" t="str"/>
      <x:c r="J87" s="81" t="str"/>
      <x:c r="K87" s="81" t="str"/>
      <x:c r="L87" s="81" t="str"/>
      <x:c r="M87" s="81" t="str"/>
      <x:c r="N87" s="81" t="str"/>
      <x:c r="O87" s="81" t="str"/>
      <x:c r="P87" s="81" t="str"/>
      <x:c r="Q87" s="81" t="str"/>
      <x:c r="R87" s="81" t="str"/>
      <x:c r="S87" s="82" t="str"/>
      <x:c r="T87" s="82" t="str"/>
      <x:c r="U87" s="82" t="str"/>
      <x:c r="V87" s="82" t="str"/>
      <x:c r="W87" s="82" t="str"/>
      <x:c r="X87" s="82" t="str"/>
      <x:c r="Y87" s="82" t="str"/>
      <x:c r="Z87" s="82" t="str"/>
      <x:c r="AA87" s="82" t="str"/>
      <x:c r="AB87" s="82" t="str"/>
      <x:c r="AC87" s="82" t="str"/>
      <x:c r="AD87" s="82" t="str"/>
      <x:c r="AE87" s="82" t="str"/>
      <x:c r="AF87" s="82" t="str"/>
      <x:c r="AG87" s="82" t="str"/>
      <x:c r="AH87" s="82" t="str"/>
      <x:c r="AI87" s="81" t="str"/>
      <x:c r="AJ87" s="81" t="str"/>
      <x:c r="AK87" s="81" t="str">
        <x:f>IF($E87="","",IF(AND($M87="yes",OR($N87="yes",$N87="review"),OR($O87="yes",$O87="review"),$P87="fit",OR($Q87="unique",$Q87="alias_review"),$R87&lt;&gt;"context_only"),"pass","review/block"))</x:f>
      </x:c>
      <x:c r="AL87" s="81" t="str">
        <x:f>IF($E87="","",IF($AK87="pass","eligible",IF(OR($M87="no",$O87="no",$P87="too_macro",$P87="too_micro",$P87="context_only",$Q87="duplicate_confirmed",$R87="context_only"),"not_eligible","review")))</x:f>
      </x:c>
      <x:c r="AM87" s="81" t="str">
        <x:f>IF($E87="","",IF($C87=0,"reentry_required",IF($C87&lt;=8,"non_competitive_inclusion","competitive_selection")))</x:f>
      </x:c>
      <x:c r="AN87" s="82" t="str">
        <x:f>IF($E87="","",AVERAGE($U87:$X87))</x:f>
      </x:c>
      <x:c r="AO87" s="82" t="str">
        <x:f>IF($E87="","",AVERAGE($S87:$T87))</x:f>
      </x:c>
      <x:c r="AP87" s="82" t="str">
        <x:f>IF($E87="","",($AF87*0.08)+($AG87*0.08)+($AH87*0.10))</x:f>
      </x:c>
      <x:c r="AQ87" s="82" t="str">
        <x:f>IF($E87="","",MAX(0,($AN87*0.30)+($Y87*0.20)+($Z87*0.15)+($AA87*0.15)+($AB87*0.10)+($AC87*0.10)+($AE87*0.05)-$AP87))</x:f>
      </x:c>
      <x:c r="AR87" s="81" t="str">
        <x:f>IF($E87="","",IF($AM87="competitive_selection",RANK.EQ($AQ87,$AQ$2:$AQ$201,0),""))</x:f>
      </x:c>
      <x:c r="AS87" s="81" t="str">
        <x:f>IF($E87="","",IF(AND($AM87="non_competitive_inclusion",$AL87="eligible"),"selected",""))</x:f>
      </x:c>
      <x:c r="AT87" s="81" t="str">
        <x:f>IF($E87="","",IF($AM87&lt;&gt;"competitive_selection","",IF(AND($AL87="eligible",$AR87&lt;=8),"selected","context/backlog")))</x:f>
      </x:c>
      <x:c r="AU87" s="81" t="str">
        <x:f>IF($E87="","",IF($AM87="reentry_required","not_selected_reentry",IF($AS87="selected","selected_for_runtime",IF($AT87="selected","selected_for_runtime",IF($AL87="review","manual_review","context_or_not_selected")))))</x:f>
      </x:c>
      <x:c r="AV87" s="81" t="str">
        <x:f>IF($E87="","",IF($AU87="selected_for_runtime",IF($AM87="competitive_selection",$AR87,COUNTIF($AU$2:AU87,"selected_for_runtime")),""))</x:f>
      </x:c>
      <x:c r="AW87" s="81" t="str">
        <x:f>IF($E87="","",IF($AU87="selected_for_runtime",IF($AD87&gt;=2,"base_40_plus_uncertainty_probes",IF($AE87&gt;=2,"base_40_plus_exploratory_probes","base_40_standard")),"no_runtime"))</x:f>
      </x:c>
      <x:c r="AX87" s="81" t="str">
        <x:f>IF($E87="","",IF($AU87&lt;&gt;"selected_for_runtime","none",IF($AE87&gt;=2,"exploratoria",IF($AQ87&gt;=2.2,"alta",IF($AQ87&gt;=1.2,"media","baja")))))</x:f>
      </x:c>
      <x:c r="AY87" s="81" t="str">
        <x:f>IF($E87="","",IF($AJ87=TRUE,"context_with_coverage_gap",IF($AI87="review","context_requires_confirmation","context_ready")))</x:f>
      </x:c>
      <x:c r="AZ87" s="81" t="str">
        <x:f>IF($E87="","",IF($AU87&lt;&gt;"selected_for_runtime","no",IF(OR($AY87="context_with_coverage_gap",$AX87="exploratoria"),"ready_with_flags","ready")))</x:f>
      </x:c>
      <x:c r="BA87" s="81" t="str"/>
      <x:c r="BB87" s="81" t="str"/>
      <x:c r="BC87" s="81" t="str"/>
      <x:c r="BD87" s="81" t="str"/>
      <x:c r="BE87" s="81" t="str"/>
    </x:row>
    <x:row r="88">
      <x:c r="A88" s="81" t="str"/>
      <x:c r="B88" s="81" t="str"/>
      <x:c r="C88" s="81" t="str"/>
      <x:c r="D88" s="81" t="str"/>
      <x:c r="E88" s="81" t="str"/>
      <x:c r="F88" s="81" t="str"/>
      <x:c r="G88" s="81" t="str"/>
      <x:c r="H88" s="81" t="str"/>
      <x:c r="I88" s="81" t="str"/>
      <x:c r="J88" s="81" t="str"/>
      <x:c r="K88" s="81" t="str"/>
      <x:c r="L88" s="81" t="str"/>
      <x:c r="M88" s="81" t="str"/>
      <x:c r="N88" s="81" t="str"/>
      <x:c r="O88" s="81" t="str"/>
      <x:c r="P88" s="81" t="str"/>
      <x:c r="Q88" s="81" t="str"/>
      <x:c r="R88" s="81" t="str"/>
      <x:c r="S88" s="82" t="str"/>
      <x:c r="T88" s="82" t="str"/>
      <x:c r="U88" s="82" t="str"/>
      <x:c r="V88" s="82" t="str"/>
      <x:c r="W88" s="82" t="str"/>
      <x:c r="X88" s="82" t="str"/>
      <x:c r="Y88" s="82" t="str"/>
      <x:c r="Z88" s="82" t="str"/>
      <x:c r="AA88" s="82" t="str"/>
      <x:c r="AB88" s="82" t="str"/>
      <x:c r="AC88" s="82" t="str"/>
      <x:c r="AD88" s="82" t="str"/>
      <x:c r="AE88" s="82" t="str"/>
      <x:c r="AF88" s="82" t="str"/>
      <x:c r="AG88" s="82" t="str"/>
      <x:c r="AH88" s="82" t="str"/>
      <x:c r="AI88" s="81" t="str"/>
      <x:c r="AJ88" s="81" t="str"/>
      <x:c r="AK88" s="81" t="str">
        <x:f>IF($E88="","",IF(AND($M88="yes",OR($N88="yes",$N88="review"),OR($O88="yes",$O88="review"),$P88="fit",OR($Q88="unique",$Q88="alias_review"),$R88&lt;&gt;"context_only"),"pass","review/block"))</x:f>
      </x:c>
      <x:c r="AL88" s="81" t="str">
        <x:f>IF($E88="","",IF($AK88="pass","eligible",IF(OR($M88="no",$O88="no",$P88="too_macro",$P88="too_micro",$P88="context_only",$Q88="duplicate_confirmed",$R88="context_only"),"not_eligible","review")))</x:f>
      </x:c>
      <x:c r="AM88" s="81" t="str">
        <x:f>IF($E88="","",IF($C88=0,"reentry_required",IF($C88&lt;=8,"non_competitive_inclusion","competitive_selection")))</x:f>
      </x:c>
      <x:c r="AN88" s="82" t="str">
        <x:f>IF($E88="","",AVERAGE($U88:$X88))</x:f>
      </x:c>
      <x:c r="AO88" s="82" t="str">
        <x:f>IF($E88="","",AVERAGE($S88:$T88))</x:f>
      </x:c>
      <x:c r="AP88" s="82" t="str">
        <x:f>IF($E88="","",($AF88*0.08)+($AG88*0.08)+($AH88*0.10))</x:f>
      </x:c>
      <x:c r="AQ88" s="82" t="str">
        <x:f>IF($E88="","",MAX(0,($AN88*0.30)+($Y88*0.20)+($Z88*0.15)+($AA88*0.15)+($AB88*0.10)+($AC88*0.10)+($AE88*0.05)-$AP88))</x:f>
      </x:c>
      <x:c r="AR88" s="81" t="str">
        <x:f>IF($E88="","",IF($AM88="competitive_selection",RANK.EQ($AQ88,$AQ$2:$AQ$201,0),""))</x:f>
      </x:c>
      <x:c r="AS88" s="81" t="str">
        <x:f>IF($E88="","",IF(AND($AM88="non_competitive_inclusion",$AL88="eligible"),"selected",""))</x:f>
      </x:c>
      <x:c r="AT88" s="81" t="str">
        <x:f>IF($E88="","",IF($AM88&lt;&gt;"competitive_selection","",IF(AND($AL88="eligible",$AR88&lt;=8),"selected","context/backlog")))</x:f>
      </x:c>
      <x:c r="AU88" s="81" t="str">
        <x:f>IF($E88="","",IF($AM88="reentry_required","not_selected_reentry",IF($AS88="selected","selected_for_runtime",IF($AT88="selected","selected_for_runtime",IF($AL88="review","manual_review","context_or_not_selected")))))</x:f>
      </x:c>
      <x:c r="AV88" s="81" t="str">
        <x:f>IF($E88="","",IF($AU88="selected_for_runtime",IF($AM88="competitive_selection",$AR88,COUNTIF($AU$2:AU88,"selected_for_runtime")),""))</x:f>
      </x:c>
      <x:c r="AW88" s="81" t="str">
        <x:f>IF($E88="","",IF($AU88="selected_for_runtime",IF($AD88&gt;=2,"base_40_plus_uncertainty_probes",IF($AE88&gt;=2,"base_40_plus_exploratory_probes","base_40_standard")),"no_runtime"))</x:f>
      </x:c>
      <x:c r="AX88" s="81" t="str">
        <x:f>IF($E88="","",IF($AU88&lt;&gt;"selected_for_runtime","none",IF($AE88&gt;=2,"exploratoria",IF($AQ88&gt;=2.2,"alta",IF($AQ88&gt;=1.2,"media","baja")))))</x:f>
      </x:c>
      <x:c r="AY88" s="81" t="str">
        <x:f>IF($E88="","",IF($AJ88=TRUE,"context_with_coverage_gap",IF($AI88="review","context_requires_confirmation","context_ready")))</x:f>
      </x:c>
      <x:c r="AZ88" s="81" t="str">
        <x:f>IF($E88="","",IF($AU88&lt;&gt;"selected_for_runtime","no",IF(OR($AY88="context_with_coverage_gap",$AX88="exploratoria"),"ready_with_flags","ready")))</x:f>
      </x:c>
      <x:c r="BA88" s="81" t="str"/>
      <x:c r="BB88" s="81" t="str"/>
      <x:c r="BC88" s="81" t="str"/>
      <x:c r="BD88" s="81" t="str"/>
      <x:c r="BE88" s="81" t="str"/>
    </x:row>
    <x:row r="89">
      <x:c r="A89" s="81" t="str"/>
      <x:c r="B89" s="81" t="str"/>
      <x:c r="C89" s="81" t="str"/>
      <x:c r="D89" s="81" t="str"/>
      <x:c r="E89" s="81" t="str"/>
      <x:c r="F89" s="81" t="str"/>
      <x:c r="G89" s="81" t="str"/>
      <x:c r="H89" s="81" t="str"/>
      <x:c r="I89" s="81" t="str"/>
      <x:c r="J89" s="81" t="str"/>
      <x:c r="K89" s="81" t="str"/>
      <x:c r="L89" s="81" t="str"/>
      <x:c r="M89" s="81" t="str"/>
      <x:c r="N89" s="81" t="str"/>
      <x:c r="O89" s="81" t="str"/>
      <x:c r="P89" s="81" t="str"/>
      <x:c r="Q89" s="81" t="str"/>
      <x:c r="R89" s="81" t="str"/>
      <x:c r="S89" s="82" t="str"/>
      <x:c r="T89" s="82" t="str"/>
      <x:c r="U89" s="82" t="str"/>
      <x:c r="V89" s="82" t="str"/>
      <x:c r="W89" s="82" t="str"/>
      <x:c r="X89" s="82" t="str"/>
      <x:c r="Y89" s="82" t="str"/>
      <x:c r="Z89" s="82" t="str"/>
      <x:c r="AA89" s="82" t="str"/>
      <x:c r="AB89" s="82" t="str"/>
      <x:c r="AC89" s="82" t="str"/>
      <x:c r="AD89" s="82" t="str"/>
      <x:c r="AE89" s="82" t="str"/>
      <x:c r="AF89" s="82" t="str"/>
      <x:c r="AG89" s="82" t="str"/>
      <x:c r="AH89" s="82" t="str"/>
      <x:c r="AI89" s="81" t="str"/>
      <x:c r="AJ89" s="81" t="str"/>
      <x:c r="AK89" s="81" t="str">
        <x:f>IF($E89="","",IF(AND($M89="yes",OR($N89="yes",$N89="review"),OR($O89="yes",$O89="review"),$P89="fit",OR($Q89="unique",$Q89="alias_review"),$R89&lt;&gt;"context_only"),"pass","review/block"))</x:f>
      </x:c>
      <x:c r="AL89" s="81" t="str">
        <x:f>IF($E89="","",IF($AK89="pass","eligible",IF(OR($M89="no",$O89="no",$P89="too_macro",$P89="too_micro",$P89="context_only",$Q89="duplicate_confirmed",$R89="context_only"),"not_eligible","review")))</x:f>
      </x:c>
      <x:c r="AM89" s="81" t="str">
        <x:f>IF($E89="","",IF($C89=0,"reentry_required",IF($C89&lt;=8,"non_competitive_inclusion","competitive_selection")))</x:f>
      </x:c>
      <x:c r="AN89" s="82" t="str">
        <x:f>IF($E89="","",AVERAGE($U89:$X89))</x:f>
      </x:c>
      <x:c r="AO89" s="82" t="str">
        <x:f>IF($E89="","",AVERAGE($S89:$T89))</x:f>
      </x:c>
      <x:c r="AP89" s="82" t="str">
        <x:f>IF($E89="","",($AF89*0.08)+($AG89*0.08)+($AH89*0.10))</x:f>
      </x:c>
      <x:c r="AQ89" s="82" t="str">
        <x:f>IF($E89="","",MAX(0,($AN89*0.30)+($Y89*0.20)+($Z89*0.15)+($AA89*0.15)+($AB89*0.10)+($AC89*0.10)+($AE89*0.05)-$AP89))</x:f>
      </x:c>
      <x:c r="AR89" s="81" t="str">
        <x:f>IF($E89="","",IF($AM89="competitive_selection",RANK.EQ($AQ89,$AQ$2:$AQ$201,0),""))</x:f>
      </x:c>
      <x:c r="AS89" s="81" t="str">
        <x:f>IF($E89="","",IF(AND($AM89="non_competitive_inclusion",$AL89="eligible"),"selected",""))</x:f>
      </x:c>
      <x:c r="AT89" s="81" t="str">
        <x:f>IF($E89="","",IF($AM89&lt;&gt;"competitive_selection","",IF(AND($AL89="eligible",$AR89&lt;=8),"selected","context/backlog")))</x:f>
      </x:c>
      <x:c r="AU89" s="81" t="str">
        <x:f>IF($E89="","",IF($AM89="reentry_required","not_selected_reentry",IF($AS89="selected","selected_for_runtime",IF($AT89="selected","selected_for_runtime",IF($AL89="review","manual_review","context_or_not_selected")))))</x:f>
      </x:c>
      <x:c r="AV89" s="81" t="str">
        <x:f>IF($E89="","",IF($AU89="selected_for_runtime",IF($AM89="competitive_selection",$AR89,COUNTIF($AU$2:AU89,"selected_for_runtime")),""))</x:f>
      </x:c>
      <x:c r="AW89" s="81" t="str">
        <x:f>IF($E89="","",IF($AU89="selected_for_runtime",IF($AD89&gt;=2,"base_40_plus_uncertainty_probes",IF($AE89&gt;=2,"base_40_plus_exploratory_probes","base_40_standard")),"no_runtime"))</x:f>
      </x:c>
      <x:c r="AX89" s="81" t="str">
        <x:f>IF($E89="","",IF($AU89&lt;&gt;"selected_for_runtime","none",IF($AE89&gt;=2,"exploratoria",IF($AQ89&gt;=2.2,"alta",IF($AQ89&gt;=1.2,"media","baja")))))</x:f>
      </x:c>
      <x:c r="AY89" s="81" t="str">
        <x:f>IF($E89="","",IF($AJ89=TRUE,"context_with_coverage_gap",IF($AI89="review","context_requires_confirmation","context_ready")))</x:f>
      </x:c>
      <x:c r="AZ89" s="81" t="str">
        <x:f>IF($E89="","",IF($AU89&lt;&gt;"selected_for_runtime","no",IF(OR($AY89="context_with_coverage_gap",$AX89="exploratoria"),"ready_with_flags","ready")))</x:f>
      </x:c>
      <x:c r="BA89" s="81" t="str"/>
      <x:c r="BB89" s="81" t="str"/>
      <x:c r="BC89" s="81" t="str"/>
      <x:c r="BD89" s="81" t="str"/>
      <x:c r="BE89" s="81" t="str"/>
    </x:row>
    <x:row r="90">
      <x:c r="A90" s="81" t="str"/>
      <x:c r="B90" s="81" t="str"/>
      <x:c r="C90" s="81" t="str"/>
      <x:c r="D90" s="81" t="str"/>
      <x:c r="E90" s="81" t="str"/>
      <x:c r="F90" s="81" t="str"/>
      <x:c r="G90" s="81" t="str"/>
      <x:c r="H90" s="81" t="str"/>
      <x:c r="I90" s="81" t="str"/>
      <x:c r="J90" s="81" t="str"/>
      <x:c r="K90" s="81" t="str"/>
      <x:c r="L90" s="81" t="str"/>
      <x:c r="M90" s="81" t="str"/>
      <x:c r="N90" s="81" t="str"/>
      <x:c r="O90" s="81" t="str"/>
      <x:c r="P90" s="81" t="str"/>
      <x:c r="Q90" s="81" t="str"/>
      <x:c r="R90" s="81" t="str"/>
      <x:c r="S90" s="82" t="str"/>
      <x:c r="T90" s="82" t="str"/>
      <x:c r="U90" s="82" t="str"/>
      <x:c r="V90" s="82" t="str"/>
      <x:c r="W90" s="82" t="str"/>
      <x:c r="X90" s="82" t="str"/>
      <x:c r="Y90" s="82" t="str"/>
      <x:c r="Z90" s="82" t="str"/>
      <x:c r="AA90" s="82" t="str"/>
      <x:c r="AB90" s="82" t="str"/>
      <x:c r="AC90" s="82" t="str"/>
      <x:c r="AD90" s="82" t="str"/>
      <x:c r="AE90" s="82" t="str"/>
      <x:c r="AF90" s="82" t="str"/>
      <x:c r="AG90" s="82" t="str"/>
      <x:c r="AH90" s="82" t="str"/>
      <x:c r="AI90" s="81" t="str"/>
      <x:c r="AJ90" s="81" t="str"/>
      <x:c r="AK90" s="81" t="str">
        <x:f>IF($E90="","",IF(AND($M90="yes",OR($N90="yes",$N90="review"),OR($O90="yes",$O90="review"),$P90="fit",OR($Q90="unique",$Q90="alias_review"),$R90&lt;&gt;"context_only"),"pass","review/block"))</x:f>
      </x:c>
      <x:c r="AL90" s="81" t="str">
        <x:f>IF($E90="","",IF($AK90="pass","eligible",IF(OR($M90="no",$O90="no",$P90="too_macro",$P90="too_micro",$P90="context_only",$Q90="duplicate_confirmed",$R90="context_only"),"not_eligible","review")))</x:f>
      </x:c>
      <x:c r="AM90" s="81" t="str">
        <x:f>IF($E90="","",IF($C90=0,"reentry_required",IF($C90&lt;=8,"non_competitive_inclusion","competitive_selection")))</x:f>
      </x:c>
      <x:c r="AN90" s="82" t="str">
        <x:f>IF($E90="","",AVERAGE($U90:$X90))</x:f>
      </x:c>
      <x:c r="AO90" s="82" t="str">
        <x:f>IF($E90="","",AVERAGE($S90:$T90))</x:f>
      </x:c>
      <x:c r="AP90" s="82" t="str">
        <x:f>IF($E90="","",($AF90*0.08)+($AG90*0.08)+($AH90*0.10))</x:f>
      </x:c>
      <x:c r="AQ90" s="82" t="str">
        <x:f>IF($E90="","",MAX(0,($AN90*0.30)+($Y90*0.20)+($Z90*0.15)+($AA90*0.15)+($AB90*0.10)+($AC90*0.10)+($AE90*0.05)-$AP90))</x:f>
      </x:c>
      <x:c r="AR90" s="81" t="str">
        <x:f>IF($E90="","",IF($AM90="competitive_selection",RANK.EQ($AQ90,$AQ$2:$AQ$201,0),""))</x:f>
      </x:c>
      <x:c r="AS90" s="81" t="str">
        <x:f>IF($E90="","",IF(AND($AM90="non_competitive_inclusion",$AL90="eligible"),"selected",""))</x:f>
      </x:c>
      <x:c r="AT90" s="81" t="str">
        <x:f>IF($E90="","",IF($AM90&lt;&gt;"competitive_selection","",IF(AND($AL90="eligible",$AR90&lt;=8),"selected","context/backlog")))</x:f>
      </x:c>
      <x:c r="AU90" s="81" t="str">
        <x:f>IF($E90="","",IF($AM90="reentry_required","not_selected_reentry",IF($AS90="selected","selected_for_runtime",IF($AT90="selected","selected_for_runtime",IF($AL90="review","manual_review","context_or_not_selected")))))</x:f>
      </x:c>
      <x:c r="AV90" s="81" t="str">
        <x:f>IF($E90="","",IF($AU90="selected_for_runtime",IF($AM90="competitive_selection",$AR90,COUNTIF($AU$2:AU90,"selected_for_runtime")),""))</x:f>
      </x:c>
      <x:c r="AW90" s="81" t="str">
        <x:f>IF($E90="","",IF($AU90="selected_for_runtime",IF($AD90&gt;=2,"base_40_plus_uncertainty_probes",IF($AE90&gt;=2,"base_40_plus_exploratory_probes","base_40_standard")),"no_runtime"))</x:f>
      </x:c>
      <x:c r="AX90" s="81" t="str">
        <x:f>IF($E90="","",IF($AU90&lt;&gt;"selected_for_runtime","none",IF($AE90&gt;=2,"exploratoria",IF($AQ90&gt;=2.2,"alta",IF($AQ90&gt;=1.2,"media","baja")))))</x:f>
      </x:c>
      <x:c r="AY90" s="81" t="str">
        <x:f>IF($E90="","",IF($AJ90=TRUE,"context_with_coverage_gap",IF($AI90="review","context_requires_confirmation","context_ready")))</x:f>
      </x:c>
      <x:c r="AZ90" s="81" t="str">
        <x:f>IF($E90="","",IF($AU90&lt;&gt;"selected_for_runtime","no",IF(OR($AY90="context_with_coverage_gap",$AX90="exploratoria"),"ready_with_flags","ready")))</x:f>
      </x:c>
      <x:c r="BA90" s="81" t="str"/>
      <x:c r="BB90" s="81" t="str"/>
      <x:c r="BC90" s="81" t="str"/>
      <x:c r="BD90" s="81" t="str"/>
      <x:c r="BE90" s="81" t="str"/>
    </x:row>
    <x:row r="91">
      <x:c r="A91" s="81" t="str"/>
      <x:c r="B91" s="81" t="str"/>
      <x:c r="C91" s="81" t="str"/>
      <x:c r="D91" s="81" t="str"/>
      <x:c r="E91" s="81" t="str"/>
      <x:c r="F91" s="81" t="str"/>
      <x:c r="G91" s="81" t="str"/>
      <x:c r="H91" s="81" t="str"/>
      <x:c r="I91" s="81" t="str"/>
      <x:c r="J91" s="81" t="str"/>
      <x:c r="K91" s="81" t="str"/>
      <x:c r="L91" s="81" t="str"/>
      <x:c r="M91" s="81" t="str"/>
      <x:c r="N91" s="81" t="str"/>
      <x:c r="O91" s="81" t="str"/>
      <x:c r="P91" s="81" t="str"/>
      <x:c r="Q91" s="81" t="str"/>
      <x:c r="R91" s="81" t="str"/>
      <x:c r="S91" s="82" t="str"/>
      <x:c r="T91" s="82" t="str"/>
      <x:c r="U91" s="82" t="str"/>
      <x:c r="V91" s="82" t="str"/>
      <x:c r="W91" s="82" t="str"/>
      <x:c r="X91" s="82" t="str"/>
      <x:c r="Y91" s="82" t="str"/>
      <x:c r="Z91" s="82" t="str"/>
      <x:c r="AA91" s="82" t="str"/>
      <x:c r="AB91" s="82" t="str"/>
      <x:c r="AC91" s="82" t="str"/>
      <x:c r="AD91" s="82" t="str"/>
      <x:c r="AE91" s="82" t="str"/>
      <x:c r="AF91" s="82" t="str"/>
      <x:c r="AG91" s="82" t="str"/>
      <x:c r="AH91" s="82" t="str"/>
      <x:c r="AI91" s="81" t="str"/>
      <x:c r="AJ91" s="81" t="str"/>
      <x:c r="AK91" s="81" t="str">
        <x:f>IF($E91="","",IF(AND($M91="yes",OR($N91="yes",$N91="review"),OR($O91="yes",$O91="review"),$P91="fit",OR($Q91="unique",$Q91="alias_review"),$R91&lt;&gt;"context_only"),"pass","review/block"))</x:f>
      </x:c>
      <x:c r="AL91" s="81" t="str">
        <x:f>IF($E91="","",IF($AK91="pass","eligible",IF(OR($M91="no",$O91="no",$P91="too_macro",$P91="too_micro",$P91="context_only",$Q91="duplicate_confirmed",$R91="context_only"),"not_eligible","review")))</x:f>
      </x:c>
      <x:c r="AM91" s="81" t="str">
        <x:f>IF($E91="","",IF($C91=0,"reentry_required",IF($C91&lt;=8,"non_competitive_inclusion","competitive_selection")))</x:f>
      </x:c>
      <x:c r="AN91" s="82" t="str">
        <x:f>IF($E91="","",AVERAGE($U91:$X91))</x:f>
      </x:c>
      <x:c r="AO91" s="82" t="str">
        <x:f>IF($E91="","",AVERAGE($S91:$T91))</x:f>
      </x:c>
      <x:c r="AP91" s="82" t="str">
        <x:f>IF($E91="","",($AF91*0.08)+($AG91*0.08)+($AH91*0.10))</x:f>
      </x:c>
      <x:c r="AQ91" s="82" t="str">
        <x:f>IF($E91="","",MAX(0,($AN91*0.30)+($Y91*0.20)+($Z91*0.15)+($AA91*0.15)+($AB91*0.10)+($AC91*0.10)+($AE91*0.05)-$AP91))</x:f>
      </x:c>
      <x:c r="AR91" s="81" t="str">
        <x:f>IF($E91="","",IF($AM91="competitive_selection",RANK.EQ($AQ91,$AQ$2:$AQ$201,0),""))</x:f>
      </x:c>
      <x:c r="AS91" s="81" t="str">
        <x:f>IF($E91="","",IF(AND($AM91="non_competitive_inclusion",$AL91="eligible"),"selected",""))</x:f>
      </x:c>
      <x:c r="AT91" s="81" t="str">
        <x:f>IF($E91="","",IF($AM91&lt;&gt;"competitive_selection","",IF(AND($AL91="eligible",$AR91&lt;=8),"selected","context/backlog")))</x:f>
      </x:c>
      <x:c r="AU91" s="81" t="str">
        <x:f>IF($E91="","",IF($AM91="reentry_required","not_selected_reentry",IF($AS91="selected","selected_for_runtime",IF($AT91="selected","selected_for_runtime",IF($AL91="review","manual_review","context_or_not_selected")))))</x:f>
      </x:c>
      <x:c r="AV91" s="81" t="str">
        <x:f>IF($E91="","",IF($AU91="selected_for_runtime",IF($AM91="competitive_selection",$AR91,COUNTIF($AU$2:AU91,"selected_for_runtime")),""))</x:f>
      </x:c>
      <x:c r="AW91" s="81" t="str">
        <x:f>IF($E91="","",IF($AU91="selected_for_runtime",IF($AD91&gt;=2,"base_40_plus_uncertainty_probes",IF($AE91&gt;=2,"base_40_plus_exploratory_probes","base_40_standard")),"no_runtime"))</x:f>
      </x:c>
      <x:c r="AX91" s="81" t="str">
        <x:f>IF($E91="","",IF($AU91&lt;&gt;"selected_for_runtime","none",IF($AE91&gt;=2,"exploratoria",IF($AQ91&gt;=2.2,"alta",IF($AQ91&gt;=1.2,"media","baja")))))</x:f>
      </x:c>
      <x:c r="AY91" s="81" t="str">
        <x:f>IF($E91="","",IF($AJ91=TRUE,"context_with_coverage_gap",IF($AI91="review","context_requires_confirmation","context_ready")))</x:f>
      </x:c>
      <x:c r="AZ91" s="81" t="str">
        <x:f>IF($E91="","",IF($AU91&lt;&gt;"selected_for_runtime","no",IF(OR($AY91="context_with_coverage_gap",$AX91="exploratoria"),"ready_with_flags","ready")))</x:f>
      </x:c>
      <x:c r="BA91" s="81" t="str"/>
      <x:c r="BB91" s="81" t="str"/>
      <x:c r="BC91" s="81" t="str"/>
      <x:c r="BD91" s="81" t="str"/>
      <x:c r="BE91" s="81" t="str"/>
    </x:row>
    <x:row r="92">
      <x:c r="A92" s="81" t="str"/>
      <x:c r="B92" s="81" t="str"/>
      <x:c r="C92" s="81" t="str"/>
      <x:c r="D92" s="81" t="str"/>
      <x:c r="E92" s="81" t="str"/>
      <x:c r="F92" s="81" t="str"/>
      <x:c r="G92" s="81" t="str"/>
      <x:c r="H92" s="81" t="str"/>
      <x:c r="I92" s="81" t="str"/>
      <x:c r="J92" s="81" t="str"/>
      <x:c r="K92" s="81" t="str"/>
      <x:c r="L92" s="81" t="str"/>
      <x:c r="M92" s="81" t="str"/>
      <x:c r="N92" s="81" t="str"/>
      <x:c r="O92" s="81" t="str"/>
      <x:c r="P92" s="81" t="str"/>
      <x:c r="Q92" s="81" t="str"/>
      <x:c r="R92" s="81" t="str"/>
      <x:c r="S92" s="82" t="str"/>
      <x:c r="T92" s="82" t="str"/>
      <x:c r="U92" s="82" t="str"/>
      <x:c r="V92" s="82" t="str"/>
      <x:c r="W92" s="82" t="str"/>
      <x:c r="X92" s="82" t="str"/>
      <x:c r="Y92" s="82" t="str"/>
      <x:c r="Z92" s="82" t="str"/>
      <x:c r="AA92" s="82" t="str"/>
      <x:c r="AB92" s="82" t="str"/>
      <x:c r="AC92" s="82" t="str"/>
      <x:c r="AD92" s="82" t="str"/>
      <x:c r="AE92" s="82" t="str"/>
      <x:c r="AF92" s="82" t="str"/>
      <x:c r="AG92" s="82" t="str"/>
      <x:c r="AH92" s="82" t="str"/>
      <x:c r="AI92" s="81" t="str"/>
      <x:c r="AJ92" s="81" t="str"/>
      <x:c r="AK92" s="81" t="str">
        <x:f>IF($E92="","",IF(AND($M92="yes",OR($N92="yes",$N92="review"),OR($O92="yes",$O92="review"),$P92="fit",OR($Q92="unique",$Q92="alias_review"),$R92&lt;&gt;"context_only"),"pass","review/block"))</x:f>
      </x:c>
      <x:c r="AL92" s="81" t="str">
        <x:f>IF($E92="","",IF($AK92="pass","eligible",IF(OR($M92="no",$O92="no",$P92="too_macro",$P92="too_micro",$P92="context_only",$Q92="duplicate_confirmed",$R92="context_only"),"not_eligible","review")))</x:f>
      </x:c>
      <x:c r="AM92" s="81" t="str">
        <x:f>IF($E92="","",IF($C92=0,"reentry_required",IF($C92&lt;=8,"non_competitive_inclusion","competitive_selection")))</x:f>
      </x:c>
      <x:c r="AN92" s="82" t="str">
        <x:f>IF($E92="","",AVERAGE($U92:$X92))</x:f>
      </x:c>
      <x:c r="AO92" s="82" t="str">
        <x:f>IF($E92="","",AVERAGE($S92:$T92))</x:f>
      </x:c>
      <x:c r="AP92" s="82" t="str">
        <x:f>IF($E92="","",($AF92*0.08)+($AG92*0.08)+($AH92*0.10))</x:f>
      </x:c>
      <x:c r="AQ92" s="82" t="str">
        <x:f>IF($E92="","",MAX(0,($AN92*0.30)+($Y92*0.20)+($Z92*0.15)+($AA92*0.15)+($AB92*0.10)+($AC92*0.10)+($AE92*0.05)-$AP92))</x:f>
      </x:c>
      <x:c r="AR92" s="81" t="str">
        <x:f>IF($E92="","",IF($AM92="competitive_selection",RANK.EQ($AQ92,$AQ$2:$AQ$201,0),""))</x:f>
      </x:c>
      <x:c r="AS92" s="81" t="str">
        <x:f>IF($E92="","",IF(AND($AM92="non_competitive_inclusion",$AL92="eligible"),"selected",""))</x:f>
      </x:c>
      <x:c r="AT92" s="81" t="str">
        <x:f>IF($E92="","",IF($AM92&lt;&gt;"competitive_selection","",IF(AND($AL92="eligible",$AR92&lt;=8),"selected","context/backlog")))</x:f>
      </x:c>
      <x:c r="AU92" s="81" t="str">
        <x:f>IF($E92="","",IF($AM92="reentry_required","not_selected_reentry",IF($AS92="selected","selected_for_runtime",IF($AT92="selected","selected_for_runtime",IF($AL92="review","manual_review","context_or_not_selected")))))</x:f>
      </x:c>
      <x:c r="AV92" s="81" t="str">
        <x:f>IF($E92="","",IF($AU92="selected_for_runtime",IF($AM92="competitive_selection",$AR92,COUNTIF($AU$2:AU92,"selected_for_runtime")),""))</x:f>
      </x:c>
      <x:c r="AW92" s="81" t="str">
        <x:f>IF($E92="","",IF($AU92="selected_for_runtime",IF($AD92&gt;=2,"base_40_plus_uncertainty_probes",IF($AE92&gt;=2,"base_40_plus_exploratory_probes","base_40_standard")),"no_runtime"))</x:f>
      </x:c>
      <x:c r="AX92" s="81" t="str">
        <x:f>IF($E92="","",IF($AU92&lt;&gt;"selected_for_runtime","none",IF($AE92&gt;=2,"exploratoria",IF($AQ92&gt;=2.2,"alta",IF($AQ92&gt;=1.2,"media","baja")))))</x:f>
      </x:c>
      <x:c r="AY92" s="81" t="str">
        <x:f>IF($E92="","",IF($AJ92=TRUE,"context_with_coverage_gap",IF($AI92="review","context_requires_confirmation","context_ready")))</x:f>
      </x:c>
      <x:c r="AZ92" s="81" t="str">
        <x:f>IF($E92="","",IF($AU92&lt;&gt;"selected_for_runtime","no",IF(OR($AY92="context_with_coverage_gap",$AX92="exploratoria"),"ready_with_flags","ready")))</x:f>
      </x:c>
      <x:c r="BA92" s="81" t="str"/>
      <x:c r="BB92" s="81" t="str"/>
      <x:c r="BC92" s="81" t="str"/>
      <x:c r="BD92" s="81" t="str"/>
      <x:c r="BE92" s="81" t="str"/>
    </x:row>
    <x:row r="93">
      <x:c r="A93" s="81" t="str"/>
      <x:c r="B93" s="81" t="str"/>
      <x:c r="C93" s="81" t="str"/>
      <x:c r="D93" s="81" t="str"/>
      <x:c r="E93" s="81" t="str"/>
      <x:c r="F93" s="81" t="str"/>
      <x:c r="G93" s="81" t="str"/>
      <x:c r="H93" s="81" t="str"/>
      <x:c r="I93" s="81" t="str"/>
      <x:c r="J93" s="81" t="str"/>
      <x:c r="K93" s="81" t="str"/>
      <x:c r="L93" s="81" t="str"/>
      <x:c r="M93" s="81" t="str"/>
      <x:c r="N93" s="81" t="str"/>
      <x:c r="O93" s="81" t="str"/>
      <x:c r="P93" s="81" t="str"/>
      <x:c r="Q93" s="81" t="str"/>
      <x:c r="R93" s="81" t="str"/>
      <x:c r="S93" s="82" t="str"/>
      <x:c r="T93" s="82" t="str"/>
      <x:c r="U93" s="82" t="str"/>
      <x:c r="V93" s="82" t="str"/>
      <x:c r="W93" s="82" t="str"/>
      <x:c r="X93" s="82" t="str"/>
      <x:c r="Y93" s="82" t="str"/>
      <x:c r="Z93" s="82" t="str"/>
      <x:c r="AA93" s="82" t="str"/>
      <x:c r="AB93" s="82" t="str"/>
      <x:c r="AC93" s="82" t="str"/>
      <x:c r="AD93" s="82" t="str"/>
      <x:c r="AE93" s="82" t="str"/>
      <x:c r="AF93" s="82" t="str"/>
      <x:c r="AG93" s="82" t="str"/>
      <x:c r="AH93" s="82" t="str"/>
      <x:c r="AI93" s="81" t="str"/>
      <x:c r="AJ93" s="81" t="str"/>
      <x:c r="AK93" s="81" t="str">
        <x:f>IF($E93="","",IF(AND($M93="yes",OR($N93="yes",$N93="review"),OR($O93="yes",$O93="review"),$P93="fit",OR($Q93="unique",$Q93="alias_review"),$R93&lt;&gt;"context_only"),"pass","review/block"))</x:f>
      </x:c>
      <x:c r="AL93" s="81" t="str">
        <x:f>IF($E93="","",IF($AK93="pass","eligible",IF(OR($M93="no",$O93="no",$P93="too_macro",$P93="too_micro",$P93="context_only",$Q93="duplicate_confirmed",$R93="context_only"),"not_eligible","review")))</x:f>
      </x:c>
      <x:c r="AM93" s="81" t="str">
        <x:f>IF($E93="","",IF($C93=0,"reentry_required",IF($C93&lt;=8,"non_competitive_inclusion","competitive_selection")))</x:f>
      </x:c>
      <x:c r="AN93" s="82" t="str">
        <x:f>IF($E93="","",AVERAGE($U93:$X93))</x:f>
      </x:c>
      <x:c r="AO93" s="82" t="str">
        <x:f>IF($E93="","",AVERAGE($S93:$T93))</x:f>
      </x:c>
      <x:c r="AP93" s="82" t="str">
        <x:f>IF($E93="","",($AF93*0.08)+($AG93*0.08)+($AH93*0.10))</x:f>
      </x:c>
      <x:c r="AQ93" s="82" t="str">
        <x:f>IF($E93="","",MAX(0,($AN93*0.30)+($Y93*0.20)+($Z93*0.15)+($AA93*0.15)+($AB93*0.10)+($AC93*0.10)+($AE93*0.05)-$AP93))</x:f>
      </x:c>
      <x:c r="AR93" s="81" t="str">
        <x:f>IF($E93="","",IF($AM93="competitive_selection",RANK.EQ($AQ93,$AQ$2:$AQ$201,0),""))</x:f>
      </x:c>
      <x:c r="AS93" s="81" t="str">
        <x:f>IF($E93="","",IF(AND($AM93="non_competitive_inclusion",$AL93="eligible"),"selected",""))</x:f>
      </x:c>
      <x:c r="AT93" s="81" t="str">
        <x:f>IF($E93="","",IF($AM93&lt;&gt;"competitive_selection","",IF(AND($AL93="eligible",$AR93&lt;=8),"selected","context/backlog")))</x:f>
      </x:c>
      <x:c r="AU93" s="81" t="str">
        <x:f>IF($E93="","",IF($AM93="reentry_required","not_selected_reentry",IF($AS93="selected","selected_for_runtime",IF($AT93="selected","selected_for_runtime",IF($AL93="review","manual_review","context_or_not_selected")))))</x:f>
      </x:c>
      <x:c r="AV93" s="81" t="str">
        <x:f>IF($E93="","",IF($AU93="selected_for_runtime",IF($AM93="competitive_selection",$AR93,COUNTIF($AU$2:AU93,"selected_for_runtime")),""))</x:f>
      </x:c>
      <x:c r="AW93" s="81" t="str">
        <x:f>IF($E93="","",IF($AU93="selected_for_runtime",IF($AD93&gt;=2,"base_40_plus_uncertainty_probes",IF($AE93&gt;=2,"base_40_plus_exploratory_probes","base_40_standard")),"no_runtime"))</x:f>
      </x:c>
      <x:c r="AX93" s="81" t="str">
        <x:f>IF($E93="","",IF($AU93&lt;&gt;"selected_for_runtime","none",IF($AE93&gt;=2,"exploratoria",IF($AQ93&gt;=2.2,"alta",IF($AQ93&gt;=1.2,"media","baja")))))</x:f>
      </x:c>
      <x:c r="AY93" s="81" t="str">
        <x:f>IF($E93="","",IF($AJ93=TRUE,"context_with_coverage_gap",IF($AI93="review","context_requires_confirmation","context_ready")))</x:f>
      </x:c>
      <x:c r="AZ93" s="81" t="str">
        <x:f>IF($E93="","",IF($AU93&lt;&gt;"selected_for_runtime","no",IF(OR($AY93="context_with_coverage_gap",$AX93="exploratoria"),"ready_with_flags","ready")))</x:f>
      </x:c>
      <x:c r="BA93" s="81" t="str"/>
      <x:c r="BB93" s="81" t="str"/>
      <x:c r="BC93" s="81" t="str"/>
      <x:c r="BD93" s="81" t="str"/>
      <x:c r="BE93" s="81" t="str"/>
    </x:row>
    <x:row r="94">
      <x:c r="A94" s="81" t="str"/>
      <x:c r="B94" s="81" t="str"/>
      <x:c r="C94" s="81" t="str"/>
      <x:c r="D94" s="81" t="str"/>
      <x:c r="E94" s="81" t="str"/>
      <x:c r="F94" s="81" t="str"/>
      <x:c r="G94" s="81" t="str"/>
      <x:c r="H94" s="81" t="str"/>
      <x:c r="I94" s="81" t="str"/>
      <x:c r="J94" s="81" t="str"/>
      <x:c r="K94" s="81" t="str"/>
      <x:c r="L94" s="81" t="str"/>
      <x:c r="M94" s="81" t="str"/>
      <x:c r="N94" s="81" t="str"/>
      <x:c r="O94" s="81" t="str"/>
      <x:c r="P94" s="81" t="str"/>
      <x:c r="Q94" s="81" t="str"/>
      <x:c r="R94" s="81" t="str"/>
      <x:c r="S94" s="82" t="str"/>
      <x:c r="T94" s="82" t="str"/>
      <x:c r="U94" s="82" t="str"/>
      <x:c r="V94" s="82" t="str"/>
      <x:c r="W94" s="82" t="str"/>
      <x:c r="X94" s="82" t="str"/>
      <x:c r="Y94" s="82" t="str"/>
      <x:c r="Z94" s="82" t="str"/>
      <x:c r="AA94" s="82" t="str"/>
      <x:c r="AB94" s="82" t="str"/>
      <x:c r="AC94" s="82" t="str"/>
      <x:c r="AD94" s="82" t="str"/>
      <x:c r="AE94" s="82" t="str"/>
      <x:c r="AF94" s="82" t="str"/>
      <x:c r="AG94" s="82" t="str"/>
      <x:c r="AH94" s="82" t="str"/>
      <x:c r="AI94" s="81" t="str"/>
      <x:c r="AJ94" s="81" t="str"/>
      <x:c r="AK94" s="81" t="str">
        <x:f>IF($E94="","",IF(AND($M94="yes",OR($N94="yes",$N94="review"),OR($O94="yes",$O94="review"),$P94="fit",OR($Q94="unique",$Q94="alias_review"),$R94&lt;&gt;"context_only"),"pass","review/block"))</x:f>
      </x:c>
      <x:c r="AL94" s="81" t="str">
        <x:f>IF($E94="","",IF($AK94="pass","eligible",IF(OR($M94="no",$O94="no",$P94="too_macro",$P94="too_micro",$P94="context_only",$Q94="duplicate_confirmed",$R94="context_only"),"not_eligible","review")))</x:f>
      </x:c>
      <x:c r="AM94" s="81" t="str">
        <x:f>IF($E94="","",IF($C94=0,"reentry_required",IF($C94&lt;=8,"non_competitive_inclusion","competitive_selection")))</x:f>
      </x:c>
      <x:c r="AN94" s="82" t="str">
        <x:f>IF($E94="","",AVERAGE($U94:$X94))</x:f>
      </x:c>
      <x:c r="AO94" s="82" t="str">
        <x:f>IF($E94="","",AVERAGE($S94:$T94))</x:f>
      </x:c>
      <x:c r="AP94" s="82" t="str">
        <x:f>IF($E94="","",($AF94*0.08)+($AG94*0.08)+($AH94*0.10))</x:f>
      </x:c>
      <x:c r="AQ94" s="82" t="str">
        <x:f>IF($E94="","",MAX(0,($AN94*0.30)+($Y94*0.20)+($Z94*0.15)+($AA94*0.15)+($AB94*0.10)+($AC94*0.10)+($AE94*0.05)-$AP94))</x:f>
      </x:c>
      <x:c r="AR94" s="81" t="str">
        <x:f>IF($E94="","",IF($AM94="competitive_selection",RANK.EQ($AQ94,$AQ$2:$AQ$201,0),""))</x:f>
      </x:c>
      <x:c r="AS94" s="81" t="str">
        <x:f>IF($E94="","",IF(AND($AM94="non_competitive_inclusion",$AL94="eligible"),"selected",""))</x:f>
      </x:c>
      <x:c r="AT94" s="81" t="str">
        <x:f>IF($E94="","",IF($AM94&lt;&gt;"competitive_selection","",IF(AND($AL94="eligible",$AR94&lt;=8),"selected","context/backlog")))</x:f>
      </x:c>
      <x:c r="AU94" s="81" t="str">
        <x:f>IF($E94="","",IF($AM94="reentry_required","not_selected_reentry",IF($AS94="selected","selected_for_runtime",IF($AT94="selected","selected_for_runtime",IF($AL94="review","manual_review","context_or_not_selected")))))</x:f>
      </x:c>
      <x:c r="AV94" s="81" t="str">
        <x:f>IF($E94="","",IF($AU94="selected_for_runtime",IF($AM94="competitive_selection",$AR94,COUNTIF($AU$2:AU94,"selected_for_runtime")),""))</x:f>
      </x:c>
      <x:c r="AW94" s="81" t="str">
        <x:f>IF($E94="","",IF($AU94="selected_for_runtime",IF($AD94&gt;=2,"base_40_plus_uncertainty_probes",IF($AE94&gt;=2,"base_40_plus_exploratory_probes","base_40_standard")),"no_runtime"))</x:f>
      </x:c>
      <x:c r="AX94" s="81" t="str">
        <x:f>IF($E94="","",IF($AU94&lt;&gt;"selected_for_runtime","none",IF($AE94&gt;=2,"exploratoria",IF($AQ94&gt;=2.2,"alta",IF($AQ94&gt;=1.2,"media","baja")))))</x:f>
      </x:c>
      <x:c r="AY94" s="81" t="str">
        <x:f>IF($E94="","",IF($AJ94=TRUE,"context_with_coverage_gap",IF($AI94="review","context_requires_confirmation","context_ready")))</x:f>
      </x:c>
      <x:c r="AZ94" s="81" t="str">
        <x:f>IF($E94="","",IF($AU94&lt;&gt;"selected_for_runtime","no",IF(OR($AY94="context_with_coverage_gap",$AX94="exploratoria"),"ready_with_flags","ready")))</x:f>
      </x:c>
      <x:c r="BA94" s="81" t="str"/>
      <x:c r="BB94" s="81" t="str"/>
      <x:c r="BC94" s="81" t="str"/>
      <x:c r="BD94" s="81" t="str"/>
      <x:c r="BE94" s="81" t="str"/>
    </x:row>
    <x:row r="95">
      <x:c r="A95" s="81" t="str"/>
      <x:c r="B95" s="81" t="str"/>
      <x:c r="C95" s="81" t="str"/>
      <x:c r="D95" s="81" t="str"/>
      <x:c r="E95" s="81" t="str"/>
      <x:c r="F95" s="81" t="str"/>
      <x:c r="G95" s="81" t="str"/>
      <x:c r="H95" s="81" t="str"/>
      <x:c r="I95" s="81" t="str"/>
      <x:c r="J95" s="81" t="str"/>
      <x:c r="K95" s="81" t="str"/>
      <x:c r="L95" s="81" t="str"/>
      <x:c r="M95" s="81" t="str"/>
      <x:c r="N95" s="81" t="str"/>
      <x:c r="O95" s="81" t="str"/>
      <x:c r="P95" s="81" t="str"/>
      <x:c r="Q95" s="81" t="str"/>
      <x:c r="R95" s="81" t="str"/>
      <x:c r="S95" s="82" t="str"/>
      <x:c r="T95" s="82" t="str"/>
      <x:c r="U95" s="82" t="str"/>
      <x:c r="V95" s="82" t="str"/>
      <x:c r="W95" s="82" t="str"/>
      <x:c r="X95" s="82" t="str"/>
      <x:c r="Y95" s="82" t="str"/>
      <x:c r="Z95" s="82" t="str"/>
      <x:c r="AA95" s="82" t="str"/>
      <x:c r="AB95" s="82" t="str"/>
      <x:c r="AC95" s="82" t="str"/>
      <x:c r="AD95" s="82" t="str"/>
      <x:c r="AE95" s="82" t="str"/>
      <x:c r="AF95" s="82" t="str"/>
      <x:c r="AG95" s="82" t="str"/>
      <x:c r="AH95" s="82" t="str"/>
      <x:c r="AI95" s="81" t="str"/>
      <x:c r="AJ95" s="81" t="str"/>
      <x:c r="AK95" s="81" t="str">
        <x:f>IF($E95="","",IF(AND($M95="yes",OR($N95="yes",$N95="review"),OR($O95="yes",$O95="review"),$P95="fit",OR($Q95="unique",$Q95="alias_review"),$R95&lt;&gt;"context_only"),"pass","review/block"))</x:f>
      </x:c>
      <x:c r="AL95" s="81" t="str">
        <x:f>IF($E95="","",IF($AK95="pass","eligible",IF(OR($M95="no",$O95="no",$P95="too_macro",$P95="too_micro",$P95="context_only",$Q95="duplicate_confirmed",$R95="context_only"),"not_eligible","review")))</x:f>
      </x:c>
      <x:c r="AM95" s="81" t="str">
        <x:f>IF($E95="","",IF($C95=0,"reentry_required",IF($C95&lt;=8,"non_competitive_inclusion","competitive_selection")))</x:f>
      </x:c>
      <x:c r="AN95" s="82" t="str">
        <x:f>IF($E95="","",AVERAGE($U95:$X95))</x:f>
      </x:c>
      <x:c r="AO95" s="82" t="str">
        <x:f>IF($E95="","",AVERAGE($S95:$T95))</x:f>
      </x:c>
      <x:c r="AP95" s="82" t="str">
        <x:f>IF($E95="","",($AF95*0.08)+($AG95*0.08)+($AH95*0.10))</x:f>
      </x:c>
      <x:c r="AQ95" s="82" t="str">
        <x:f>IF($E95="","",MAX(0,($AN95*0.30)+($Y95*0.20)+($Z95*0.15)+($AA95*0.15)+($AB95*0.10)+($AC95*0.10)+($AE95*0.05)-$AP95))</x:f>
      </x:c>
      <x:c r="AR95" s="81" t="str">
        <x:f>IF($E95="","",IF($AM95="competitive_selection",RANK.EQ($AQ95,$AQ$2:$AQ$201,0),""))</x:f>
      </x:c>
      <x:c r="AS95" s="81" t="str">
        <x:f>IF($E95="","",IF(AND($AM95="non_competitive_inclusion",$AL95="eligible"),"selected",""))</x:f>
      </x:c>
      <x:c r="AT95" s="81" t="str">
        <x:f>IF($E95="","",IF($AM95&lt;&gt;"competitive_selection","",IF(AND($AL95="eligible",$AR95&lt;=8),"selected","context/backlog")))</x:f>
      </x:c>
      <x:c r="AU95" s="81" t="str">
        <x:f>IF($E95="","",IF($AM95="reentry_required","not_selected_reentry",IF($AS95="selected","selected_for_runtime",IF($AT95="selected","selected_for_runtime",IF($AL95="review","manual_review","context_or_not_selected")))))</x:f>
      </x:c>
      <x:c r="AV95" s="81" t="str">
        <x:f>IF($E95="","",IF($AU95="selected_for_runtime",IF($AM95="competitive_selection",$AR95,COUNTIF($AU$2:AU95,"selected_for_runtime")),""))</x:f>
      </x:c>
      <x:c r="AW95" s="81" t="str">
        <x:f>IF($E95="","",IF($AU95="selected_for_runtime",IF($AD95&gt;=2,"base_40_plus_uncertainty_probes",IF($AE95&gt;=2,"base_40_plus_exploratory_probes","base_40_standard")),"no_runtime"))</x:f>
      </x:c>
      <x:c r="AX95" s="81" t="str">
        <x:f>IF($E95="","",IF($AU95&lt;&gt;"selected_for_runtime","none",IF($AE95&gt;=2,"exploratoria",IF($AQ95&gt;=2.2,"alta",IF($AQ95&gt;=1.2,"media","baja")))))</x:f>
      </x:c>
      <x:c r="AY95" s="81" t="str">
        <x:f>IF($E95="","",IF($AJ95=TRUE,"context_with_coverage_gap",IF($AI95="review","context_requires_confirmation","context_ready")))</x:f>
      </x:c>
      <x:c r="AZ95" s="81" t="str">
        <x:f>IF($E95="","",IF($AU95&lt;&gt;"selected_for_runtime","no",IF(OR($AY95="context_with_coverage_gap",$AX95="exploratoria"),"ready_with_flags","ready")))</x:f>
      </x:c>
      <x:c r="BA95" s="81" t="str"/>
      <x:c r="BB95" s="81" t="str"/>
      <x:c r="BC95" s="81" t="str"/>
      <x:c r="BD95" s="81" t="str"/>
      <x:c r="BE95" s="81" t="str"/>
    </x:row>
    <x:row r="96">
      <x:c r="A96" s="81" t="str"/>
      <x:c r="B96" s="81" t="str"/>
      <x:c r="C96" s="81" t="str"/>
      <x:c r="D96" s="81" t="str"/>
      <x:c r="E96" s="81" t="str"/>
      <x:c r="F96" s="81" t="str"/>
      <x:c r="G96" s="81" t="str"/>
      <x:c r="H96" s="81" t="str"/>
      <x:c r="I96" s="81" t="str"/>
      <x:c r="J96" s="81" t="str"/>
      <x:c r="K96" s="81" t="str"/>
      <x:c r="L96" s="81" t="str"/>
      <x:c r="M96" s="81" t="str"/>
      <x:c r="N96" s="81" t="str"/>
      <x:c r="O96" s="81" t="str"/>
      <x:c r="P96" s="81" t="str"/>
      <x:c r="Q96" s="81" t="str"/>
      <x:c r="R96" s="81" t="str"/>
      <x:c r="S96" s="82" t="str"/>
      <x:c r="T96" s="82" t="str"/>
      <x:c r="U96" s="82" t="str"/>
      <x:c r="V96" s="82" t="str"/>
      <x:c r="W96" s="82" t="str"/>
      <x:c r="X96" s="82" t="str"/>
      <x:c r="Y96" s="82" t="str"/>
      <x:c r="Z96" s="82" t="str"/>
      <x:c r="AA96" s="82" t="str"/>
      <x:c r="AB96" s="82" t="str"/>
      <x:c r="AC96" s="82" t="str"/>
      <x:c r="AD96" s="82" t="str"/>
      <x:c r="AE96" s="82" t="str"/>
      <x:c r="AF96" s="82" t="str"/>
      <x:c r="AG96" s="82" t="str"/>
      <x:c r="AH96" s="82" t="str"/>
      <x:c r="AI96" s="81" t="str"/>
      <x:c r="AJ96" s="81" t="str"/>
      <x:c r="AK96" s="81" t="str">
        <x:f>IF($E96="","",IF(AND($M96="yes",OR($N96="yes",$N96="review"),OR($O96="yes",$O96="review"),$P96="fit",OR($Q96="unique",$Q96="alias_review"),$R96&lt;&gt;"context_only"),"pass","review/block"))</x:f>
      </x:c>
      <x:c r="AL96" s="81" t="str">
        <x:f>IF($E96="","",IF($AK96="pass","eligible",IF(OR($M96="no",$O96="no",$P96="too_macro",$P96="too_micro",$P96="context_only",$Q96="duplicate_confirmed",$R96="context_only"),"not_eligible","review")))</x:f>
      </x:c>
      <x:c r="AM96" s="81" t="str">
        <x:f>IF($E96="","",IF($C96=0,"reentry_required",IF($C96&lt;=8,"non_competitive_inclusion","competitive_selection")))</x:f>
      </x:c>
      <x:c r="AN96" s="82" t="str">
        <x:f>IF($E96="","",AVERAGE($U96:$X96))</x:f>
      </x:c>
      <x:c r="AO96" s="82" t="str">
        <x:f>IF($E96="","",AVERAGE($S96:$T96))</x:f>
      </x:c>
      <x:c r="AP96" s="82" t="str">
        <x:f>IF($E96="","",($AF96*0.08)+($AG96*0.08)+($AH96*0.10))</x:f>
      </x:c>
      <x:c r="AQ96" s="82" t="str">
        <x:f>IF($E96="","",MAX(0,($AN96*0.30)+($Y96*0.20)+($Z96*0.15)+($AA96*0.15)+($AB96*0.10)+($AC96*0.10)+($AE96*0.05)-$AP96))</x:f>
      </x:c>
      <x:c r="AR96" s="81" t="str">
        <x:f>IF($E96="","",IF($AM96="competitive_selection",RANK.EQ($AQ96,$AQ$2:$AQ$201,0),""))</x:f>
      </x:c>
      <x:c r="AS96" s="81" t="str">
        <x:f>IF($E96="","",IF(AND($AM96="non_competitive_inclusion",$AL96="eligible"),"selected",""))</x:f>
      </x:c>
      <x:c r="AT96" s="81" t="str">
        <x:f>IF($E96="","",IF($AM96&lt;&gt;"competitive_selection","",IF(AND($AL96="eligible",$AR96&lt;=8),"selected","context/backlog")))</x:f>
      </x:c>
      <x:c r="AU96" s="81" t="str">
        <x:f>IF($E96="","",IF($AM96="reentry_required","not_selected_reentry",IF($AS96="selected","selected_for_runtime",IF($AT96="selected","selected_for_runtime",IF($AL96="review","manual_review","context_or_not_selected")))))</x:f>
      </x:c>
      <x:c r="AV96" s="81" t="str">
        <x:f>IF($E96="","",IF($AU96="selected_for_runtime",IF($AM96="competitive_selection",$AR96,COUNTIF($AU$2:AU96,"selected_for_runtime")),""))</x:f>
      </x:c>
      <x:c r="AW96" s="81" t="str">
        <x:f>IF($E96="","",IF($AU96="selected_for_runtime",IF($AD96&gt;=2,"base_40_plus_uncertainty_probes",IF($AE96&gt;=2,"base_40_plus_exploratory_probes","base_40_standard")),"no_runtime"))</x:f>
      </x:c>
      <x:c r="AX96" s="81" t="str">
        <x:f>IF($E96="","",IF($AU96&lt;&gt;"selected_for_runtime","none",IF($AE96&gt;=2,"exploratoria",IF($AQ96&gt;=2.2,"alta",IF($AQ96&gt;=1.2,"media","baja")))))</x:f>
      </x:c>
      <x:c r="AY96" s="81" t="str">
        <x:f>IF($E96="","",IF($AJ96=TRUE,"context_with_coverage_gap",IF($AI96="review","context_requires_confirmation","context_ready")))</x:f>
      </x:c>
      <x:c r="AZ96" s="81" t="str">
        <x:f>IF($E96="","",IF($AU96&lt;&gt;"selected_for_runtime","no",IF(OR($AY96="context_with_coverage_gap",$AX96="exploratoria"),"ready_with_flags","ready")))</x:f>
      </x:c>
      <x:c r="BA96" s="81" t="str"/>
      <x:c r="BB96" s="81" t="str"/>
      <x:c r="BC96" s="81" t="str"/>
      <x:c r="BD96" s="81" t="str"/>
      <x:c r="BE96" s="81" t="str"/>
    </x:row>
    <x:row r="97">
      <x:c r="A97" s="81" t="str"/>
      <x:c r="B97" s="81" t="str"/>
      <x:c r="C97" s="81" t="str"/>
      <x:c r="D97" s="81" t="str"/>
      <x:c r="E97" s="81" t="str"/>
      <x:c r="F97" s="81" t="str"/>
      <x:c r="G97" s="81" t="str"/>
      <x:c r="H97" s="81" t="str"/>
      <x:c r="I97" s="81" t="str"/>
      <x:c r="J97" s="81" t="str"/>
      <x:c r="K97" s="81" t="str"/>
      <x:c r="L97" s="81" t="str"/>
      <x:c r="M97" s="81" t="str"/>
      <x:c r="N97" s="81" t="str"/>
      <x:c r="O97" s="81" t="str"/>
      <x:c r="P97" s="81" t="str"/>
      <x:c r="Q97" s="81" t="str"/>
      <x:c r="R97" s="81" t="str"/>
      <x:c r="S97" s="82" t="str"/>
      <x:c r="T97" s="82" t="str"/>
      <x:c r="U97" s="82" t="str"/>
      <x:c r="V97" s="82" t="str"/>
      <x:c r="W97" s="82" t="str"/>
      <x:c r="X97" s="82" t="str"/>
      <x:c r="Y97" s="82" t="str"/>
      <x:c r="Z97" s="82" t="str"/>
      <x:c r="AA97" s="82" t="str"/>
      <x:c r="AB97" s="82" t="str"/>
      <x:c r="AC97" s="82" t="str"/>
      <x:c r="AD97" s="82" t="str"/>
      <x:c r="AE97" s="82" t="str"/>
      <x:c r="AF97" s="82" t="str"/>
      <x:c r="AG97" s="82" t="str"/>
      <x:c r="AH97" s="82" t="str"/>
      <x:c r="AI97" s="81" t="str"/>
      <x:c r="AJ97" s="81" t="str"/>
      <x:c r="AK97" s="81" t="str">
        <x:f>IF($E97="","",IF(AND($M97="yes",OR($N97="yes",$N97="review"),OR($O97="yes",$O97="review"),$P97="fit",OR($Q97="unique",$Q97="alias_review"),$R97&lt;&gt;"context_only"),"pass","review/block"))</x:f>
      </x:c>
      <x:c r="AL97" s="81" t="str">
        <x:f>IF($E97="","",IF($AK97="pass","eligible",IF(OR($M97="no",$O97="no",$P97="too_macro",$P97="too_micro",$P97="context_only",$Q97="duplicate_confirmed",$R97="context_only"),"not_eligible","review")))</x:f>
      </x:c>
      <x:c r="AM97" s="81" t="str">
        <x:f>IF($E97="","",IF($C97=0,"reentry_required",IF($C97&lt;=8,"non_competitive_inclusion","competitive_selection")))</x:f>
      </x:c>
      <x:c r="AN97" s="82" t="str">
        <x:f>IF($E97="","",AVERAGE($U97:$X97))</x:f>
      </x:c>
      <x:c r="AO97" s="82" t="str">
        <x:f>IF($E97="","",AVERAGE($S97:$T97))</x:f>
      </x:c>
      <x:c r="AP97" s="82" t="str">
        <x:f>IF($E97="","",($AF97*0.08)+($AG97*0.08)+($AH97*0.10))</x:f>
      </x:c>
      <x:c r="AQ97" s="82" t="str">
        <x:f>IF($E97="","",MAX(0,($AN97*0.30)+($Y97*0.20)+($Z97*0.15)+($AA97*0.15)+($AB97*0.10)+($AC97*0.10)+($AE97*0.05)-$AP97))</x:f>
      </x:c>
      <x:c r="AR97" s="81" t="str">
        <x:f>IF($E97="","",IF($AM97="competitive_selection",RANK.EQ($AQ97,$AQ$2:$AQ$201,0),""))</x:f>
      </x:c>
      <x:c r="AS97" s="81" t="str">
        <x:f>IF($E97="","",IF(AND($AM97="non_competitive_inclusion",$AL97="eligible"),"selected",""))</x:f>
      </x:c>
      <x:c r="AT97" s="81" t="str">
        <x:f>IF($E97="","",IF($AM97&lt;&gt;"competitive_selection","",IF(AND($AL97="eligible",$AR97&lt;=8),"selected","context/backlog")))</x:f>
      </x:c>
      <x:c r="AU97" s="81" t="str">
        <x:f>IF($E97="","",IF($AM97="reentry_required","not_selected_reentry",IF($AS97="selected","selected_for_runtime",IF($AT97="selected","selected_for_runtime",IF($AL97="review","manual_review","context_or_not_selected")))))</x:f>
      </x:c>
      <x:c r="AV97" s="81" t="str">
        <x:f>IF($E97="","",IF($AU97="selected_for_runtime",IF($AM97="competitive_selection",$AR97,COUNTIF($AU$2:AU97,"selected_for_runtime")),""))</x:f>
      </x:c>
      <x:c r="AW97" s="81" t="str">
        <x:f>IF($E97="","",IF($AU97="selected_for_runtime",IF($AD97&gt;=2,"base_40_plus_uncertainty_probes",IF($AE97&gt;=2,"base_40_plus_exploratory_probes","base_40_standard")),"no_runtime"))</x:f>
      </x:c>
      <x:c r="AX97" s="81" t="str">
        <x:f>IF($E97="","",IF($AU97&lt;&gt;"selected_for_runtime","none",IF($AE97&gt;=2,"exploratoria",IF($AQ97&gt;=2.2,"alta",IF($AQ97&gt;=1.2,"media","baja")))))</x:f>
      </x:c>
      <x:c r="AY97" s="81" t="str">
        <x:f>IF($E97="","",IF($AJ97=TRUE,"context_with_coverage_gap",IF($AI97="review","context_requires_confirmation","context_ready")))</x:f>
      </x:c>
      <x:c r="AZ97" s="81" t="str">
        <x:f>IF($E97="","",IF($AU97&lt;&gt;"selected_for_runtime","no",IF(OR($AY97="context_with_coverage_gap",$AX97="exploratoria"),"ready_with_flags","ready")))</x:f>
      </x:c>
      <x:c r="BA97" s="81" t="str"/>
      <x:c r="BB97" s="81" t="str"/>
      <x:c r="BC97" s="81" t="str"/>
      <x:c r="BD97" s="81" t="str"/>
      <x:c r="BE97" s="81" t="str"/>
    </x:row>
    <x:row r="98">
      <x:c r="A98" s="81" t="str"/>
      <x:c r="B98" s="81" t="str"/>
      <x:c r="C98" s="81" t="str"/>
      <x:c r="D98" s="81" t="str"/>
      <x:c r="E98" s="81" t="str"/>
      <x:c r="F98" s="81" t="str"/>
      <x:c r="G98" s="81" t="str"/>
      <x:c r="H98" s="81" t="str"/>
      <x:c r="I98" s="81" t="str"/>
      <x:c r="J98" s="81" t="str"/>
      <x:c r="K98" s="81" t="str"/>
      <x:c r="L98" s="81" t="str"/>
      <x:c r="M98" s="81" t="str"/>
      <x:c r="N98" s="81" t="str"/>
      <x:c r="O98" s="81" t="str"/>
      <x:c r="P98" s="81" t="str"/>
      <x:c r="Q98" s="81" t="str"/>
      <x:c r="R98" s="81" t="str"/>
      <x:c r="S98" s="82" t="str"/>
      <x:c r="T98" s="82" t="str"/>
      <x:c r="U98" s="82" t="str"/>
      <x:c r="V98" s="82" t="str"/>
      <x:c r="W98" s="82" t="str"/>
      <x:c r="X98" s="82" t="str"/>
      <x:c r="Y98" s="82" t="str"/>
      <x:c r="Z98" s="82" t="str"/>
      <x:c r="AA98" s="82" t="str"/>
      <x:c r="AB98" s="82" t="str"/>
      <x:c r="AC98" s="82" t="str"/>
      <x:c r="AD98" s="82" t="str"/>
      <x:c r="AE98" s="82" t="str"/>
      <x:c r="AF98" s="82" t="str"/>
      <x:c r="AG98" s="82" t="str"/>
      <x:c r="AH98" s="82" t="str"/>
      <x:c r="AI98" s="81" t="str"/>
      <x:c r="AJ98" s="81" t="str"/>
      <x:c r="AK98" s="81" t="str">
        <x:f>IF($E98="","",IF(AND($M98="yes",OR($N98="yes",$N98="review"),OR($O98="yes",$O98="review"),$P98="fit",OR($Q98="unique",$Q98="alias_review"),$R98&lt;&gt;"context_only"),"pass","review/block"))</x:f>
      </x:c>
      <x:c r="AL98" s="81" t="str">
        <x:f>IF($E98="","",IF($AK98="pass","eligible",IF(OR($M98="no",$O98="no",$P98="too_macro",$P98="too_micro",$P98="context_only",$Q98="duplicate_confirmed",$R98="context_only"),"not_eligible","review")))</x:f>
      </x:c>
      <x:c r="AM98" s="81" t="str">
        <x:f>IF($E98="","",IF($C98=0,"reentry_required",IF($C98&lt;=8,"non_competitive_inclusion","competitive_selection")))</x:f>
      </x:c>
      <x:c r="AN98" s="82" t="str">
        <x:f>IF($E98="","",AVERAGE($U98:$X98))</x:f>
      </x:c>
      <x:c r="AO98" s="82" t="str">
        <x:f>IF($E98="","",AVERAGE($S98:$T98))</x:f>
      </x:c>
      <x:c r="AP98" s="82" t="str">
        <x:f>IF($E98="","",($AF98*0.08)+($AG98*0.08)+($AH98*0.10))</x:f>
      </x:c>
      <x:c r="AQ98" s="82" t="str">
        <x:f>IF($E98="","",MAX(0,($AN98*0.30)+($Y98*0.20)+($Z98*0.15)+($AA98*0.15)+($AB98*0.10)+($AC98*0.10)+($AE98*0.05)-$AP98))</x:f>
      </x:c>
      <x:c r="AR98" s="81" t="str">
        <x:f>IF($E98="","",IF($AM98="competitive_selection",RANK.EQ($AQ98,$AQ$2:$AQ$201,0),""))</x:f>
      </x:c>
      <x:c r="AS98" s="81" t="str">
        <x:f>IF($E98="","",IF(AND($AM98="non_competitive_inclusion",$AL98="eligible"),"selected",""))</x:f>
      </x:c>
      <x:c r="AT98" s="81" t="str">
        <x:f>IF($E98="","",IF($AM98&lt;&gt;"competitive_selection","",IF(AND($AL98="eligible",$AR98&lt;=8),"selected","context/backlog")))</x:f>
      </x:c>
      <x:c r="AU98" s="81" t="str">
        <x:f>IF($E98="","",IF($AM98="reentry_required","not_selected_reentry",IF($AS98="selected","selected_for_runtime",IF($AT98="selected","selected_for_runtime",IF($AL98="review","manual_review","context_or_not_selected")))))</x:f>
      </x:c>
      <x:c r="AV98" s="81" t="str">
        <x:f>IF($E98="","",IF($AU98="selected_for_runtime",IF($AM98="competitive_selection",$AR98,COUNTIF($AU$2:AU98,"selected_for_runtime")),""))</x:f>
      </x:c>
      <x:c r="AW98" s="81" t="str">
        <x:f>IF($E98="","",IF($AU98="selected_for_runtime",IF($AD98&gt;=2,"base_40_plus_uncertainty_probes",IF($AE98&gt;=2,"base_40_plus_exploratory_probes","base_40_standard")),"no_runtime"))</x:f>
      </x:c>
      <x:c r="AX98" s="81" t="str">
        <x:f>IF($E98="","",IF($AU98&lt;&gt;"selected_for_runtime","none",IF($AE98&gt;=2,"exploratoria",IF($AQ98&gt;=2.2,"alta",IF($AQ98&gt;=1.2,"media","baja")))))</x:f>
      </x:c>
      <x:c r="AY98" s="81" t="str">
        <x:f>IF($E98="","",IF($AJ98=TRUE,"context_with_coverage_gap",IF($AI98="review","context_requires_confirmation","context_ready")))</x:f>
      </x:c>
      <x:c r="AZ98" s="81" t="str">
        <x:f>IF($E98="","",IF($AU98&lt;&gt;"selected_for_runtime","no",IF(OR($AY98="context_with_coverage_gap",$AX98="exploratoria"),"ready_with_flags","ready")))</x:f>
      </x:c>
      <x:c r="BA98" s="81" t="str"/>
      <x:c r="BB98" s="81" t="str"/>
      <x:c r="BC98" s="81" t="str"/>
      <x:c r="BD98" s="81" t="str"/>
      <x:c r="BE98" s="81" t="str"/>
    </x:row>
    <x:row r="99">
      <x:c r="A99" s="81" t="str"/>
      <x:c r="B99" s="81" t="str"/>
      <x:c r="C99" s="81" t="str"/>
      <x:c r="D99" s="81" t="str"/>
      <x:c r="E99" s="81" t="str"/>
      <x:c r="F99" s="81" t="str"/>
      <x:c r="G99" s="81" t="str"/>
      <x:c r="H99" s="81" t="str"/>
      <x:c r="I99" s="81" t="str"/>
      <x:c r="J99" s="81" t="str"/>
      <x:c r="K99" s="81" t="str"/>
      <x:c r="L99" s="81" t="str"/>
      <x:c r="M99" s="81" t="str"/>
      <x:c r="N99" s="81" t="str"/>
      <x:c r="O99" s="81" t="str"/>
      <x:c r="P99" s="81" t="str"/>
      <x:c r="Q99" s="81" t="str"/>
      <x:c r="R99" s="81" t="str"/>
      <x:c r="S99" s="82" t="str"/>
      <x:c r="T99" s="82" t="str"/>
      <x:c r="U99" s="82" t="str"/>
      <x:c r="V99" s="82" t="str"/>
      <x:c r="W99" s="82" t="str"/>
      <x:c r="X99" s="82" t="str"/>
      <x:c r="Y99" s="82" t="str"/>
      <x:c r="Z99" s="82" t="str"/>
      <x:c r="AA99" s="82" t="str"/>
      <x:c r="AB99" s="82" t="str"/>
      <x:c r="AC99" s="82" t="str"/>
      <x:c r="AD99" s="82" t="str"/>
      <x:c r="AE99" s="82" t="str"/>
      <x:c r="AF99" s="82" t="str"/>
      <x:c r="AG99" s="82" t="str"/>
      <x:c r="AH99" s="82" t="str"/>
      <x:c r="AI99" s="81" t="str"/>
      <x:c r="AJ99" s="81" t="str"/>
      <x:c r="AK99" s="81" t="str">
        <x:f>IF($E99="","",IF(AND($M99="yes",OR($N99="yes",$N99="review"),OR($O99="yes",$O99="review"),$P99="fit",OR($Q99="unique",$Q99="alias_review"),$R99&lt;&gt;"context_only"),"pass","review/block"))</x:f>
      </x:c>
      <x:c r="AL99" s="81" t="str">
        <x:f>IF($E99="","",IF($AK99="pass","eligible",IF(OR($M99="no",$O99="no",$P99="too_macro",$P99="too_micro",$P99="context_only",$Q99="duplicate_confirmed",$R99="context_only"),"not_eligible","review")))</x:f>
      </x:c>
      <x:c r="AM99" s="81" t="str">
        <x:f>IF($E99="","",IF($C99=0,"reentry_required",IF($C99&lt;=8,"non_competitive_inclusion","competitive_selection")))</x:f>
      </x:c>
      <x:c r="AN99" s="82" t="str">
        <x:f>IF($E99="","",AVERAGE($U99:$X99))</x:f>
      </x:c>
      <x:c r="AO99" s="82" t="str">
        <x:f>IF($E99="","",AVERAGE($S99:$T99))</x:f>
      </x:c>
      <x:c r="AP99" s="82" t="str">
        <x:f>IF($E99="","",($AF99*0.08)+($AG99*0.08)+($AH99*0.10))</x:f>
      </x:c>
      <x:c r="AQ99" s="82" t="str">
        <x:f>IF($E99="","",MAX(0,($AN99*0.30)+($Y99*0.20)+($Z99*0.15)+($AA99*0.15)+($AB99*0.10)+($AC99*0.10)+($AE99*0.05)-$AP99))</x:f>
      </x:c>
      <x:c r="AR99" s="81" t="str">
        <x:f>IF($E99="","",IF($AM99="competitive_selection",RANK.EQ($AQ99,$AQ$2:$AQ$201,0),""))</x:f>
      </x:c>
      <x:c r="AS99" s="81" t="str">
        <x:f>IF($E99="","",IF(AND($AM99="non_competitive_inclusion",$AL99="eligible"),"selected",""))</x:f>
      </x:c>
      <x:c r="AT99" s="81" t="str">
        <x:f>IF($E99="","",IF($AM99&lt;&gt;"competitive_selection","",IF(AND($AL99="eligible",$AR99&lt;=8),"selected","context/backlog")))</x:f>
      </x:c>
      <x:c r="AU99" s="81" t="str">
        <x:f>IF($E99="","",IF($AM99="reentry_required","not_selected_reentry",IF($AS99="selected","selected_for_runtime",IF($AT99="selected","selected_for_runtime",IF($AL99="review","manual_review","context_or_not_selected")))))</x:f>
      </x:c>
      <x:c r="AV99" s="81" t="str">
        <x:f>IF($E99="","",IF($AU99="selected_for_runtime",IF($AM99="competitive_selection",$AR99,COUNTIF($AU$2:AU99,"selected_for_runtime")),""))</x:f>
      </x:c>
      <x:c r="AW99" s="81" t="str">
        <x:f>IF($E99="","",IF($AU99="selected_for_runtime",IF($AD99&gt;=2,"base_40_plus_uncertainty_probes",IF($AE99&gt;=2,"base_40_plus_exploratory_probes","base_40_standard")),"no_runtime"))</x:f>
      </x:c>
      <x:c r="AX99" s="81" t="str">
        <x:f>IF($E99="","",IF($AU99&lt;&gt;"selected_for_runtime","none",IF($AE99&gt;=2,"exploratoria",IF($AQ99&gt;=2.2,"alta",IF($AQ99&gt;=1.2,"media","baja")))))</x:f>
      </x:c>
      <x:c r="AY99" s="81" t="str">
        <x:f>IF($E99="","",IF($AJ99=TRUE,"context_with_coverage_gap",IF($AI99="review","context_requires_confirmation","context_ready")))</x:f>
      </x:c>
      <x:c r="AZ99" s="81" t="str">
        <x:f>IF($E99="","",IF($AU99&lt;&gt;"selected_for_runtime","no",IF(OR($AY99="context_with_coverage_gap",$AX99="exploratoria"),"ready_with_flags","ready")))</x:f>
      </x:c>
      <x:c r="BA99" s="81" t="str"/>
      <x:c r="BB99" s="81" t="str"/>
      <x:c r="BC99" s="81" t="str"/>
      <x:c r="BD99" s="81" t="str"/>
      <x:c r="BE99" s="81" t="str"/>
    </x:row>
    <x:row r="100">
      <x:c r="A100" s="81" t="str"/>
      <x:c r="B100" s="81" t="str"/>
      <x:c r="C100" s="81" t="str"/>
      <x:c r="D100" s="81" t="str"/>
      <x:c r="E100" s="81" t="str"/>
      <x:c r="F100" s="81" t="str"/>
      <x:c r="G100" s="81" t="str"/>
      <x:c r="H100" s="81" t="str"/>
      <x:c r="I100" s="81" t="str"/>
      <x:c r="J100" s="81" t="str"/>
      <x:c r="K100" s="81" t="str"/>
      <x:c r="L100" s="81" t="str"/>
      <x:c r="M100" s="81" t="str"/>
      <x:c r="N100" s="81" t="str"/>
      <x:c r="O100" s="81" t="str"/>
      <x:c r="P100" s="81" t="str"/>
      <x:c r="Q100" s="81" t="str"/>
      <x:c r="R100" s="81" t="str"/>
      <x:c r="S100" s="82" t="str"/>
      <x:c r="T100" s="82" t="str"/>
      <x:c r="U100" s="82" t="str"/>
      <x:c r="V100" s="82" t="str"/>
      <x:c r="W100" s="82" t="str"/>
      <x:c r="X100" s="82" t="str"/>
      <x:c r="Y100" s="82" t="str"/>
      <x:c r="Z100" s="82" t="str"/>
      <x:c r="AA100" s="82" t="str"/>
      <x:c r="AB100" s="82" t="str"/>
      <x:c r="AC100" s="82" t="str"/>
      <x:c r="AD100" s="82" t="str"/>
      <x:c r="AE100" s="82" t="str"/>
      <x:c r="AF100" s="82" t="str"/>
      <x:c r="AG100" s="82" t="str"/>
      <x:c r="AH100" s="82" t="str"/>
      <x:c r="AI100" s="81" t="str"/>
      <x:c r="AJ100" s="81" t="str"/>
      <x:c r="AK100" s="81" t="str">
        <x:f>IF($E100="","",IF(AND($M100="yes",OR($N100="yes",$N100="review"),OR($O100="yes",$O100="review"),$P100="fit",OR($Q100="unique",$Q100="alias_review"),$R100&lt;&gt;"context_only"),"pass","review/block"))</x:f>
      </x:c>
      <x:c r="AL100" s="81" t="str">
        <x:f>IF($E100="","",IF($AK100="pass","eligible",IF(OR($M100="no",$O100="no",$P100="too_macro",$P100="too_micro",$P100="context_only",$Q100="duplicate_confirmed",$R100="context_only"),"not_eligible","review")))</x:f>
      </x:c>
      <x:c r="AM100" s="81" t="str">
        <x:f>IF($E100="","",IF($C100=0,"reentry_required",IF($C100&lt;=8,"non_competitive_inclusion","competitive_selection")))</x:f>
      </x:c>
      <x:c r="AN100" s="82" t="str">
        <x:f>IF($E100="","",AVERAGE($U100:$X100))</x:f>
      </x:c>
      <x:c r="AO100" s="82" t="str">
        <x:f>IF($E100="","",AVERAGE($S100:$T100))</x:f>
      </x:c>
      <x:c r="AP100" s="82" t="str">
        <x:f>IF($E100="","",($AF100*0.08)+($AG100*0.08)+($AH100*0.10))</x:f>
      </x:c>
      <x:c r="AQ100" s="82" t="str">
        <x:f>IF($E100="","",MAX(0,($AN100*0.30)+($Y100*0.20)+($Z100*0.15)+($AA100*0.15)+($AB100*0.10)+($AC100*0.10)+($AE100*0.05)-$AP100))</x:f>
      </x:c>
      <x:c r="AR100" s="81" t="str">
        <x:f>IF($E100="","",IF($AM100="competitive_selection",RANK.EQ($AQ100,$AQ$2:$AQ$201,0),""))</x:f>
      </x:c>
      <x:c r="AS100" s="81" t="str">
        <x:f>IF($E100="","",IF(AND($AM100="non_competitive_inclusion",$AL100="eligible"),"selected",""))</x:f>
      </x:c>
      <x:c r="AT100" s="81" t="str">
        <x:f>IF($E100="","",IF($AM100&lt;&gt;"competitive_selection","",IF(AND($AL100="eligible",$AR100&lt;=8),"selected","context/backlog")))</x:f>
      </x:c>
      <x:c r="AU100" s="81" t="str">
        <x:f>IF($E100="","",IF($AM100="reentry_required","not_selected_reentry",IF($AS100="selected","selected_for_runtime",IF($AT100="selected","selected_for_runtime",IF($AL100="review","manual_review","context_or_not_selected")))))</x:f>
      </x:c>
      <x:c r="AV100" s="81" t="str">
        <x:f>IF($E100="","",IF($AU100="selected_for_runtime",IF($AM100="competitive_selection",$AR100,COUNTIF($AU$2:AU100,"selected_for_runtime")),""))</x:f>
      </x:c>
      <x:c r="AW100" s="81" t="str">
        <x:f>IF($E100="","",IF($AU100="selected_for_runtime",IF($AD100&gt;=2,"base_40_plus_uncertainty_probes",IF($AE100&gt;=2,"base_40_plus_exploratory_probes","base_40_standard")),"no_runtime"))</x:f>
      </x:c>
      <x:c r="AX100" s="81" t="str">
        <x:f>IF($E100="","",IF($AU100&lt;&gt;"selected_for_runtime","none",IF($AE100&gt;=2,"exploratoria",IF($AQ100&gt;=2.2,"alta",IF($AQ100&gt;=1.2,"media","baja")))))</x:f>
      </x:c>
      <x:c r="AY100" s="81" t="str">
        <x:f>IF($E100="","",IF($AJ100=TRUE,"context_with_coverage_gap",IF($AI100="review","context_requires_confirmation","context_ready")))</x:f>
      </x:c>
      <x:c r="AZ100" s="81" t="str">
        <x:f>IF($E100="","",IF($AU100&lt;&gt;"selected_for_runtime","no",IF(OR($AY100="context_with_coverage_gap",$AX100="exploratoria"),"ready_with_flags","ready")))</x:f>
      </x:c>
      <x:c r="BA100" s="81" t="str"/>
      <x:c r="BB100" s="81" t="str"/>
      <x:c r="BC100" s="81" t="str"/>
      <x:c r="BD100" s="81" t="str"/>
      <x:c r="BE100" s="81" t="str"/>
    </x:row>
    <x:row r="101">
      <x:c r="A101" s="81" t="str"/>
      <x:c r="B101" s="81" t="str"/>
      <x:c r="C101" s="81" t="str"/>
      <x:c r="D101" s="81" t="str"/>
      <x:c r="E101" s="81" t="str"/>
      <x:c r="F101" s="81" t="str"/>
      <x:c r="G101" s="81" t="str"/>
      <x:c r="H101" s="81" t="str"/>
      <x:c r="I101" s="81" t="str"/>
      <x:c r="J101" s="81" t="str"/>
      <x:c r="K101" s="81" t="str"/>
      <x:c r="L101" s="81" t="str"/>
      <x:c r="M101" s="81" t="str"/>
      <x:c r="N101" s="81" t="str"/>
      <x:c r="O101" s="81" t="str"/>
      <x:c r="P101" s="81" t="str"/>
      <x:c r="Q101" s="81" t="str"/>
      <x:c r="R101" s="81" t="str"/>
      <x:c r="S101" s="82" t="str"/>
      <x:c r="T101" s="82" t="str"/>
      <x:c r="U101" s="82" t="str"/>
      <x:c r="V101" s="82" t="str"/>
      <x:c r="W101" s="82" t="str"/>
      <x:c r="X101" s="82" t="str"/>
      <x:c r="Y101" s="82" t="str"/>
      <x:c r="Z101" s="82" t="str"/>
      <x:c r="AA101" s="82" t="str"/>
      <x:c r="AB101" s="82" t="str"/>
      <x:c r="AC101" s="82" t="str"/>
      <x:c r="AD101" s="82" t="str"/>
      <x:c r="AE101" s="82" t="str"/>
      <x:c r="AF101" s="82" t="str"/>
      <x:c r="AG101" s="82" t="str"/>
      <x:c r="AH101" s="82" t="str"/>
      <x:c r="AI101" s="81" t="str"/>
      <x:c r="AJ101" s="81" t="str"/>
      <x:c r="AK101" s="81" t="str">
        <x:f>IF($E101="","",IF(AND($M101="yes",OR($N101="yes",$N101="review"),OR($O101="yes",$O101="review"),$P101="fit",OR($Q101="unique",$Q101="alias_review"),$R101&lt;&gt;"context_only"),"pass","review/block"))</x:f>
      </x:c>
      <x:c r="AL101" s="81" t="str">
        <x:f>IF($E101="","",IF($AK101="pass","eligible",IF(OR($M101="no",$O101="no",$P101="too_macro",$P101="too_micro",$P101="context_only",$Q101="duplicate_confirmed",$R101="context_only"),"not_eligible","review")))</x:f>
      </x:c>
      <x:c r="AM101" s="81" t="str">
        <x:f>IF($E101="","",IF($C101=0,"reentry_required",IF($C101&lt;=8,"non_competitive_inclusion","competitive_selection")))</x:f>
      </x:c>
      <x:c r="AN101" s="82" t="str">
        <x:f>IF($E101="","",AVERAGE($U101:$X101))</x:f>
      </x:c>
      <x:c r="AO101" s="82" t="str">
        <x:f>IF($E101="","",AVERAGE($S101:$T101))</x:f>
      </x:c>
      <x:c r="AP101" s="82" t="str">
        <x:f>IF($E101="","",($AF101*0.08)+($AG101*0.08)+($AH101*0.10))</x:f>
      </x:c>
      <x:c r="AQ101" s="82" t="str">
        <x:f>IF($E101="","",MAX(0,($AN101*0.30)+($Y101*0.20)+($Z101*0.15)+($AA101*0.15)+($AB101*0.10)+($AC101*0.10)+($AE101*0.05)-$AP101))</x:f>
      </x:c>
      <x:c r="AR101" s="81" t="str">
        <x:f>IF($E101="","",IF($AM101="competitive_selection",RANK.EQ($AQ101,$AQ$2:$AQ$201,0),""))</x:f>
      </x:c>
      <x:c r="AS101" s="81" t="str">
        <x:f>IF($E101="","",IF(AND($AM101="non_competitive_inclusion",$AL101="eligible"),"selected",""))</x:f>
      </x:c>
      <x:c r="AT101" s="81" t="str">
        <x:f>IF($E101="","",IF($AM101&lt;&gt;"competitive_selection","",IF(AND($AL101="eligible",$AR101&lt;=8),"selected","context/backlog")))</x:f>
      </x:c>
      <x:c r="AU101" s="81" t="str">
        <x:f>IF($E101="","",IF($AM101="reentry_required","not_selected_reentry",IF($AS101="selected","selected_for_runtime",IF($AT101="selected","selected_for_runtime",IF($AL101="review","manual_review","context_or_not_selected")))))</x:f>
      </x:c>
      <x:c r="AV101" s="81" t="str">
        <x:f>IF($E101="","",IF($AU101="selected_for_runtime",IF($AM101="competitive_selection",$AR101,COUNTIF($AU$2:AU101,"selected_for_runtime")),""))</x:f>
      </x:c>
      <x:c r="AW101" s="81" t="str">
        <x:f>IF($E101="","",IF($AU101="selected_for_runtime",IF($AD101&gt;=2,"base_40_plus_uncertainty_probes",IF($AE101&gt;=2,"base_40_plus_exploratory_probes","base_40_standard")),"no_runtime"))</x:f>
      </x:c>
      <x:c r="AX101" s="81" t="str">
        <x:f>IF($E101="","",IF($AU101&lt;&gt;"selected_for_runtime","none",IF($AE101&gt;=2,"exploratoria",IF($AQ101&gt;=2.2,"alta",IF($AQ101&gt;=1.2,"media","baja")))))</x:f>
      </x:c>
      <x:c r="AY101" s="81" t="str">
        <x:f>IF($E101="","",IF($AJ101=TRUE,"context_with_coverage_gap",IF($AI101="review","context_requires_confirmation","context_ready")))</x:f>
      </x:c>
      <x:c r="AZ101" s="81" t="str">
        <x:f>IF($E101="","",IF($AU101&lt;&gt;"selected_for_runtime","no",IF(OR($AY101="context_with_coverage_gap",$AX101="exploratoria"),"ready_with_flags","ready")))</x:f>
      </x:c>
      <x:c r="BA101" s="81" t="str"/>
      <x:c r="BB101" s="81" t="str"/>
      <x:c r="BC101" s="81" t="str"/>
      <x:c r="BD101" s="81" t="str"/>
      <x:c r="BE101" s="81" t="str"/>
    </x:row>
    <x:row r="102">
      <x:c r="A102" s="81" t="str"/>
      <x:c r="B102" s="81" t="str"/>
      <x:c r="C102" s="81" t="str"/>
      <x:c r="D102" s="81" t="str"/>
      <x:c r="E102" s="81" t="str"/>
      <x:c r="F102" s="81" t="str"/>
      <x:c r="G102" s="81" t="str"/>
      <x:c r="H102" s="81" t="str"/>
      <x:c r="I102" s="81" t="str"/>
      <x:c r="J102" s="81" t="str"/>
      <x:c r="K102" s="81" t="str"/>
      <x:c r="L102" s="81" t="str"/>
      <x:c r="M102" s="81" t="str"/>
      <x:c r="N102" s="81" t="str"/>
      <x:c r="O102" s="81" t="str"/>
      <x:c r="P102" s="81" t="str"/>
      <x:c r="Q102" s="81" t="str"/>
      <x:c r="R102" s="81" t="str"/>
      <x:c r="S102" s="82" t="str"/>
      <x:c r="T102" s="82" t="str"/>
      <x:c r="U102" s="82" t="str"/>
      <x:c r="V102" s="82" t="str"/>
      <x:c r="W102" s="82" t="str"/>
      <x:c r="X102" s="82" t="str"/>
      <x:c r="Y102" s="82" t="str"/>
      <x:c r="Z102" s="82" t="str"/>
      <x:c r="AA102" s="82" t="str"/>
      <x:c r="AB102" s="82" t="str"/>
      <x:c r="AC102" s="82" t="str"/>
      <x:c r="AD102" s="82" t="str"/>
      <x:c r="AE102" s="82" t="str"/>
      <x:c r="AF102" s="82" t="str"/>
      <x:c r="AG102" s="82" t="str"/>
      <x:c r="AH102" s="82" t="str"/>
      <x:c r="AI102" s="81" t="str"/>
      <x:c r="AJ102" s="81" t="str"/>
      <x:c r="AK102" s="81" t="str">
        <x:f>IF($E102="","",IF(AND($M102="yes",OR($N102="yes",$N102="review"),OR($O102="yes",$O102="review"),$P102="fit",OR($Q102="unique",$Q102="alias_review"),$R102&lt;&gt;"context_only"),"pass","review/block"))</x:f>
      </x:c>
      <x:c r="AL102" s="81" t="str">
        <x:f>IF($E102="","",IF($AK102="pass","eligible",IF(OR($M102="no",$O102="no",$P102="too_macro",$P102="too_micro",$P102="context_only",$Q102="duplicate_confirmed",$R102="context_only"),"not_eligible","review")))</x:f>
      </x:c>
      <x:c r="AM102" s="81" t="str">
        <x:f>IF($E102="","",IF($C102=0,"reentry_required",IF($C102&lt;=8,"non_competitive_inclusion","competitive_selection")))</x:f>
      </x:c>
      <x:c r="AN102" s="82" t="str">
        <x:f>IF($E102="","",AVERAGE($U102:$X102))</x:f>
      </x:c>
      <x:c r="AO102" s="82" t="str">
        <x:f>IF($E102="","",AVERAGE($S102:$T102))</x:f>
      </x:c>
      <x:c r="AP102" s="82" t="str">
        <x:f>IF($E102="","",($AF102*0.08)+($AG102*0.08)+($AH102*0.10))</x:f>
      </x:c>
      <x:c r="AQ102" s="82" t="str">
        <x:f>IF($E102="","",MAX(0,($AN102*0.30)+($Y102*0.20)+($Z102*0.15)+($AA102*0.15)+($AB102*0.10)+($AC102*0.10)+($AE102*0.05)-$AP102))</x:f>
      </x:c>
      <x:c r="AR102" s="81" t="str">
        <x:f>IF($E102="","",IF($AM102="competitive_selection",RANK.EQ($AQ102,$AQ$2:$AQ$201,0),""))</x:f>
      </x:c>
      <x:c r="AS102" s="81" t="str">
        <x:f>IF($E102="","",IF(AND($AM102="non_competitive_inclusion",$AL102="eligible"),"selected",""))</x:f>
      </x:c>
      <x:c r="AT102" s="81" t="str">
        <x:f>IF($E102="","",IF($AM102&lt;&gt;"competitive_selection","",IF(AND($AL102="eligible",$AR102&lt;=8),"selected","context/backlog")))</x:f>
      </x:c>
      <x:c r="AU102" s="81" t="str">
        <x:f>IF($E102="","",IF($AM102="reentry_required","not_selected_reentry",IF($AS102="selected","selected_for_runtime",IF($AT102="selected","selected_for_runtime",IF($AL102="review","manual_review","context_or_not_selected")))))</x:f>
      </x:c>
      <x:c r="AV102" s="81" t="str">
        <x:f>IF($E102="","",IF($AU102="selected_for_runtime",IF($AM102="competitive_selection",$AR102,COUNTIF($AU$2:AU102,"selected_for_runtime")),""))</x:f>
      </x:c>
      <x:c r="AW102" s="81" t="str">
        <x:f>IF($E102="","",IF($AU102="selected_for_runtime",IF($AD102&gt;=2,"base_40_plus_uncertainty_probes",IF($AE102&gt;=2,"base_40_plus_exploratory_probes","base_40_standard")),"no_runtime"))</x:f>
      </x:c>
      <x:c r="AX102" s="81" t="str">
        <x:f>IF($E102="","",IF($AU102&lt;&gt;"selected_for_runtime","none",IF($AE102&gt;=2,"exploratoria",IF($AQ102&gt;=2.2,"alta",IF($AQ102&gt;=1.2,"media","baja")))))</x:f>
      </x:c>
      <x:c r="AY102" s="81" t="str">
        <x:f>IF($E102="","",IF($AJ102=TRUE,"context_with_coverage_gap",IF($AI102="review","context_requires_confirmation","context_ready")))</x:f>
      </x:c>
      <x:c r="AZ102" s="81" t="str">
        <x:f>IF($E102="","",IF($AU102&lt;&gt;"selected_for_runtime","no",IF(OR($AY102="context_with_coverage_gap",$AX102="exploratoria"),"ready_with_flags","ready")))</x:f>
      </x:c>
      <x:c r="BA102" s="81" t="str"/>
      <x:c r="BB102" s="81" t="str"/>
      <x:c r="BC102" s="81" t="str"/>
      <x:c r="BD102" s="81" t="str"/>
      <x:c r="BE102" s="81" t="str"/>
    </x:row>
    <x:row r="103">
      <x:c r="A103" s="81" t="str"/>
      <x:c r="B103" s="81" t="str"/>
      <x:c r="C103" s="81" t="str"/>
      <x:c r="D103" s="81" t="str"/>
      <x:c r="E103" s="81" t="str"/>
      <x:c r="F103" s="81" t="str"/>
      <x:c r="G103" s="81" t="str"/>
      <x:c r="H103" s="81" t="str"/>
      <x:c r="I103" s="81" t="str"/>
      <x:c r="J103" s="81" t="str"/>
      <x:c r="K103" s="81" t="str"/>
      <x:c r="L103" s="81" t="str"/>
      <x:c r="M103" s="81" t="str"/>
      <x:c r="N103" s="81" t="str"/>
      <x:c r="O103" s="81" t="str"/>
      <x:c r="P103" s="81" t="str"/>
      <x:c r="Q103" s="81" t="str"/>
      <x:c r="R103" s="81" t="str"/>
      <x:c r="S103" s="82" t="str"/>
      <x:c r="T103" s="82" t="str"/>
      <x:c r="U103" s="82" t="str"/>
      <x:c r="V103" s="82" t="str"/>
      <x:c r="W103" s="82" t="str"/>
      <x:c r="X103" s="82" t="str"/>
      <x:c r="Y103" s="82" t="str"/>
      <x:c r="Z103" s="82" t="str"/>
      <x:c r="AA103" s="82" t="str"/>
      <x:c r="AB103" s="82" t="str"/>
      <x:c r="AC103" s="82" t="str"/>
      <x:c r="AD103" s="82" t="str"/>
      <x:c r="AE103" s="82" t="str"/>
      <x:c r="AF103" s="82" t="str"/>
      <x:c r="AG103" s="82" t="str"/>
      <x:c r="AH103" s="82" t="str"/>
      <x:c r="AI103" s="81" t="str"/>
      <x:c r="AJ103" s="81" t="str"/>
      <x:c r="AK103" s="81" t="str">
        <x:f>IF($E103="","",IF(AND($M103="yes",OR($N103="yes",$N103="review"),OR($O103="yes",$O103="review"),$P103="fit",OR($Q103="unique",$Q103="alias_review"),$R103&lt;&gt;"context_only"),"pass","review/block"))</x:f>
      </x:c>
      <x:c r="AL103" s="81" t="str">
        <x:f>IF($E103="","",IF($AK103="pass","eligible",IF(OR($M103="no",$O103="no",$P103="too_macro",$P103="too_micro",$P103="context_only",$Q103="duplicate_confirmed",$R103="context_only"),"not_eligible","review")))</x:f>
      </x:c>
      <x:c r="AM103" s="81" t="str">
        <x:f>IF($E103="","",IF($C103=0,"reentry_required",IF($C103&lt;=8,"non_competitive_inclusion","competitive_selection")))</x:f>
      </x:c>
      <x:c r="AN103" s="82" t="str">
        <x:f>IF($E103="","",AVERAGE($U103:$X103))</x:f>
      </x:c>
      <x:c r="AO103" s="82" t="str">
        <x:f>IF($E103="","",AVERAGE($S103:$T103))</x:f>
      </x:c>
      <x:c r="AP103" s="82" t="str">
        <x:f>IF($E103="","",($AF103*0.08)+($AG103*0.08)+($AH103*0.10))</x:f>
      </x:c>
      <x:c r="AQ103" s="82" t="str">
        <x:f>IF($E103="","",MAX(0,($AN103*0.30)+($Y103*0.20)+($Z103*0.15)+($AA103*0.15)+($AB103*0.10)+($AC103*0.10)+($AE103*0.05)-$AP103))</x:f>
      </x:c>
      <x:c r="AR103" s="81" t="str">
        <x:f>IF($E103="","",IF($AM103="competitive_selection",RANK.EQ($AQ103,$AQ$2:$AQ$201,0),""))</x:f>
      </x:c>
      <x:c r="AS103" s="81" t="str">
        <x:f>IF($E103="","",IF(AND($AM103="non_competitive_inclusion",$AL103="eligible"),"selected",""))</x:f>
      </x:c>
      <x:c r="AT103" s="81" t="str">
        <x:f>IF($E103="","",IF($AM103&lt;&gt;"competitive_selection","",IF(AND($AL103="eligible",$AR103&lt;=8),"selected","context/backlog")))</x:f>
      </x:c>
      <x:c r="AU103" s="81" t="str">
        <x:f>IF($E103="","",IF($AM103="reentry_required","not_selected_reentry",IF($AS103="selected","selected_for_runtime",IF($AT103="selected","selected_for_runtime",IF($AL103="review","manual_review","context_or_not_selected")))))</x:f>
      </x:c>
      <x:c r="AV103" s="81" t="str">
        <x:f>IF($E103="","",IF($AU103="selected_for_runtime",IF($AM103="competitive_selection",$AR103,COUNTIF($AU$2:AU103,"selected_for_runtime")),""))</x:f>
      </x:c>
      <x:c r="AW103" s="81" t="str">
        <x:f>IF($E103="","",IF($AU103="selected_for_runtime",IF($AD103&gt;=2,"base_40_plus_uncertainty_probes",IF($AE103&gt;=2,"base_40_plus_exploratory_probes","base_40_standard")),"no_runtime"))</x:f>
      </x:c>
      <x:c r="AX103" s="81" t="str">
        <x:f>IF($E103="","",IF($AU103&lt;&gt;"selected_for_runtime","none",IF($AE103&gt;=2,"exploratoria",IF($AQ103&gt;=2.2,"alta",IF($AQ103&gt;=1.2,"media","baja")))))</x:f>
      </x:c>
      <x:c r="AY103" s="81" t="str">
        <x:f>IF($E103="","",IF($AJ103=TRUE,"context_with_coverage_gap",IF($AI103="review","context_requires_confirmation","context_ready")))</x:f>
      </x:c>
      <x:c r="AZ103" s="81" t="str">
        <x:f>IF($E103="","",IF($AU103&lt;&gt;"selected_for_runtime","no",IF(OR($AY103="context_with_coverage_gap",$AX103="exploratoria"),"ready_with_flags","ready")))</x:f>
      </x:c>
      <x:c r="BA103" s="81" t="str"/>
      <x:c r="BB103" s="81" t="str"/>
      <x:c r="BC103" s="81" t="str"/>
      <x:c r="BD103" s="81" t="str"/>
      <x:c r="BE103" s="81" t="str"/>
    </x:row>
    <x:row r="104">
      <x:c r="A104" s="81" t="str"/>
      <x:c r="B104" s="81" t="str"/>
      <x:c r="C104" s="81" t="str"/>
      <x:c r="D104" s="81" t="str"/>
      <x:c r="E104" s="81" t="str"/>
      <x:c r="F104" s="81" t="str"/>
      <x:c r="G104" s="81" t="str"/>
      <x:c r="H104" s="81" t="str"/>
      <x:c r="I104" s="81" t="str"/>
      <x:c r="J104" s="81" t="str"/>
      <x:c r="K104" s="81" t="str"/>
      <x:c r="L104" s="81" t="str"/>
      <x:c r="M104" s="81" t="str"/>
      <x:c r="N104" s="81" t="str"/>
      <x:c r="O104" s="81" t="str"/>
      <x:c r="P104" s="81" t="str"/>
      <x:c r="Q104" s="81" t="str"/>
      <x:c r="R104" s="81" t="str"/>
      <x:c r="S104" s="82" t="str"/>
      <x:c r="T104" s="82" t="str"/>
      <x:c r="U104" s="82" t="str"/>
      <x:c r="V104" s="82" t="str"/>
      <x:c r="W104" s="82" t="str"/>
      <x:c r="X104" s="82" t="str"/>
      <x:c r="Y104" s="82" t="str"/>
      <x:c r="Z104" s="82" t="str"/>
      <x:c r="AA104" s="82" t="str"/>
      <x:c r="AB104" s="82" t="str"/>
      <x:c r="AC104" s="82" t="str"/>
      <x:c r="AD104" s="82" t="str"/>
      <x:c r="AE104" s="82" t="str"/>
      <x:c r="AF104" s="82" t="str"/>
      <x:c r="AG104" s="82" t="str"/>
      <x:c r="AH104" s="82" t="str"/>
      <x:c r="AI104" s="81" t="str"/>
      <x:c r="AJ104" s="81" t="str"/>
      <x:c r="AK104" s="81" t="str">
        <x:f>IF($E104="","",IF(AND($M104="yes",OR($N104="yes",$N104="review"),OR($O104="yes",$O104="review"),$P104="fit",OR($Q104="unique",$Q104="alias_review"),$R104&lt;&gt;"context_only"),"pass","review/block"))</x:f>
      </x:c>
      <x:c r="AL104" s="81" t="str">
        <x:f>IF($E104="","",IF($AK104="pass","eligible",IF(OR($M104="no",$O104="no",$P104="too_macro",$P104="too_micro",$P104="context_only",$Q104="duplicate_confirmed",$R104="context_only"),"not_eligible","review")))</x:f>
      </x:c>
      <x:c r="AM104" s="81" t="str">
        <x:f>IF($E104="","",IF($C104=0,"reentry_required",IF($C104&lt;=8,"non_competitive_inclusion","competitive_selection")))</x:f>
      </x:c>
      <x:c r="AN104" s="82" t="str">
        <x:f>IF($E104="","",AVERAGE($U104:$X104))</x:f>
      </x:c>
      <x:c r="AO104" s="82" t="str">
        <x:f>IF($E104="","",AVERAGE($S104:$T104))</x:f>
      </x:c>
      <x:c r="AP104" s="82" t="str">
        <x:f>IF($E104="","",($AF104*0.08)+($AG104*0.08)+($AH104*0.10))</x:f>
      </x:c>
      <x:c r="AQ104" s="82" t="str">
        <x:f>IF($E104="","",MAX(0,($AN104*0.30)+($Y104*0.20)+($Z104*0.15)+($AA104*0.15)+($AB104*0.10)+($AC104*0.10)+($AE104*0.05)-$AP104))</x:f>
      </x:c>
      <x:c r="AR104" s="81" t="str">
        <x:f>IF($E104="","",IF($AM104="competitive_selection",RANK.EQ($AQ104,$AQ$2:$AQ$201,0),""))</x:f>
      </x:c>
      <x:c r="AS104" s="81" t="str">
        <x:f>IF($E104="","",IF(AND($AM104="non_competitive_inclusion",$AL104="eligible"),"selected",""))</x:f>
      </x:c>
      <x:c r="AT104" s="81" t="str">
        <x:f>IF($E104="","",IF($AM104&lt;&gt;"competitive_selection","",IF(AND($AL104="eligible",$AR104&lt;=8),"selected","context/backlog")))</x:f>
      </x:c>
      <x:c r="AU104" s="81" t="str">
        <x:f>IF($E104="","",IF($AM104="reentry_required","not_selected_reentry",IF($AS104="selected","selected_for_runtime",IF($AT104="selected","selected_for_runtime",IF($AL104="review","manual_review","context_or_not_selected")))))</x:f>
      </x:c>
      <x:c r="AV104" s="81" t="str">
        <x:f>IF($E104="","",IF($AU104="selected_for_runtime",IF($AM104="competitive_selection",$AR104,COUNTIF($AU$2:AU104,"selected_for_runtime")),""))</x:f>
      </x:c>
      <x:c r="AW104" s="81" t="str">
        <x:f>IF($E104="","",IF($AU104="selected_for_runtime",IF($AD104&gt;=2,"base_40_plus_uncertainty_probes",IF($AE104&gt;=2,"base_40_plus_exploratory_probes","base_40_standard")),"no_runtime"))</x:f>
      </x:c>
      <x:c r="AX104" s="81" t="str">
        <x:f>IF($E104="","",IF($AU104&lt;&gt;"selected_for_runtime","none",IF($AE104&gt;=2,"exploratoria",IF($AQ104&gt;=2.2,"alta",IF($AQ104&gt;=1.2,"media","baja")))))</x:f>
      </x:c>
      <x:c r="AY104" s="81" t="str">
        <x:f>IF($E104="","",IF($AJ104=TRUE,"context_with_coverage_gap",IF($AI104="review","context_requires_confirmation","context_ready")))</x:f>
      </x:c>
      <x:c r="AZ104" s="81" t="str">
        <x:f>IF($E104="","",IF($AU104&lt;&gt;"selected_for_runtime","no",IF(OR($AY104="context_with_coverage_gap",$AX104="exploratoria"),"ready_with_flags","ready")))</x:f>
      </x:c>
      <x:c r="BA104" s="81" t="str"/>
      <x:c r="BB104" s="81" t="str"/>
      <x:c r="BC104" s="81" t="str"/>
      <x:c r="BD104" s="81" t="str"/>
      <x:c r="BE104" s="81" t="str"/>
    </x:row>
    <x:row r="105">
      <x:c r="A105" s="81" t="str"/>
      <x:c r="B105" s="81" t="str"/>
      <x:c r="C105" s="81" t="str"/>
      <x:c r="D105" s="81" t="str"/>
      <x:c r="E105" s="81" t="str"/>
      <x:c r="F105" s="81" t="str"/>
      <x:c r="G105" s="81" t="str"/>
      <x:c r="H105" s="81" t="str"/>
      <x:c r="I105" s="81" t="str"/>
      <x:c r="J105" s="81" t="str"/>
      <x:c r="K105" s="81" t="str"/>
      <x:c r="L105" s="81" t="str"/>
      <x:c r="M105" s="81" t="str"/>
      <x:c r="N105" s="81" t="str"/>
      <x:c r="O105" s="81" t="str"/>
      <x:c r="P105" s="81" t="str"/>
      <x:c r="Q105" s="81" t="str"/>
      <x:c r="R105" s="81" t="str"/>
      <x:c r="S105" s="82" t="str"/>
      <x:c r="T105" s="82" t="str"/>
      <x:c r="U105" s="82" t="str"/>
      <x:c r="V105" s="82" t="str"/>
      <x:c r="W105" s="82" t="str"/>
      <x:c r="X105" s="82" t="str"/>
      <x:c r="Y105" s="82" t="str"/>
      <x:c r="Z105" s="82" t="str"/>
      <x:c r="AA105" s="82" t="str"/>
      <x:c r="AB105" s="82" t="str"/>
      <x:c r="AC105" s="82" t="str"/>
      <x:c r="AD105" s="82" t="str"/>
      <x:c r="AE105" s="82" t="str"/>
      <x:c r="AF105" s="82" t="str"/>
      <x:c r="AG105" s="82" t="str"/>
      <x:c r="AH105" s="82" t="str"/>
      <x:c r="AI105" s="81" t="str"/>
      <x:c r="AJ105" s="81" t="str"/>
      <x:c r="AK105" s="81" t="str">
        <x:f>IF($E105="","",IF(AND($M105="yes",OR($N105="yes",$N105="review"),OR($O105="yes",$O105="review"),$P105="fit",OR($Q105="unique",$Q105="alias_review"),$R105&lt;&gt;"context_only"),"pass","review/block"))</x:f>
      </x:c>
      <x:c r="AL105" s="81" t="str">
        <x:f>IF($E105="","",IF($AK105="pass","eligible",IF(OR($M105="no",$O105="no",$P105="too_macro",$P105="too_micro",$P105="context_only",$Q105="duplicate_confirmed",$R105="context_only"),"not_eligible","review")))</x:f>
      </x:c>
      <x:c r="AM105" s="81" t="str">
        <x:f>IF($E105="","",IF($C105=0,"reentry_required",IF($C105&lt;=8,"non_competitive_inclusion","competitive_selection")))</x:f>
      </x:c>
      <x:c r="AN105" s="82" t="str">
        <x:f>IF($E105="","",AVERAGE($U105:$X105))</x:f>
      </x:c>
      <x:c r="AO105" s="82" t="str">
        <x:f>IF($E105="","",AVERAGE($S105:$T105))</x:f>
      </x:c>
      <x:c r="AP105" s="82" t="str">
        <x:f>IF($E105="","",($AF105*0.08)+($AG105*0.08)+($AH105*0.10))</x:f>
      </x:c>
      <x:c r="AQ105" s="82" t="str">
        <x:f>IF($E105="","",MAX(0,($AN105*0.30)+($Y105*0.20)+($Z105*0.15)+($AA105*0.15)+($AB105*0.10)+($AC105*0.10)+($AE105*0.05)-$AP105))</x:f>
      </x:c>
      <x:c r="AR105" s="81" t="str">
        <x:f>IF($E105="","",IF($AM105="competitive_selection",RANK.EQ($AQ105,$AQ$2:$AQ$201,0),""))</x:f>
      </x:c>
      <x:c r="AS105" s="81" t="str">
        <x:f>IF($E105="","",IF(AND($AM105="non_competitive_inclusion",$AL105="eligible"),"selected",""))</x:f>
      </x:c>
      <x:c r="AT105" s="81" t="str">
        <x:f>IF($E105="","",IF($AM105&lt;&gt;"competitive_selection","",IF(AND($AL105="eligible",$AR105&lt;=8),"selected","context/backlog")))</x:f>
      </x:c>
      <x:c r="AU105" s="81" t="str">
        <x:f>IF($E105="","",IF($AM105="reentry_required","not_selected_reentry",IF($AS105="selected","selected_for_runtime",IF($AT105="selected","selected_for_runtime",IF($AL105="review","manual_review","context_or_not_selected")))))</x:f>
      </x:c>
      <x:c r="AV105" s="81" t="str">
        <x:f>IF($E105="","",IF($AU105="selected_for_runtime",IF($AM105="competitive_selection",$AR105,COUNTIF($AU$2:AU105,"selected_for_runtime")),""))</x:f>
      </x:c>
      <x:c r="AW105" s="81" t="str">
        <x:f>IF($E105="","",IF($AU105="selected_for_runtime",IF($AD105&gt;=2,"base_40_plus_uncertainty_probes",IF($AE105&gt;=2,"base_40_plus_exploratory_probes","base_40_standard")),"no_runtime"))</x:f>
      </x:c>
      <x:c r="AX105" s="81" t="str">
        <x:f>IF($E105="","",IF($AU105&lt;&gt;"selected_for_runtime","none",IF($AE105&gt;=2,"exploratoria",IF($AQ105&gt;=2.2,"alta",IF($AQ105&gt;=1.2,"media","baja")))))</x:f>
      </x:c>
      <x:c r="AY105" s="81" t="str">
        <x:f>IF($E105="","",IF($AJ105=TRUE,"context_with_coverage_gap",IF($AI105="review","context_requires_confirmation","context_ready")))</x:f>
      </x:c>
      <x:c r="AZ105" s="81" t="str">
        <x:f>IF($E105="","",IF($AU105&lt;&gt;"selected_for_runtime","no",IF(OR($AY105="context_with_coverage_gap",$AX105="exploratoria"),"ready_with_flags","ready")))</x:f>
      </x:c>
      <x:c r="BA105" s="81" t="str"/>
      <x:c r="BB105" s="81" t="str"/>
      <x:c r="BC105" s="81" t="str"/>
      <x:c r="BD105" s="81" t="str"/>
      <x:c r="BE105" s="81" t="str"/>
    </x:row>
    <x:row r="106">
      <x:c r="A106" s="81" t="str"/>
      <x:c r="B106" s="81" t="str"/>
      <x:c r="C106" s="81" t="str"/>
      <x:c r="D106" s="81" t="str"/>
      <x:c r="E106" s="81" t="str"/>
      <x:c r="F106" s="81" t="str"/>
      <x:c r="G106" s="81" t="str"/>
      <x:c r="H106" s="81" t="str"/>
      <x:c r="I106" s="81" t="str"/>
      <x:c r="J106" s="81" t="str"/>
      <x:c r="K106" s="81" t="str"/>
      <x:c r="L106" s="81" t="str"/>
      <x:c r="M106" s="81" t="str"/>
      <x:c r="N106" s="81" t="str"/>
      <x:c r="O106" s="81" t="str"/>
      <x:c r="P106" s="81" t="str"/>
      <x:c r="Q106" s="81" t="str"/>
      <x:c r="R106" s="81" t="str"/>
      <x:c r="S106" s="82" t="str"/>
      <x:c r="T106" s="82" t="str"/>
      <x:c r="U106" s="82" t="str"/>
      <x:c r="V106" s="82" t="str"/>
      <x:c r="W106" s="82" t="str"/>
      <x:c r="X106" s="82" t="str"/>
      <x:c r="Y106" s="82" t="str"/>
      <x:c r="Z106" s="82" t="str"/>
      <x:c r="AA106" s="82" t="str"/>
      <x:c r="AB106" s="82" t="str"/>
      <x:c r="AC106" s="82" t="str"/>
      <x:c r="AD106" s="82" t="str"/>
      <x:c r="AE106" s="82" t="str"/>
      <x:c r="AF106" s="82" t="str"/>
      <x:c r="AG106" s="82" t="str"/>
      <x:c r="AH106" s="82" t="str"/>
      <x:c r="AI106" s="81" t="str"/>
      <x:c r="AJ106" s="81" t="str"/>
      <x:c r="AK106" s="81" t="str">
        <x:f>IF($E106="","",IF(AND($M106="yes",OR($N106="yes",$N106="review"),OR($O106="yes",$O106="review"),$P106="fit",OR($Q106="unique",$Q106="alias_review"),$R106&lt;&gt;"context_only"),"pass","review/block"))</x:f>
      </x:c>
      <x:c r="AL106" s="81" t="str">
        <x:f>IF($E106="","",IF($AK106="pass","eligible",IF(OR($M106="no",$O106="no",$P106="too_macro",$P106="too_micro",$P106="context_only",$Q106="duplicate_confirmed",$R106="context_only"),"not_eligible","review")))</x:f>
      </x:c>
      <x:c r="AM106" s="81" t="str">
        <x:f>IF($E106="","",IF($C106=0,"reentry_required",IF($C106&lt;=8,"non_competitive_inclusion","competitive_selection")))</x:f>
      </x:c>
      <x:c r="AN106" s="82" t="str">
        <x:f>IF($E106="","",AVERAGE($U106:$X106))</x:f>
      </x:c>
      <x:c r="AO106" s="82" t="str">
        <x:f>IF($E106="","",AVERAGE($S106:$T106))</x:f>
      </x:c>
      <x:c r="AP106" s="82" t="str">
        <x:f>IF($E106="","",($AF106*0.08)+($AG106*0.08)+($AH106*0.10))</x:f>
      </x:c>
      <x:c r="AQ106" s="82" t="str">
        <x:f>IF($E106="","",MAX(0,($AN106*0.30)+($Y106*0.20)+($Z106*0.15)+($AA106*0.15)+($AB106*0.10)+($AC106*0.10)+($AE106*0.05)-$AP106))</x:f>
      </x:c>
      <x:c r="AR106" s="81" t="str">
        <x:f>IF($E106="","",IF($AM106="competitive_selection",RANK.EQ($AQ106,$AQ$2:$AQ$201,0),""))</x:f>
      </x:c>
      <x:c r="AS106" s="81" t="str">
        <x:f>IF($E106="","",IF(AND($AM106="non_competitive_inclusion",$AL106="eligible"),"selected",""))</x:f>
      </x:c>
      <x:c r="AT106" s="81" t="str">
        <x:f>IF($E106="","",IF($AM106&lt;&gt;"competitive_selection","",IF(AND($AL106="eligible",$AR106&lt;=8),"selected","context/backlog")))</x:f>
      </x:c>
      <x:c r="AU106" s="81" t="str">
        <x:f>IF($E106="","",IF($AM106="reentry_required","not_selected_reentry",IF($AS106="selected","selected_for_runtime",IF($AT106="selected","selected_for_runtime",IF($AL106="review","manual_review","context_or_not_selected")))))</x:f>
      </x:c>
      <x:c r="AV106" s="81" t="str">
        <x:f>IF($E106="","",IF($AU106="selected_for_runtime",IF($AM106="competitive_selection",$AR106,COUNTIF($AU$2:AU106,"selected_for_runtime")),""))</x:f>
      </x:c>
      <x:c r="AW106" s="81" t="str">
        <x:f>IF($E106="","",IF($AU106="selected_for_runtime",IF($AD106&gt;=2,"base_40_plus_uncertainty_probes",IF($AE106&gt;=2,"base_40_plus_exploratory_probes","base_40_standard")),"no_runtime"))</x:f>
      </x:c>
      <x:c r="AX106" s="81" t="str">
        <x:f>IF($E106="","",IF($AU106&lt;&gt;"selected_for_runtime","none",IF($AE106&gt;=2,"exploratoria",IF($AQ106&gt;=2.2,"alta",IF($AQ106&gt;=1.2,"media","baja")))))</x:f>
      </x:c>
      <x:c r="AY106" s="81" t="str">
        <x:f>IF($E106="","",IF($AJ106=TRUE,"context_with_coverage_gap",IF($AI106="review","context_requires_confirmation","context_ready")))</x:f>
      </x:c>
      <x:c r="AZ106" s="81" t="str">
        <x:f>IF($E106="","",IF($AU106&lt;&gt;"selected_for_runtime","no",IF(OR($AY106="context_with_coverage_gap",$AX106="exploratoria"),"ready_with_flags","ready")))</x:f>
      </x:c>
      <x:c r="BA106" s="81" t="str"/>
      <x:c r="BB106" s="81" t="str"/>
      <x:c r="BC106" s="81" t="str"/>
      <x:c r="BD106" s="81" t="str"/>
      <x:c r="BE106" s="81" t="str"/>
    </x:row>
    <x:row r="107">
      <x:c r="A107" s="81" t="str"/>
      <x:c r="B107" s="81" t="str"/>
      <x:c r="C107" s="81" t="str"/>
      <x:c r="D107" s="81" t="str"/>
      <x:c r="E107" s="81" t="str"/>
      <x:c r="F107" s="81" t="str"/>
      <x:c r="G107" s="81" t="str"/>
      <x:c r="H107" s="81" t="str"/>
      <x:c r="I107" s="81" t="str"/>
      <x:c r="J107" s="81" t="str"/>
      <x:c r="K107" s="81" t="str"/>
      <x:c r="L107" s="81" t="str"/>
      <x:c r="M107" s="81" t="str"/>
      <x:c r="N107" s="81" t="str"/>
      <x:c r="O107" s="81" t="str"/>
      <x:c r="P107" s="81" t="str"/>
      <x:c r="Q107" s="81" t="str"/>
      <x:c r="R107" s="81" t="str"/>
      <x:c r="S107" s="82" t="str"/>
      <x:c r="T107" s="82" t="str"/>
      <x:c r="U107" s="82" t="str"/>
      <x:c r="V107" s="82" t="str"/>
      <x:c r="W107" s="82" t="str"/>
      <x:c r="X107" s="82" t="str"/>
      <x:c r="Y107" s="82" t="str"/>
      <x:c r="Z107" s="82" t="str"/>
      <x:c r="AA107" s="82" t="str"/>
      <x:c r="AB107" s="82" t="str"/>
      <x:c r="AC107" s="82" t="str"/>
      <x:c r="AD107" s="82" t="str"/>
      <x:c r="AE107" s="82" t="str"/>
      <x:c r="AF107" s="82" t="str"/>
      <x:c r="AG107" s="82" t="str"/>
      <x:c r="AH107" s="82" t="str"/>
      <x:c r="AI107" s="81" t="str"/>
      <x:c r="AJ107" s="81" t="str"/>
      <x:c r="AK107" s="81" t="str">
        <x:f>IF($E107="","",IF(AND($M107="yes",OR($N107="yes",$N107="review"),OR($O107="yes",$O107="review"),$P107="fit",OR($Q107="unique",$Q107="alias_review"),$R107&lt;&gt;"context_only"),"pass","review/block"))</x:f>
      </x:c>
      <x:c r="AL107" s="81" t="str">
        <x:f>IF($E107="","",IF($AK107="pass","eligible",IF(OR($M107="no",$O107="no",$P107="too_macro",$P107="too_micro",$P107="context_only",$Q107="duplicate_confirmed",$R107="context_only"),"not_eligible","review")))</x:f>
      </x:c>
      <x:c r="AM107" s="81" t="str">
        <x:f>IF($E107="","",IF($C107=0,"reentry_required",IF($C107&lt;=8,"non_competitive_inclusion","competitive_selection")))</x:f>
      </x:c>
      <x:c r="AN107" s="82" t="str">
        <x:f>IF($E107="","",AVERAGE($U107:$X107))</x:f>
      </x:c>
      <x:c r="AO107" s="82" t="str">
        <x:f>IF($E107="","",AVERAGE($S107:$T107))</x:f>
      </x:c>
      <x:c r="AP107" s="82" t="str">
        <x:f>IF($E107="","",($AF107*0.08)+($AG107*0.08)+($AH107*0.10))</x:f>
      </x:c>
      <x:c r="AQ107" s="82" t="str">
        <x:f>IF($E107="","",MAX(0,($AN107*0.30)+($Y107*0.20)+($Z107*0.15)+($AA107*0.15)+($AB107*0.10)+($AC107*0.10)+($AE107*0.05)-$AP107))</x:f>
      </x:c>
      <x:c r="AR107" s="81" t="str">
        <x:f>IF($E107="","",IF($AM107="competitive_selection",RANK.EQ($AQ107,$AQ$2:$AQ$201,0),""))</x:f>
      </x:c>
      <x:c r="AS107" s="81" t="str">
        <x:f>IF($E107="","",IF(AND($AM107="non_competitive_inclusion",$AL107="eligible"),"selected",""))</x:f>
      </x:c>
      <x:c r="AT107" s="81" t="str">
        <x:f>IF($E107="","",IF($AM107&lt;&gt;"competitive_selection","",IF(AND($AL107="eligible",$AR107&lt;=8),"selected","context/backlog")))</x:f>
      </x:c>
      <x:c r="AU107" s="81" t="str">
        <x:f>IF($E107="","",IF($AM107="reentry_required","not_selected_reentry",IF($AS107="selected","selected_for_runtime",IF($AT107="selected","selected_for_runtime",IF($AL107="review","manual_review","context_or_not_selected")))))</x:f>
      </x:c>
      <x:c r="AV107" s="81" t="str">
        <x:f>IF($E107="","",IF($AU107="selected_for_runtime",IF($AM107="competitive_selection",$AR107,COUNTIF($AU$2:AU107,"selected_for_runtime")),""))</x:f>
      </x:c>
      <x:c r="AW107" s="81" t="str">
        <x:f>IF($E107="","",IF($AU107="selected_for_runtime",IF($AD107&gt;=2,"base_40_plus_uncertainty_probes",IF($AE107&gt;=2,"base_40_plus_exploratory_probes","base_40_standard")),"no_runtime"))</x:f>
      </x:c>
      <x:c r="AX107" s="81" t="str">
        <x:f>IF($E107="","",IF($AU107&lt;&gt;"selected_for_runtime","none",IF($AE107&gt;=2,"exploratoria",IF($AQ107&gt;=2.2,"alta",IF($AQ107&gt;=1.2,"media","baja")))))</x:f>
      </x:c>
      <x:c r="AY107" s="81" t="str">
        <x:f>IF($E107="","",IF($AJ107=TRUE,"context_with_coverage_gap",IF($AI107="review","context_requires_confirmation","context_ready")))</x:f>
      </x:c>
      <x:c r="AZ107" s="81" t="str">
        <x:f>IF($E107="","",IF($AU107&lt;&gt;"selected_for_runtime","no",IF(OR($AY107="context_with_coverage_gap",$AX107="exploratoria"),"ready_with_flags","ready")))</x:f>
      </x:c>
      <x:c r="BA107" s="81" t="str"/>
      <x:c r="BB107" s="81" t="str"/>
      <x:c r="BC107" s="81" t="str"/>
      <x:c r="BD107" s="81" t="str"/>
      <x:c r="BE107" s="81" t="str"/>
    </x:row>
    <x:row r="108">
      <x:c r="A108" s="81" t="str"/>
      <x:c r="B108" s="81" t="str"/>
      <x:c r="C108" s="81" t="str"/>
      <x:c r="D108" s="81" t="str"/>
      <x:c r="E108" s="81" t="str"/>
      <x:c r="F108" s="81" t="str"/>
      <x:c r="G108" s="81" t="str"/>
      <x:c r="H108" s="81" t="str"/>
      <x:c r="I108" s="81" t="str"/>
      <x:c r="J108" s="81" t="str"/>
      <x:c r="K108" s="81" t="str"/>
      <x:c r="L108" s="81" t="str"/>
      <x:c r="M108" s="81" t="str"/>
      <x:c r="N108" s="81" t="str"/>
      <x:c r="O108" s="81" t="str"/>
      <x:c r="P108" s="81" t="str"/>
      <x:c r="Q108" s="81" t="str"/>
      <x:c r="R108" s="81" t="str"/>
      <x:c r="S108" s="82" t="str"/>
      <x:c r="T108" s="82" t="str"/>
      <x:c r="U108" s="82" t="str"/>
      <x:c r="V108" s="82" t="str"/>
      <x:c r="W108" s="82" t="str"/>
      <x:c r="X108" s="82" t="str"/>
      <x:c r="Y108" s="82" t="str"/>
      <x:c r="Z108" s="82" t="str"/>
      <x:c r="AA108" s="82" t="str"/>
      <x:c r="AB108" s="82" t="str"/>
      <x:c r="AC108" s="82" t="str"/>
      <x:c r="AD108" s="82" t="str"/>
      <x:c r="AE108" s="82" t="str"/>
      <x:c r="AF108" s="82" t="str"/>
      <x:c r="AG108" s="82" t="str"/>
      <x:c r="AH108" s="82" t="str"/>
      <x:c r="AI108" s="81" t="str"/>
      <x:c r="AJ108" s="81" t="str"/>
      <x:c r="AK108" s="81" t="str">
        <x:f>IF($E108="","",IF(AND($M108="yes",OR($N108="yes",$N108="review"),OR($O108="yes",$O108="review"),$P108="fit",OR($Q108="unique",$Q108="alias_review"),$R108&lt;&gt;"context_only"),"pass","review/block"))</x:f>
      </x:c>
      <x:c r="AL108" s="81" t="str">
        <x:f>IF($E108="","",IF($AK108="pass","eligible",IF(OR($M108="no",$O108="no",$P108="too_macro",$P108="too_micro",$P108="context_only",$Q108="duplicate_confirmed",$R108="context_only"),"not_eligible","review")))</x:f>
      </x:c>
      <x:c r="AM108" s="81" t="str">
        <x:f>IF($E108="","",IF($C108=0,"reentry_required",IF($C108&lt;=8,"non_competitive_inclusion","competitive_selection")))</x:f>
      </x:c>
      <x:c r="AN108" s="82" t="str">
        <x:f>IF($E108="","",AVERAGE($U108:$X108))</x:f>
      </x:c>
      <x:c r="AO108" s="82" t="str">
        <x:f>IF($E108="","",AVERAGE($S108:$T108))</x:f>
      </x:c>
      <x:c r="AP108" s="82" t="str">
        <x:f>IF($E108="","",($AF108*0.08)+($AG108*0.08)+($AH108*0.10))</x:f>
      </x:c>
      <x:c r="AQ108" s="82" t="str">
        <x:f>IF($E108="","",MAX(0,($AN108*0.30)+($Y108*0.20)+($Z108*0.15)+($AA108*0.15)+($AB108*0.10)+($AC108*0.10)+($AE108*0.05)-$AP108))</x:f>
      </x:c>
      <x:c r="AR108" s="81" t="str">
        <x:f>IF($E108="","",IF($AM108="competitive_selection",RANK.EQ($AQ108,$AQ$2:$AQ$201,0),""))</x:f>
      </x:c>
      <x:c r="AS108" s="81" t="str">
        <x:f>IF($E108="","",IF(AND($AM108="non_competitive_inclusion",$AL108="eligible"),"selected",""))</x:f>
      </x:c>
      <x:c r="AT108" s="81" t="str">
        <x:f>IF($E108="","",IF($AM108&lt;&gt;"competitive_selection","",IF(AND($AL108="eligible",$AR108&lt;=8),"selected","context/backlog")))</x:f>
      </x:c>
      <x:c r="AU108" s="81" t="str">
        <x:f>IF($E108="","",IF($AM108="reentry_required","not_selected_reentry",IF($AS108="selected","selected_for_runtime",IF($AT108="selected","selected_for_runtime",IF($AL108="review","manual_review","context_or_not_selected")))))</x:f>
      </x:c>
      <x:c r="AV108" s="81" t="str">
        <x:f>IF($E108="","",IF($AU108="selected_for_runtime",IF($AM108="competitive_selection",$AR108,COUNTIF($AU$2:AU108,"selected_for_runtime")),""))</x:f>
      </x:c>
      <x:c r="AW108" s="81" t="str">
        <x:f>IF($E108="","",IF($AU108="selected_for_runtime",IF($AD108&gt;=2,"base_40_plus_uncertainty_probes",IF($AE108&gt;=2,"base_40_plus_exploratory_probes","base_40_standard")),"no_runtime"))</x:f>
      </x:c>
      <x:c r="AX108" s="81" t="str">
        <x:f>IF($E108="","",IF($AU108&lt;&gt;"selected_for_runtime","none",IF($AE108&gt;=2,"exploratoria",IF($AQ108&gt;=2.2,"alta",IF($AQ108&gt;=1.2,"media","baja")))))</x:f>
      </x:c>
      <x:c r="AY108" s="81" t="str">
        <x:f>IF($E108="","",IF($AJ108=TRUE,"context_with_coverage_gap",IF($AI108="review","context_requires_confirmation","context_ready")))</x:f>
      </x:c>
      <x:c r="AZ108" s="81" t="str">
        <x:f>IF($E108="","",IF($AU108&lt;&gt;"selected_for_runtime","no",IF(OR($AY108="context_with_coverage_gap",$AX108="exploratoria"),"ready_with_flags","ready")))</x:f>
      </x:c>
      <x:c r="BA108" s="81" t="str"/>
      <x:c r="BB108" s="81" t="str"/>
      <x:c r="BC108" s="81" t="str"/>
      <x:c r="BD108" s="81" t="str"/>
      <x:c r="BE108" s="81" t="str"/>
    </x:row>
    <x:row r="109">
      <x:c r="A109" s="81" t="str"/>
      <x:c r="B109" s="81" t="str"/>
      <x:c r="C109" s="81" t="str"/>
      <x:c r="D109" s="81" t="str"/>
      <x:c r="E109" s="81" t="str"/>
      <x:c r="F109" s="81" t="str"/>
      <x:c r="G109" s="81" t="str"/>
      <x:c r="H109" s="81" t="str"/>
      <x:c r="I109" s="81" t="str"/>
      <x:c r="J109" s="81" t="str"/>
      <x:c r="K109" s="81" t="str"/>
      <x:c r="L109" s="81" t="str"/>
      <x:c r="M109" s="81" t="str"/>
      <x:c r="N109" s="81" t="str"/>
      <x:c r="O109" s="81" t="str"/>
      <x:c r="P109" s="81" t="str"/>
      <x:c r="Q109" s="81" t="str"/>
      <x:c r="R109" s="81" t="str"/>
      <x:c r="S109" s="82" t="str"/>
      <x:c r="T109" s="82" t="str"/>
      <x:c r="U109" s="82" t="str"/>
      <x:c r="V109" s="82" t="str"/>
      <x:c r="W109" s="82" t="str"/>
      <x:c r="X109" s="82" t="str"/>
      <x:c r="Y109" s="82" t="str"/>
      <x:c r="Z109" s="82" t="str"/>
      <x:c r="AA109" s="82" t="str"/>
      <x:c r="AB109" s="82" t="str"/>
      <x:c r="AC109" s="82" t="str"/>
      <x:c r="AD109" s="82" t="str"/>
      <x:c r="AE109" s="82" t="str"/>
      <x:c r="AF109" s="82" t="str"/>
      <x:c r="AG109" s="82" t="str"/>
      <x:c r="AH109" s="82" t="str"/>
      <x:c r="AI109" s="81" t="str"/>
      <x:c r="AJ109" s="81" t="str"/>
      <x:c r="AK109" s="81" t="str">
        <x:f>IF($E109="","",IF(AND($M109="yes",OR($N109="yes",$N109="review"),OR($O109="yes",$O109="review"),$P109="fit",OR($Q109="unique",$Q109="alias_review"),$R109&lt;&gt;"context_only"),"pass","review/block"))</x:f>
      </x:c>
      <x:c r="AL109" s="81" t="str">
        <x:f>IF($E109="","",IF($AK109="pass","eligible",IF(OR($M109="no",$O109="no",$P109="too_macro",$P109="too_micro",$P109="context_only",$Q109="duplicate_confirmed",$R109="context_only"),"not_eligible","review")))</x:f>
      </x:c>
      <x:c r="AM109" s="81" t="str">
        <x:f>IF($E109="","",IF($C109=0,"reentry_required",IF($C109&lt;=8,"non_competitive_inclusion","competitive_selection")))</x:f>
      </x:c>
      <x:c r="AN109" s="82" t="str">
        <x:f>IF($E109="","",AVERAGE($U109:$X109))</x:f>
      </x:c>
      <x:c r="AO109" s="82" t="str">
        <x:f>IF($E109="","",AVERAGE($S109:$T109))</x:f>
      </x:c>
      <x:c r="AP109" s="82" t="str">
        <x:f>IF($E109="","",($AF109*0.08)+($AG109*0.08)+($AH109*0.10))</x:f>
      </x:c>
      <x:c r="AQ109" s="82" t="str">
        <x:f>IF($E109="","",MAX(0,($AN109*0.30)+($Y109*0.20)+($Z109*0.15)+($AA109*0.15)+($AB109*0.10)+($AC109*0.10)+($AE109*0.05)-$AP109))</x:f>
      </x:c>
      <x:c r="AR109" s="81" t="str">
        <x:f>IF($E109="","",IF($AM109="competitive_selection",RANK.EQ($AQ109,$AQ$2:$AQ$201,0),""))</x:f>
      </x:c>
      <x:c r="AS109" s="81" t="str">
        <x:f>IF($E109="","",IF(AND($AM109="non_competitive_inclusion",$AL109="eligible"),"selected",""))</x:f>
      </x:c>
      <x:c r="AT109" s="81" t="str">
        <x:f>IF($E109="","",IF($AM109&lt;&gt;"competitive_selection","",IF(AND($AL109="eligible",$AR109&lt;=8),"selected","context/backlog")))</x:f>
      </x:c>
      <x:c r="AU109" s="81" t="str">
        <x:f>IF($E109="","",IF($AM109="reentry_required","not_selected_reentry",IF($AS109="selected","selected_for_runtime",IF($AT109="selected","selected_for_runtime",IF($AL109="review","manual_review","context_or_not_selected")))))</x:f>
      </x:c>
      <x:c r="AV109" s="81" t="str">
        <x:f>IF($E109="","",IF($AU109="selected_for_runtime",IF($AM109="competitive_selection",$AR109,COUNTIF($AU$2:AU109,"selected_for_runtime")),""))</x:f>
      </x:c>
      <x:c r="AW109" s="81" t="str">
        <x:f>IF($E109="","",IF($AU109="selected_for_runtime",IF($AD109&gt;=2,"base_40_plus_uncertainty_probes",IF($AE109&gt;=2,"base_40_plus_exploratory_probes","base_40_standard")),"no_runtime"))</x:f>
      </x:c>
      <x:c r="AX109" s="81" t="str">
        <x:f>IF($E109="","",IF($AU109&lt;&gt;"selected_for_runtime","none",IF($AE109&gt;=2,"exploratoria",IF($AQ109&gt;=2.2,"alta",IF($AQ109&gt;=1.2,"media","baja")))))</x:f>
      </x:c>
      <x:c r="AY109" s="81" t="str">
        <x:f>IF($E109="","",IF($AJ109=TRUE,"context_with_coverage_gap",IF($AI109="review","context_requires_confirmation","context_ready")))</x:f>
      </x:c>
      <x:c r="AZ109" s="81" t="str">
        <x:f>IF($E109="","",IF($AU109&lt;&gt;"selected_for_runtime","no",IF(OR($AY109="context_with_coverage_gap",$AX109="exploratoria"),"ready_with_flags","ready")))</x:f>
      </x:c>
      <x:c r="BA109" s="81" t="str"/>
      <x:c r="BB109" s="81" t="str"/>
      <x:c r="BC109" s="81" t="str"/>
      <x:c r="BD109" s="81" t="str"/>
      <x:c r="BE109" s="81" t="str"/>
    </x:row>
    <x:row r="110">
      <x:c r="A110" s="81" t="str"/>
      <x:c r="B110" s="81" t="str"/>
      <x:c r="C110" s="81" t="str"/>
      <x:c r="D110" s="81" t="str"/>
      <x:c r="E110" s="81" t="str"/>
      <x:c r="F110" s="81" t="str"/>
      <x:c r="G110" s="81" t="str"/>
      <x:c r="H110" s="81" t="str"/>
      <x:c r="I110" s="81" t="str"/>
      <x:c r="J110" s="81" t="str"/>
      <x:c r="K110" s="81" t="str"/>
      <x:c r="L110" s="81" t="str"/>
      <x:c r="M110" s="81" t="str"/>
      <x:c r="N110" s="81" t="str"/>
      <x:c r="O110" s="81" t="str"/>
      <x:c r="P110" s="81" t="str"/>
      <x:c r="Q110" s="81" t="str"/>
      <x:c r="R110" s="81" t="str"/>
      <x:c r="S110" s="82" t="str"/>
      <x:c r="T110" s="82" t="str"/>
      <x:c r="U110" s="82" t="str"/>
      <x:c r="V110" s="82" t="str"/>
      <x:c r="W110" s="82" t="str"/>
      <x:c r="X110" s="82" t="str"/>
      <x:c r="Y110" s="82" t="str"/>
      <x:c r="Z110" s="82" t="str"/>
      <x:c r="AA110" s="82" t="str"/>
      <x:c r="AB110" s="82" t="str"/>
      <x:c r="AC110" s="82" t="str"/>
      <x:c r="AD110" s="82" t="str"/>
      <x:c r="AE110" s="82" t="str"/>
      <x:c r="AF110" s="82" t="str"/>
      <x:c r="AG110" s="82" t="str"/>
      <x:c r="AH110" s="82" t="str"/>
      <x:c r="AI110" s="81" t="str"/>
      <x:c r="AJ110" s="81" t="str"/>
      <x:c r="AK110" s="81" t="str">
        <x:f>IF($E110="","",IF(AND($M110="yes",OR($N110="yes",$N110="review"),OR($O110="yes",$O110="review"),$P110="fit",OR($Q110="unique",$Q110="alias_review"),$R110&lt;&gt;"context_only"),"pass","review/block"))</x:f>
      </x:c>
      <x:c r="AL110" s="81" t="str">
        <x:f>IF($E110="","",IF($AK110="pass","eligible",IF(OR($M110="no",$O110="no",$P110="too_macro",$P110="too_micro",$P110="context_only",$Q110="duplicate_confirmed",$R110="context_only"),"not_eligible","review")))</x:f>
      </x:c>
      <x:c r="AM110" s="81" t="str">
        <x:f>IF($E110="","",IF($C110=0,"reentry_required",IF($C110&lt;=8,"non_competitive_inclusion","competitive_selection")))</x:f>
      </x:c>
      <x:c r="AN110" s="82" t="str">
        <x:f>IF($E110="","",AVERAGE($U110:$X110))</x:f>
      </x:c>
      <x:c r="AO110" s="82" t="str">
        <x:f>IF($E110="","",AVERAGE($S110:$T110))</x:f>
      </x:c>
      <x:c r="AP110" s="82" t="str">
        <x:f>IF($E110="","",($AF110*0.08)+($AG110*0.08)+($AH110*0.10))</x:f>
      </x:c>
      <x:c r="AQ110" s="82" t="str">
        <x:f>IF($E110="","",MAX(0,($AN110*0.30)+($Y110*0.20)+($Z110*0.15)+($AA110*0.15)+($AB110*0.10)+($AC110*0.10)+($AE110*0.05)-$AP110))</x:f>
      </x:c>
      <x:c r="AR110" s="81" t="str">
        <x:f>IF($E110="","",IF($AM110="competitive_selection",RANK.EQ($AQ110,$AQ$2:$AQ$201,0),""))</x:f>
      </x:c>
      <x:c r="AS110" s="81" t="str">
        <x:f>IF($E110="","",IF(AND($AM110="non_competitive_inclusion",$AL110="eligible"),"selected",""))</x:f>
      </x:c>
      <x:c r="AT110" s="81" t="str">
        <x:f>IF($E110="","",IF($AM110&lt;&gt;"competitive_selection","",IF(AND($AL110="eligible",$AR110&lt;=8),"selected","context/backlog")))</x:f>
      </x:c>
      <x:c r="AU110" s="81" t="str">
        <x:f>IF($E110="","",IF($AM110="reentry_required","not_selected_reentry",IF($AS110="selected","selected_for_runtime",IF($AT110="selected","selected_for_runtime",IF($AL110="review","manual_review","context_or_not_selected")))))</x:f>
      </x:c>
      <x:c r="AV110" s="81" t="str">
        <x:f>IF($E110="","",IF($AU110="selected_for_runtime",IF($AM110="competitive_selection",$AR110,COUNTIF($AU$2:AU110,"selected_for_runtime")),""))</x:f>
      </x:c>
      <x:c r="AW110" s="81" t="str">
        <x:f>IF($E110="","",IF($AU110="selected_for_runtime",IF($AD110&gt;=2,"base_40_plus_uncertainty_probes",IF($AE110&gt;=2,"base_40_plus_exploratory_probes","base_40_standard")),"no_runtime"))</x:f>
      </x:c>
      <x:c r="AX110" s="81" t="str">
        <x:f>IF($E110="","",IF($AU110&lt;&gt;"selected_for_runtime","none",IF($AE110&gt;=2,"exploratoria",IF($AQ110&gt;=2.2,"alta",IF($AQ110&gt;=1.2,"media","baja")))))</x:f>
      </x:c>
      <x:c r="AY110" s="81" t="str">
        <x:f>IF($E110="","",IF($AJ110=TRUE,"context_with_coverage_gap",IF($AI110="review","context_requires_confirmation","context_ready")))</x:f>
      </x:c>
      <x:c r="AZ110" s="81" t="str">
        <x:f>IF($E110="","",IF($AU110&lt;&gt;"selected_for_runtime","no",IF(OR($AY110="context_with_coverage_gap",$AX110="exploratoria"),"ready_with_flags","ready")))</x:f>
      </x:c>
      <x:c r="BA110" s="81" t="str"/>
      <x:c r="BB110" s="81" t="str"/>
      <x:c r="BC110" s="81" t="str"/>
      <x:c r="BD110" s="81" t="str"/>
      <x:c r="BE110" s="81" t="str"/>
    </x:row>
    <x:row r="111">
      <x:c r="A111" s="81" t="str"/>
      <x:c r="B111" s="81" t="str"/>
      <x:c r="C111" s="81" t="str"/>
      <x:c r="D111" s="81" t="str"/>
      <x:c r="E111" s="81" t="str"/>
      <x:c r="F111" s="81" t="str"/>
      <x:c r="G111" s="81" t="str"/>
      <x:c r="H111" s="81" t="str"/>
      <x:c r="I111" s="81" t="str"/>
      <x:c r="J111" s="81" t="str"/>
      <x:c r="K111" s="81" t="str"/>
      <x:c r="L111" s="81" t="str"/>
      <x:c r="M111" s="81" t="str"/>
      <x:c r="N111" s="81" t="str"/>
      <x:c r="O111" s="81" t="str"/>
      <x:c r="P111" s="81" t="str"/>
      <x:c r="Q111" s="81" t="str"/>
      <x:c r="R111" s="81" t="str"/>
      <x:c r="S111" s="82" t="str"/>
      <x:c r="T111" s="82" t="str"/>
      <x:c r="U111" s="82" t="str"/>
      <x:c r="V111" s="82" t="str"/>
      <x:c r="W111" s="82" t="str"/>
      <x:c r="X111" s="82" t="str"/>
      <x:c r="Y111" s="82" t="str"/>
      <x:c r="Z111" s="82" t="str"/>
      <x:c r="AA111" s="82" t="str"/>
      <x:c r="AB111" s="82" t="str"/>
      <x:c r="AC111" s="82" t="str"/>
      <x:c r="AD111" s="82" t="str"/>
      <x:c r="AE111" s="82" t="str"/>
      <x:c r="AF111" s="82" t="str"/>
      <x:c r="AG111" s="82" t="str"/>
      <x:c r="AH111" s="82" t="str"/>
      <x:c r="AI111" s="81" t="str"/>
      <x:c r="AJ111" s="81" t="str"/>
      <x:c r="AK111" s="81" t="str">
        <x:f>IF($E111="","",IF(AND($M111="yes",OR($N111="yes",$N111="review"),OR($O111="yes",$O111="review"),$P111="fit",OR($Q111="unique",$Q111="alias_review"),$R111&lt;&gt;"context_only"),"pass","review/block"))</x:f>
      </x:c>
      <x:c r="AL111" s="81" t="str">
        <x:f>IF($E111="","",IF($AK111="pass","eligible",IF(OR($M111="no",$O111="no",$P111="too_macro",$P111="too_micro",$P111="context_only",$Q111="duplicate_confirmed",$R111="context_only"),"not_eligible","review")))</x:f>
      </x:c>
      <x:c r="AM111" s="81" t="str">
        <x:f>IF($E111="","",IF($C111=0,"reentry_required",IF($C111&lt;=8,"non_competitive_inclusion","competitive_selection")))</x:f>
      </x:c>
      <x:c r="AN111" s="82" t="str">
        <x:f>IF($E111="","",AVERAGE($U111:$X111))</x:f>
      </x:c>
      <x:c r="AO111" s="82" t="str">
        <x:f>IF($E111="","",AVERAGE($S111:$T111))</x:f>
      </x:c>
      <x:c r="AP111" s="82" t="str">
        <x:f>IF($E111="","",($AF111*0.08)+($AG111*0.08)+($AH111*0.10))</x:f>
      </x:c>
      <x:c r="AQ111" s="82" t="str">
        <x:f>IF($E111="","",MAX(0,($AN111*0.30)+($Y111*0.20)+($Z111*0.15)+($AA111*0.15)+($AB111*0.10)+($AC111*0.10)+($AE111*0.05)-$AP111))</x:f>
      </x:c>
      <x:c r="AR111" s="81" t="str">
        <x:f>IF($E111="","",IF($AM111="competitive_selection",RANK.EQ($AQ111,$AQ$2:$AQ$201,0),""))</x:f>
      </x:c>
      <x:c r="AS111" s="81" t="str">
        <x:f>IF($E111="","",IF(AND($AM111="non_competitive_inclusion",$AL111="eligible"),"selected",""))</x:f>
      </x:c>
      <x:c r="AT111" s="81" t="str">
        <x:f>IF($E111="","",IF($AM111&lt;&gt;"competitive_selection","",IF(AND($AL111="eligible",$AR111&lt;=8),"selected","context/backlog")))</x:f>
      </x:c>
      <x:c r="AU111" s="81" t="str">
        <x:f>IF($E111="","",IF($AM111="reentry_required","not_selected_reentry",IF($AS111="selected","selected_for_runtime",IF($AT111="selected","selected_for_runtime",IF($AL111="review","manual_review","context_or_not_selected")))))</x:f>
      </x:c>
      <x:c r="AV111" s="81" t="str">
        <x:f>IF($E111="","",IF($AU111="selected_for_runtime",IF($AM111="competitive_selection",$AR111,COUNTIF($AU$2:AU111,"selected_for_runtime")),""))</x:f>
      </x:c>
      <x:c r="AW111" s="81" t="str">
        <x:f>IF($E111="","",IF($AU111="selected_for_runtime",IF($AD111&gt;=2,"base_40_plus_uncertainty_probes",IF($AE111&gt;=2,"base_40_plus_exploratory_probes","base_40_standard")),"no_runtime"))</x:f>
      </x:c>
      <x:c r="AX111" s="81" t="str">
        <x:f>IF($E111="","",IF($AU111&lt;&gt;"selected_for_runtime","none",IF($AE111&gt;=2,"exploratoria",IF($AQ111&gt;=2.2,"alta",IF($AQ111&gt;=1.2,"media","baja")))))</x:f>
      </x:c>
      <x:c r="AY111" s="81" t="str">
        <x:f>IF($E111="","",IF($AJ111=TRUE,"context_with_coverage_gap",IF($AI111="review","context_requires_confirmation","context_ready")))</x:f>
      </x:c>
      <x:c r="AZ111" s="81" t="str">
        <x:f>IF($E111="","",IF($AU111&lt;&gt;"selected_for_runtime","no",IF(OR($AY111="context_with_coverage_gap",$AX111="exploratoria"),"ready_with_flags","ready")))</x:f>
      </x:c>
      <x:c r="BA111" s="81" t="str"/>
      <x:c r="BB111" s="81" t="str"/>
      <x:c r="BC111" s="81" t="str"/>
      <x:c r="BD111" s="81" t="str"/>
      <x:c r="BE111" s="81" t="str"/>
    </x:row>
    <x:row r="112">
      <x:c r="A112" s="81" t="str"/>
      <x:c r="B112" s="81" t="str"/>
      <x:c r="C112" s="81" t="str"/>
      <x:c r="D112" s="81" t="str"/>
      <x:c r="E112" s="81" t="str"/>
      <x:c r="F112" s="81" t="str"/>
      <x:c r="G112" s="81" t="str"/>
      <x:c r="H112" s="81" t="str"/>
      <x:c r="I112" s="81" t="str"/>
      <x:c r="J112" s="81" t="str"/>
      <x:c r="K112" s="81" t="str"/>
      <x:c r="L112" s="81" t="str"/>
      <x:c r="M112" s="81" t="str"/>
      <x:c r="N112" s="81" t="str"/>
      <x:c r="O112" s="81" t="str"/>
      <x:c r="P112" s="81" t="str"/>
      <x:c r="Q112" s="81" t="str"/>
      <x:c r="R112" s="81" t="str"/>
      <x:c r="S112" s="82" t="str"/>
      <x:c r="T112" s="82" t="str"/>
      <x:c r="U112" s="82" t="str"/>
      <x:c r="V112" s="82" t="str"/>
      <x:c r="W112" s="82" t="str"/>
      <x:c r="X112" s="82" t="str"/>
      <x:c r="Y112" s="82" t="str"/>
      <x:c r="Z112" s="82" t="str"/>
      <x:c r="AA112" s="82" t="str"/>
      <x:c r="AB112" s="82" t="str"/>
      <x:c r="AC112" s="82" t="str"/>
      <x:c r="AD112" s="82" t="str"/>
      <x:c r="AE112" s="82" t="str"/>
      <x:c r="AF112" s="82" t="str"/>
      <x:c r="AG112" s="82" t="str"/>
      <x:c r="AH112" s="82" t="str"/>
      <x:c r="AI112" s="81" t="str"/>
      <x:c r="AJ112" s="81" t="str"/>
      <x:c r="AK112" s="81" t="str">
        <x:f>IF($E112="","",IF(AND($M112="yes",OR($N112="yes",$N112="review"),OR($O112="yes",$O112="review"),$P112="fit",OR($Q112="unique",$Q112="alias_review"),$R112&lt;&gt;"context_only"),"pass","review/block"))</x:f>
      </x:c>
      <x:c r="AL112" s="81" t="str">
        <x:f>IF($E112="","",IF($AK112="pass","eligible",IF(OR($M112="no",$O112="no",$P112="too_macro",$P112="too_micro",$P112="context_only",$Q112="duplicate_confirmed",$R112="context_only"),"not_eligible","review")))</x:f>
      </x:c>
      <x:c r="AM112" s="81" t="str">
        <x:f>IF($E112="","",IF($C112=0,"reentry_required",IF($C112&lt;=8,"non_competitive_inclusion","competitive_selection")))</x:f>
      </x:c>
      <x:c r="AN112" s="82" t="str">
        <x:f>IF($E112="","",AVERAGE($U112:$X112))</x:f>
      </x:c>
      <x:c r="AO112" s="82" t="str">
        <x:f>IF($E112="","",AVERAGE($S112:$T112))</x:f>
      </x:c>
      <x:c r="AP112" s="82" t="str">
        <x:f>IF($E112="","",($AF112*0.08)+($AG112*0.08)+($AH112*0.10))</x:f>
      </x:c>
      <x:c r="AQ112" s="82" t="str">
        <x:f>IF($E112="","",MAX(0,($AN112*0.30)+($Y112*0.20)+($Z112*0.15)+($AA112*0.15)+($AB112*0.10)+($AC112*0.10)+($AE112*0.05)-$AP112))</x:f>
      </x:c>
      <x:c r="AR112" s="81" t="str">
        <x:f>IF($E112="","",IF($AM112="competitive_selection",RANK.EQ($AQ112,$AQ$2:$AQ$201,0),""))</x:f>
      </x:c>
      <x:c r="AS112" s="81" t="str">
        <x:f>IF($E112="","",IF(AND($AM112="non_competitive_inclusion",$AL112="eligible"),"selected",""))</x:f>
      </x:c>
      <x:c r="AT112" s="81" t="str">
        <x:f>IF($E112="","",IF($AM112&lt;&gt;"competitive_selection","",IF(AND($AL112="eligible",$AR112&lt;=8),"selected","context/backlog")))</x:f>
      </x:c>
      <x:c r="AU112" s="81" t="str">
        <x:f>IF($E112="","",IF($AM112="reentry_required","not_selected_reentry",IF($AS112="selected","selected_for_runtime",IF($AT112="selected","selected_for_runtime",IF($AL112="review","manual_review","context_or_not_selected")))))</x:f>
      </x:c>
      <x:c r="AV112" s="81" t="str">
        <x:f>IF($E112="","",IF($AU112="selected_for_runtime",IF($AM112="competitive_selection",$AR112,COUNTIF($AU$2:AU112,"selected_for_runtime")),""))</x:f>
      </x:c>
      <x:c r="AW112" s="81" t="str">
        <x:f>IF($E112="","",IF($AU112="selected_for_runtime",IF($AD112&gt;=2,"base_40_plus_uncertainty_probes",IF($AE112&gt;=2,"base_40_plus_exploratory_probes","base_40_standard")),"no_runtime"))</x:f>
      </x:c>
      <x:c r="AX112" s="81" t="str">
        <x:f>IF($E112="","",IF($AU112&lt;&gt;"selected_for_runtime","none",IF($AE112&gt;=2,"exploratoria",IF($AQ112&gt;=2.2,"alta",IF($AQ112&gt;=1.2,"media","baja")))))</x:f>
      </x:c>
      <x:c r="AY112" s="81" t="str">
        <x:f>IF($E112="","",IF($AJ112=TRUE,"context_with_coverage_gap",IF($AI112="review","context_requires_confirmation","context_ready")))</x:f>
      </x:c>
      <x:c r="AZ112" s="81" t="str">
        <x:f>IF($E112="","",IF($AU112&lt;&gt;"selected_for_runtime","no",IF(OR($AY112="context_with_coverage_gap",$AX112="exploratoria"),"ready_with_flags","ready")))</x:f>
      </x:c>
      <x:c r="BA112" s="81" t="str"/>
      <x:c r="BB112" s="81" t="str"/>
      <x:c r="BC112" s="81" t="str"/>
      <x:c r="BD112" s="81" t="str"/>
      <x:c r="BE112" s="81" t="str"/>
    </x:row>
    <x:row r="113">
      <x:c r="A113" s="81" t="str"/>
      <x:c r="B113" s="81" t="str"/>
      <x:c r="C113" s="81" t="str"/>
      <x:c r="D113" s="81" t="str"/>
      <x:c r="E113" s="81" t="str"/>
      <x:c r="F113" s="81" t="str"/>
      <x:c r="G113" s="81" t="str"/>
      <x:c r="H113" s="81" t="str"/>
      <x:c r="I113" s="81" t="str"/>
      <x:c r="J113" s="81" t="str"/>
      <x:c r="K113" s="81" t="str"/>
      <x:c r="L113" s="81" t="str"/>
      <x:c r="M113" s="81" t="str"/>
      <x:c r="N113" s="81" t="str"/>
      <x:c r="O113" s="81" t="str"/>
      <x:c r="P113" s="81" t="str"/>
      <x:c r="Q113" s="81" t="str"/>
      <x:c r="R113" s="81" t="str"/>
      <x:c r="S113" s="82" t="str"/>
      <x:c r="T113" s="82" t="str"/>
      <x:c r="U113" s="82" t="str"/>
      <x:c r="V113" s="82" t="str"/>
      <x:c r="W113" s="82" t="str"/>
      <x:c r="X113" s="82" t="str"/>
      <x:c r="Y113" s="82" t="str"/>
      <x:c r="Z113" s="82" t="str"/>
      <x:c r="AA113" s="82" t="str"/>
      <x:c r="AB113" s="82" t="str"/>
      <x:c r="AC113" s="82" t="str"/>
      <x:c r="AD113" s="82" t="str"/>
      <x:c r="AE113" s="82" t="str"/>
      <x:c r="AF113" s="82" t="str"/>
      <x:c r="AG113" s="82" t="str"/>
      <x:c r="AH113" s="82" t="str"/>
      <x:c r="AI113" s="81" t="str"/>
      <x:c r="AJ113" s="81" t="str"/>
      <x:c r="AK113" s="81" t="str">
        <x:f>IF($E113="","",IF(AND($M113="yes",OR($N113="yes",$N113="review"),OR($O113="yes",$O113="review"),$P113="fit",OR($Q113="unique",$Q113="alias_review"),$R113&lt;&gt;"context_only"),"pass","review/block"))</x:f>
      </x:c>
      <x:c r="AL113" s="81" t="str">
        <x:f>IF($E113="","",IF($AK113="pass","eligible",IF(OR($M113="no",$O113="no",$P113="too_macro",$P113="too_micro",$P113="context_only",$Q113="duplicate_confirmed",$R113="context_only"),"not_eligible","review")))</x:f>
      </x:c>
      <x:c r="AM113" s="81" t="str">
        <x:f>IF($E113="","",IF($C113=0,"reentry_required",IF($C113&lt;=8,"non_competitive_inclusion","competitive_selection")))</x:f>
      </x:c>
      <x:c r="AN113" s="82" t="str">
        <x:f>IF($E113="","",AVERAGE($U113:$X113))</x:f>
      </x:c>
      <x:c r="AO113" s="82" t="str">
        <x:f>IF($E113="","",AVERAGE($S113:$T113))</x:f>
      </x:c>
      <x:c r="AP113" s="82" t="str">
        <x:f>IF($E113="","",($AF113*0.08)+($AG113*0.08)+($AH113*0.10))</x:f>
      </x:c>
      <x:c r="AQ113" s="82" t="str">
        <x:f>IF($E113="","",MAX(0,($AN113*0.30)+($Y113*0.20)+($Z113*0.15)+($AA113*0.15)+($AB113*0.10)+($AC113*0.10)+($AE113*0.05)-$AP113))</x:f>
      </x:c>
      <x:c r="AR113" s="81" t="str">
        <x:f>IF($E113="","",IF($AM113="competitive_selection",RANK.EQ($AQ113,$AQ$2:$AQ$201,0),""))</x:f>
      </x:c>
      <x:c r="AS113" s="81" t="str">
        <x:f>IF($E113="","",IF(AND($AM113="non_competitive_inclusion",$AL113="eligible"),"selected",""))</x:f>
      </x:c>
      <x:c r="AT113" s="81" t="str">
        <x:f>IF($E113="","",IF($AM113&lt;&gt;"competitive_selection","",IF(AND($AL113="eligible",$AR113&lt;=8),"selected","context/backlog")))</x:f>
      </x:c>
      <x:c r="AU113" s="81" t="str">
        <x:f>IF($E113="","",IF($AM113="reentry_required","not_selected_reentry",IF($AS113="selected","selected_for_runtime",IF($AT113="selected","selected_for_runtime",IF($AL113="review","manual_review","context_or_not_selected")))))</x:f>
      </x:c>
      <x:c r="AV113" s="81" t="str">
        <x:f>IF($E113="","",IF($AU113="selected_for_runtime",IF($AM113="competitive_selection",$AR113,COUNTIF($AU$2:AU113,"selected_for_runtime")),""))</x:f>
      </x:c>
      <x:c r="AW113" s="81" t="str">
        <x:f>IF($E113="","",IF($AU113="selected_for_runtime",IF($AD113&gt;=2,"base_40_plus_uncertainty_probes",IF($AE113&gt;=2,"base_40_plus_exploratory_probes","base_40_standard")),"no_runtime"))</x:f>
      </x:c>
      <x:c r="AX113" s="81" t="str">
        <x:f>IF($E113="","",IF($AU113&lt;&gt;"selected_for_runtime","none",IF($AE113&gt;=2,"exploratoria",IF($AQ113&gt;=2.2,"alta",IF($AQ113&gt;=1.2,"media","baja")))))</x:f>
      </x:c>
      <x:c r="AY113" s="81" t="str">
        <x:f>IF($E113="","",IF($AJ113=TRUE,"context_with_coverage_gap",IF($AI113="review","context_requires_confirmation","context_ready")))</x:f>
      </x:c>
      <x:c r="AZ113" s="81" t="str">
        <x:f>IF($E113="","",IF($AU113&lt;&gt;"selected_for_runtime","no",IF(OR($AY113="context_with_coverage_gap",$AX113="exploratoria"),"ready_with_flags","ready")))</x:f>
      </x:c>
      <x:c r="BA113" s="81" t="str"/>
      <x:c r="BB113" s="81" t="str"/>
      <x:c r="BC113" s="81" t="str"/>
      <x:c r="BD113" s="81" t="str"/>
      <x:c r="BE113" s="81" t="str"/>
    </x:row>
    <x:row r="114">
      <x:c r="A114" s="81" t="str"/>
      <x:c r="B114" s="81" t="str"/>
      <x:c r="C114" s="81" t="str"/>
      <x:c r="D114" s="81" t="str"/>
      <x:c r="E114" s="81" t="str"/>
      <x:c r="F114" s="81" t="str"/>
      <x:c r="G114" s="81" t="str"/>
      <x:c r="H114" s="81" t="str"/>
      <x:c r="I114" s="81" t="str"/>
      <x:c r="J114" s="81" t="str"/>
      <x:c r="K114" s="81" t="str"/>
      <x:c r="L114" s="81" t="str"/>
      <x:c r="M114" s="81" t="str"/>
      <x:c r="N114" s="81" t="str"/>
      <x:c r="O114" s="81" t="str"/>
      <x:c r="P114" s="81" t="str"/>
      <x:c r="Q114" s="81" t="str"/>
      <x:c r="R114" s="81" t="str"/>
      <x:c r="S114" s="82" t="str"/>
      <x:c r="T114" s="82" t="str"/>
      <x:c r="U114" s="82" t="str"/>
      <x:c r="V114" s="82" t="str"/>
      <x:c r="W114" s="82" t="str"/>
      <x:c r="X114" s="82" t="str"/>
      <x:c r="Y114" s="82" t="str"/>
      <x:c r="Z114" s="82" t="str"/>
      <x:c r="AA114" s="82" t="str"/>
      <x:c r="AB114" s="82" t="str"/>
      <x:c r="AC114" s="82" t="str"/>
      <x:c r="AD114" s="82" t="str"/>
      <x:c r="AE114" s="82" t="str"/>
      <x:c r="AF114" s="82" t="str"/>
      <x:c r="AG114" s="82" t="str"/>
      <x:c r="AH114" s="82" t="str"/>
      <x:c r="AI114" s="81" t="str"/>
      <x:c r="AJ114" s="81" t="str"/>
      <x:c r="AK114" s="81" t="str">
        <x:f>IF($E114="","",IF(AND($M114="yes",OR($N114="yes",$N114="review"),OR($O114="yes",$O114="review"),$P114="fit",OR($Q114="unique",$Q114="alias_review"),$R114&lt;&gt;"context_only"),"pass","review/block"))</x:f>
      </x:c>
      <x:c r="AL114" s="81" t="str">
        <x:f>IF($E114="","",IF($AK114="pass","eligible",IF(OR($M114="no",$O114="no",$P114="too_macro",$P114="too_micro",$P114="context_only",$Q114="duplicate_confirmed",$R114="context_only"),"not_eligible","review")))</x:f>
      </x:c>
      <x:c r="AM114" s="81" t="str">
        <x:f>IF($E114="","",IF($C114=0,"reentry_required",IF($C114&lt;=8,"non_competitive_inclusion","competitive_selection")))</x:f>
      </x:c>
      <x:c r="AN114" s="82" t="str">
        <x:f>IF($E114="","",AVERAGE($U114:$X114))</x:f>
      </x:c>
      <x:c r="AO114" s="82" t="str">
        <x:f>IF($E114="","",AVERAGE($S114:$T114))</x:f>
      </x:c>
      <x:c r="AP114" s="82" t="str">
        <x:f>IF($E114="","",($AF114*0.08)+($AG114*0.08)+($AH114*0.10))</x:f>
      </x:c>
      <x:c r="AQ114" s="82" t="str">
        <x:f>IF($E114="","",MAX(0,($AN114*0.30)+($Y114*0.20)+($Z114*0.15)+($AA114*0.15)+($AB114*0.10)+($AC114*0.10)+($AE114*0.05)-$AP114))</x:f>
      </x:c>
      <x:c r="AR114" s="81" t="str">
        <x:f>IF($E114="","",IF($AM114="competitive_selection",RANK.EQ($AQ114,$AQ$2:$AQ$201,0),""))</x:f>
      </x:c>
      <x:c r="AS114" s="81" t="str">
        <x:f>IF($E114="","",IF(AND($AM114="non_competitive_inclusion",$AL114="eligible"),"selected",""))</x:f>
      </x:c>
      <x:c r="AT114" s="81" t="str">
        <x:f>IF($E114="","",IF($AM114&lt;&gt;"competitive_selection","",IF(AND($AL114="eligible",$AR114&lt;=8),"selected","context/backlog")))</x:f>
      </x:c>
      <x:c r="AU114" s="81" t="str">
        <x:f>IF($E114="","",IF($AM114="reentry_required","not_selected_reentry",IF($AS114="selected","selected_for_runtime",IF($AT114="selected","selected_for_runtime",IF($AL114="review","manual_review","context_or_not_selected")))))</x:f>
      </x:c>
      <x:c r="AV114" s="81" t="str">
        <x:f>IF($E114="","",IF($AU114="selected_for_runtime",IF($AM114="competitive_selection",$AR114,COUNTIF($AU$2:AU114,"selected_for_runtime")),""))</x:f>
      </x:c>
      <x:c r="AW114" s="81" t="str">
        <x:f>IF($E114="","",IF($AU114="selected_for_runtime",IF($AD114&gt;=2,"base_40_plus_uncertainty_probes",IF($AE114&gt;=2,"base_40_plus_exploratory_probes","base_40_standard")),"no_runtime"))</x:f>
      </x:c>
      <x:c r="AX114" s="81" t="str">
        <x:f>IF($E114="","",IF($AU114&lt;&gt;"selected_for_runtime","none",IF($AE114&gt;=2,"exploratoria",IF($AQ114&gt;=2.2,"alta",IF($AQ114&gt;=1.2,"media","baja")))))</x:f>
      </x:c>
      <x:c r="AY114" s="81" t="str">
        <x:f>IF($E114="","",IF($AJ114=TRUE,"context_with_coverage_gap",IF($AI114="review","context_requires_confirmation","context_ready")))</x:f>
      </x:c>
      <x:c r="AZ114" s="81" t="str">
        <x:f>IF($E114="","",IF($AU114&lt;&gt;"selected_for_runtime","no",IF(OR($AY114="context_with_coverage_gap",$AX114="exploratoria"),"ready_with_flags","ready")))</x:f>
      </x:c>
      <x:c r="BA114" s="81" t="str"/>
      <x:c r="BB114" s="81" t="str"/>
      <x:c r="BC114" s="81" t="str"/>
      <x:c r="BD114" s="81" t="str"/>
      <x:c r="BE114" s="81" t="str"/>
    </x:row>
    <x:row r="115">
      <x:c r="A115" s="81" t="str"/>
      <x:c r="B115" s="81" t="str"/>
      <x:c r="C115" s="81" t="str"/>
      <x:c r="D115" s="81" t="str"/>
      <x:c r="E115" s="81" t="str"/>
      <x:c r="F115" s="81" t="str"/>
      <x:c r="G115" s="81" t="str"/>
      <x:c r="H115" s="81" t="str"/>
      <x:c r="I115" s="81" t="str"/>
      <x:c r="J115" s="81" t="str"/>
      <x:c r="K115" s="81" t="str"/>
      <x:c r="L115" s="81" t="str"/>
      <x:c r="M115" s="81" t="str"/>
      <x:c r="N115" s="81" t="str"/>
      <x:c r="O115" s="81" t="str"/>
      <x:c r="P115" s="81" t="str"/>
      <x:c r="Q115" s="81" t="str"/>
      <x:c r="R115" s="81" t="str"/>
      <x:c r="S115" s="82" t="str"/>
      <x:c r="T115" s="82" t="str"/>
      <x:c r="U115" s="82" t="str"/>
      <x:c r="V115" s="82" t="str"/>
      <x:c r="W115" s="82" t="str"/>
      <x:c r="X115" s="82" t="str"/>
      <x:c r="Y115" s="82" t="str"/>
      <x:c r="Z115" s="82" t="str"/>
      <x:c r="AA115" s="82" t="str"/>
      <x:c r="AB115" s="82" t="str"/>
      <x:c r="AC115" s="82" t="str"/>
      <x:c r="AD115" s="82" t="str"/>
      <x:c r="AE115" s="82" t="str"/>
      <x:c r="AF115" s="82" t="str"/>
      <x:c r="AG115" s="82" t="str"/>
      <x:c r="AH115" s="82" t="str"/>
      <x:c r="AI115" s="81" t="str"/>
      <x:c r="AJ115" s="81" t="str"/>
      <x:c r="AK115" s="81" t="str">
        <x:f>IF($E115="","",IF(AND($M115="yes",OR($N115="yes",$N115="review"),OR($O115="yes",$O115="review"),$P115="fit",OR($Q115="unique",$Q115="alias_review"),$R115&lt;&gt;"context_only"),"pass","review/block"))</x:f>
      </x:c>
      <x:c r="AL115" s="81" t="str">
        <x:f>IF($E115="","",IF($AK115="pass","eligible",IF(OR($M115="no",$O115="no",$P115="too_macro",$P115="too_micro",$P115="context_only",$Q115="duplicate_confirmed",$R115="context_only"),"not_eligible","review")))</x:f>
      </x:c>
      <x:c r="AM115" s="81" t="str">
        <x:f>IF($E115="","",IF($C115=0,"reentry_required",IF($C115&lt;=8,"non_competitive_inclusion","competitive_selection")))</x:f>
      </x:c>
      <x:c r="AN115" s="82" t="str">
        <x:f>IF($E115="","",AVERAGE($U115:$X115))</x:f>
      </x:c>
      <x:c r="AO115" s="82" t="str">
        <x:f>IF($E115="","",AVERAGE($S115:$T115))</x:f>
      </x:c>
      <x:c r="AP115" s="82" t="str">
        <x:f>IF($E115="","",($AF115*0.08)+($AG115*0.08)+($AH115*0.10))</x:f>
      </x:c>
      <x:c r="AQ115" s="82" t="str">
        <x:f>IF($E115="","",MAX(0,($AN115*0.30)+($Y115*0.20)+($Z115*0.15)+($AA115*0.15)+($AB115*0.10)+($AC115*0.10)+($AE115*0.05)-$AP115))</x:f>
      </x:c>
      <x:c r="AR115" s="81" t="str">
        <x:f>IF($E115="","",IF($AM115="competitive_selection",RANK.EQ($AQ115,$AQ$2:$AQ$201,0),""))</x:f>
      </x:c>
      <x:c r="AS115" s="81" t="str">
        <x:f>IF($E115="","",IF(AND($AM115="non_competitive_inclusion",$AL115="eligible"),"selected",""))</x:f>
      </x:c>
      <x:c r="AT115" s="81" t="str">
        <x:f>IF($E115="","",IF($AM115&lt;&gt;"competitive_selection","",IF(AND($AL115="eligible",$AR115&lt;=8),"selected","context/backlog")))</x:f>
      </x:c>
      <x:c r="AU115" s="81" t="str">
        <x:f>IF($E115="","",IF($AM115="reentry_required","not_selected_reentry",IF($AS115="selected","selected_for_runtime",IF($AT115="selected","selected_for_runtime",IF($AL115="review","manual_review","context_or_not_selected")))))</x:f>
      </x:c>
      <x:c r="AV115" s="81" t="str">
        <x:f>IF($E115="","",IF($AU115="selected_for_runtime",IF($AM115="competitive_selection",$AR115,COUNTIF($AU$2:AU115,"selected_for_runtime")),""))</x:f>
      </x:c>
      <x:c r="AW115" s="81" t="str">
        <x:f>IF($E115="","",IF($AU115="selected_for_runtime",IF($AD115&gt;=2,"base_40_plus_uncertainty_probes",IF($AE115&gt;=2,"base_40_plus_exploratory_probes","base_40_standard")),"no_runtime"))</x:f>
      </x:c>
      <x:c r="AX115" s="81" t="str">
        <x:f>IF($E115="","",IF($AU115&lt;&gt;"selected_for_runtime","none",IF($AE115&gt;=2,"exploratoria",IF($AQ115&gt;=2.2,"alta",IF($AQ115&gt;=1.2,"media","baja")))))</x:f>
      </x:c>
      <x:c r="AY115" s="81" t="str">
        <x:f>IF($E115="","",IF($AJ115=TRUE,"context_with_coverage_gap",IF($AI115="review","context_requires_confirmation","context_ready")))</x:f>
      </x:c>
      <x:c r="AZ115" s="81" t="str">
        <x:f>IF($E115="","",IF($AU115&lt;&gt;"selected_for_runtime","no",IF(OR($AY115="context_with_coverage_gap",$AX115="exploratoria"),"ready_with_flags","ready")))</x:f>
      </x:c>
      <x:c r="BA115" s="81" t="str"/>
      <x:c r="BB115" s="81" t="str"/>
      <x:c r="BC115" s="81" t="str"/>
      <x:c r="BD115" s="81" t="str"/>
      <x:c r="BE115" s="81" t="str"/>
    </x:row>
    <x:row r="116">
      <x:c r="A116" s="81" t="str"/>
      <x:c r="B116" s="81" t="str"/>
      <x:c r="C116" s="81" t="str"/>
      <x:c r="D116" s="81" t="str"/>
      <x:c r="E116" s="81" t="str"/>
      <x:c r="F116" s="81" t="str"/>
      <x:c r="G116" s="81" t="str"/>
      <x:c r="H116" s="81" t="str"/>
      <x:c r="I116" s="81" t="str"/>
      <x:c r="J116" s="81" t="str"/>
      <x:c r="K116" s="81" t="str"/>
      <x:c r="L116" s="81" t="str"/>
      <x:c r="M116" s="81" t="str"/>
      <x:c r="N116" s="81" t="str"/>
      <x:c r="O116" s="81" t="str"/>
      <x:c r="P116" s="81" t="str"/>
      <x:c r="Q116" s="81" t="str"/>
      <x:c r="R116" s="81" t="str"/>
      <x:c r="S116" s="82" t="str"/>
      <x:c r="T116" s="82" t="str"/>
      <x:c r="U116" s="82" t="str"/>
      <x:c r="V116" s="82" t="str"/>
      <x:c r="W116" s="82" t="str"/>
      <x:c r="X116" s="82" t="str"/>
      <x:c r="Y116" s="82" t="str"/>
      <x:c r="Z116" s="82" t="str"/>
      <x:c r="AA116" s="82" t="str"/>
      <x:c r="AB116" s="82" t="str"/>
      <x:c r="AC116" s="82" t="str"/>
      <x:c r="AD116" s="82" t="str"/>
      <x:c r="AE116" s="82" t="str"/>
      <x:c r="AF116" s="82" t="str"/>
      <x:c r="AG116" s="82" t="str"/>
      <x:c r="AH116" s="82" t="str"/>
      <x:c r="AI116" s="81" t="str"/>
      <x:c r="AJ116" s="81" t="str"/>
      <x:c r="AK116" s="81" t="str">
        <x:f>IF($E116="","",IF(AND($M116="yes",OR($N116="yes",$N116="review"),OR($O116="yes",$O116="review"),$P116="fit",OR($Q116="unique",$Q116="alias_review"),$R116&lt;&gt;"context_only"),"pass","review/block"))</x:f>
      </x:c>
      <x:c r="AL116" s="81" t="str">
        <x:f>IF($E116="","",IF($AK116="pass","eligible",IF(OR($M116="no",$O116="no",$P116="too_macro",$P116="too_micro",$P116="context_only",$Q116="duplicate_confirmed",$R116="context_only"),"not_eligible","review")))</x:f>
      </x:c>
      <x:c r="AM116" s="81" t="str">
        <x:f>IF($E116="","",IF($C116=0,"reentry_required",IF($C116&lt;=8,"non_competitive_inclusion","competitive_selection")))</x:f>
      </x:c>
      <x:c r="AN116" s="82" t="str">
        <x:f>IF($E116="","",AVERAGE($U116:$X116))</x:f>
      </x:c>
      <x:c r="AO116" s="82" t="str">
        <x:f>IF($E116="","",AVERAGE($S116:$T116))</x:f>
      </x:c>
      <x:c r="AP116" s="82" t="str">
        <x:f>IF($E116="","",($AF116*0.08)+($AG116*0.08)+($AH116*0.10))</x:f>
      </x:c>
      <x:c r="AQ116" s="82" t="str">
        <x:f>IF($E116="","",MAX(0,($AN116*0.30)+($Y116*0.20)+($Z116*0.15)+($AA116*0.15)+($AB116*0.10)+($AC116*0.10)+($AE116*0.05)-$AP116))</x:f>
      </x:c>
      <x:c r="AR116" s="81" t="str">
        <x:f>IF($E116="","",IF($AM116="competitive_selection",RANK.EQ($AQ116,$AQ$2:$AQ$201,0),""))</x:f>
      </x:c>
      <x:c r="AS116" s="81" t="str">
        <x:f>IF($E116="","",IF(AND($AM116="non_competitive_inclusion",$AL116="eligible"),"selected",""))</x:f>
      </x:c>
      <x:c r="AT116" s="81" t="str">
        <x:f>IF($E116="","",IF($AM116&lt;&gt;"competitive_selection","",IF(AND($AL116="eligible",$AR116&lt;=8),"selected","context/backlog")))</x:f>
      </x:c>
      <x:c r="AU116" s="81" t="str">
        <x:f>IF($E116="","",IF($AM116="reentry_required","not_selected_reentry",IF($AS116="selected","selected_for_runtime",IF($AT116="selected","selected_for_runtime",IF($AL116="review","manual_review","context_or_not_selected")))))</x:f>
      </x:c>
      <x:c r="AV116" s="81" t="str">
        <x:f>IF($E116="","",IF($AU116="selected_for_runtime",IF($AM116="competitive_selection",$AR116,COUNTIF($AU$2:AU116,"selected_for_runtime")),""))</x:f>
      </x:c>
      <x:c r="AW116" s="81" t="str">
        <x:f>IF($E116="","",IF($AU116="selected_for_runtime",IF($AD116&gt;=2,"base_40_plus_uncertainty_probes",IF($AE116&gt;=2,"base_40_plus_exploratory_probes","base_40_standard")),"no_runtime"))</x:f>
      </x:c>
      <x:c r="AX116" s="81" t="str">
        <x:f>IF($E116="","",IF($AU116&lt;&gt;"selected_for_runtime","none",IF($AE116&gt;=2,"exploratoria",IF($AQ116&gt;=2.2,"alta",IF($AQ116&gt;=1.2,"media","baja")))))</x:f>
      </x:c>
      <x:c r="AY116" s="81" t="str">
        <x:f>IF($E116="","",IF($AJ116=TRUE,"context_with_coverage_gap",IF($AI116="review","context_requires_confirmation","context_ready")))</x:f>
      </x:c>
      <x:c r="AZ116" s="81" t="str">
        <x:f>IF($E116="","",IF($AU116&lt;&gt;"selected_for_runtime","no",IF(OR($AY116="context_with_coverage_gap",$AX116="exploratoria"),"ready_with_flags","ready")))</x:f>
      </x:c>
      <x:c r="BA116" s="81" t="str"/>
      <x:c r="BB116" s="81" t="str"/>
      <x:c r="BC116" s="81" t="str"/>
      <x:c r="BD116" s="81" t="str"/>
      <x:c r="BE116" s="81" t="str"/>
    </x:row>
    <x:row r="117">
      <x:c r="A117" s="81" t="str"/>
      <x:c r="B117" s="81" t="str"/>
      <x:c r="C117" s="81" t="str"/>
      <x:c r="D117" s="81" t="str"/>
      <x:c r="E117" s="81" t="str"/>
      <x:c r="F117" s="81" t="str"/>
      <x:c r="G117" s="81" t="str"/>
      <x:c r="H117" s="81" t="str"/>
      <x:c r="I117" s="81" t="str"/>
      <x:c r="J117" s="81" t="str"/>
      <x:c r="K117" s="81" t="str"/>
      <x:c r="L117" s="81" t="str"/>
      <x:c r="M117" s="81" t="str"/>
      <x:c r="N117" s="81" t="str"/>
      <x:c r="O117" s="81" t="str"/>
      <x:c r="P117" s="81" t="str"/>
      <x:c r="Q117" s="81" t="str"/>
      <x:c r="R117" s="81" t="str"/>
      <x:c r="S117" s="82" t="str"/>
      <x:c r="T117" s="82" t="str"/>
      <x:c r="U117" s="82" t="str"/>
      <x:c r="V117" s="82" t="str"/>
      <x:c r="W117" s="82" t="str"/>
      <x:c r="X117" s="82" t="str"/>
      <x:c r="Y117" s="82" t="str"/>
      <x:c r="Z117" s="82" t="str"/>
      <x:c r="AA117" s="82" t="str"/>
      <x:c r="AB117" s="82" t="str"/>
      <x:c r="AC117" s="82" t="str"/>
      <x:c r="AD117" s="82" t="str"/>
      <x:c r="AE117" s="82" t="str"/>
      <x:c r="AF117" s="82" t="str"/>
      <x:c r="AG117" s="82" t="str"/>
      <x:c r="AH117" s="82" t="str"/>
      <x:c r="AI117" s="81" t="str"/>
      <x:c r="AJ117" s="81" t="str"/>
      <x:c r="AK117" s="81" t="str">
        <x:f>IF($E117="","",IF(AND($M117="yes",OR($N117="yes",$N117="review"),OR($O117="yes",$O117="review"),$P117="fit",OR($Q117="unique",$Q117="alias_review"),$R117&lt;&gt;"context_only"),"pass","review/block"))</x:f>
      </x:c>
      <x:c r="AL117" s="81" t="str">
        <x:f>IF($E117="","",IF($AK117="pass","eligible",IF(OR($M117="no",$O117="no",$P117="too_macro",$P117="too_micro",$P117="context_only",$Q117="duplicate_confirmed",$R117="context_only"),"not_eligible","review")))</x:f>
      </x:c>
      <x:c r="AM117" s="81" t="str">
        <x:f>IF($E117="","",IF($C117=0,"reentry_required",IF($C117&lt;=8,"non_competitive_inclusion","competitive_selection")))</x:f>
      </x:c>
      <x:c r="AN117" s="82" t="str">
        <x:f>IF($E117="","",AVERAGE($U117:$X117))</x:f>
      </x:c>
      <x:c r="AO117" s="82" t="str">
        <x:f>IF($E117="","",AVERAGE($S117:$T117))</x:f>
      </x:c>
      <x:c r="AP117" s="82" t="str">
        <x:f>IF($E117="","",($AF117*0.08)+($AG117*0.08)+($AH117*0.10))</x:f>
      </x:c>
      <x:c r="AQ117" s="82" t="str">
        <x:f>IF($E117="","",MAX(0,($AN117*0.30)+($Y117*0.20)+($Z117*0.15)+($AA117*0.15)+($AB117*0.10)+($AC117*0.10)+($AE117*0.05)-$AP117))</x:f>
      </x:c>
      <x:c r="AR117" s="81" t="str">
        <x:f>IF($E117="","",IF($AM117="competitive_selection",RANK.EQ($AQ117,$AQ$2:$AQ$201,0),""))</x:f>
      </x:c>
      <x:c r="AS117" s="81" t="str">
        <x:f>IF($E117="","",IF(AND($AM117="non_competitive_inclusion",$AL117="eligible"),"selected",""))</x:f>
      </x:c>
      <x:c r="AT117" s="81" t="str">
        <x:f>IF($E117="","",IF($AM117&lt;&gt;"competitive_selection","",IF(AND($AL117="eligible",$AR117&lt;=8),"selected","context/backlog")))</x:f>
      </x:c>
      <x:c r="AU117" s="81" t="str">
        <x:f>IF($E117="","",IF($AM117="reentry_required","not_selected_reentry",IF($AS117="selected","selected_for_runtime",IF($AT117="selected","selected_for_runtime",IF($AL117="review","manual_review","context_or_not_selected")))))</x:f>
      </x:c>
      <x:c r="AV117" s="81" t="str">
        <x:f>IF($E117="","",IF($AU117="selected_for_runtime",IF($AM117="competitive_selection",$AR117,COUNTIF($AU$2:AU117,"selected_for_runtime")),""))</x:f>
      </x:c>
      <x:c r="AW117" s="81" t="str">
        <x:f>IF($E117="","",IF($AU117="selected_for_runtime",IF($AD117&gt;=2,"base_40_plus_uncertainty_probes",IF($AE117&gt;=2,"base_40_plus_exploratory_probes","base_40_standard")),"no_runtime"))</x:f>
      </x:c>
      <x:c r="AX117" s="81" t="str">
        <x:f>IF($E117="","",IF($AU117&lt;&gt;"selected_for_runtime","none",IF($AE117&gt;=2,"exploratoria",IF($AQ117&gt;=2.2,"alta",IF($AQ117&gt;=1.2,"media","baja")))))</x:f>
      </x:c>
      <x:c r="AY117" s="81" t="str">
        <x:f>IF($E117="","",IF($AJ117=TRUE,"context_with_coverage_gap",IF($AI117="review","context_requires_confirmation","context_ready")))</x:f>
      </x:c>
      <x:c r="AZ117" s="81" t="str">
        <x:f>IF($E117="","",IF($AU117&lt;&gt;"selected_for_runtime","no",IF(OR($AY117="context_with_coverage_gap",$AX117="exploratoria"),"ready_with_flags","ready")))</x:f>
      </x:c>
      <x:c r="BA117" s="81" t="str"/>
      <x:c r="BB117" s="81" t="str"/>
      <x:c r="BC117" s="81" t="str"/>
      <x:c r="BD117" s="81" t="str"/>
      <x:c r="BE117" s="81" t="str"/>
    </x:row>
    <x:row r="118">
      <x:c r="A118" s="81" t="str"/>
      <x:c r="B118" s="81" t="str"/>
      <x:c r="C118" s="81" t="str"/>
      <x:c r="D118" s="81" t="str"/>
      <x:c r="E118" s="81" t="str"/>
      <x:c r="F118" s="81" t="str"/>
      <x:c r="G118" s="81" t="str"/>
      <x:c r="H118" s="81" t="str"/>
      <x:c r="I118" s="81" t="str"/>
      <x:c r="J118" s="81" t="str"/>
      <x:c r="K118" s="81" t="str"/>
      <x:c r="L118" s="81" t="str"/>
      <x:c r="M118" s="81" t="str"/>
      <x:c r="N118" s="81" t="str"/>
      <x:c r="O118" s="81" t="str"/>
      <x:c r="P118" s="81" t="str"/>
      <x:c r="Q118" s="81" t="str"/>
      <x:c r="R118" s="81" t="str"/>
      <x:c r="S118" s="82" t="str"/>
      <x:c r="T118" s="82" t="str"/>
      <x:c r="U118" s="82" t="str"/>
      <x:c r="V118" s="82" t="str"/>
      <x:c r="W118" s="82" t="str"/>
      <x:c r="X118" s="82" t="str"/>
      <x:c r="Y118" s="82" t="str"/>
      <x:c r="Z118" s="82" t="str"/>
      <x:c r="AA118" s="82" t="str"/>
      <x:c r="AB118" s="82" t="str"/>
      <x:c r="AC118" s="82" t="str"/>
      <x:c r="AD118" s="82" t="str"/>
      <x:c r="AE118" s="82" t="str"/>
      <x:c r="AF118" s="82" t="str"/>
      <x:c r="AG118" s="82" t="str"/>
      <x:c r="AH118" s="82" t="str"/>
      <x:c r="AI118" s="81" t="str"/>
      <x:c r="AJ118" s="81" t="str"/>
      <x:c r="AK118" s="81" t="str">
        <x:f>IF($E118="","",IF(AND($M118="yes",OR($N118="yes",$N118="review"),OR($O118="yes",$O118="review"),$P118="fit",OR($Q118="unique",$Q118="alias_review"),$R118&lt;&gt;"context_only"),"pass","review/block"))</x:f>
      </x:c>
      <x:c r="AL118" s="81" t="str">
        <x:f>IF($E118="","",IF($AK118="pass","eligible",IF(OR($M118="no",$O118="no",$P118="too_macro",$P118="too_micro",$P118="context_only",$Q118="duplicate_confirmed",$R118="context_only"),"not_eligible","review")))</x:f>
      </x:c>
      <x:c r="AM118" s="81" t="str">
        <x:f>IF($E118="","",IF($C118=0,"reentry_required",IF($C118&lt;=8,"non_competitive_inclusion","competitive_selection")))</x:f>
      </x:c>
      <x:c r="AN118" s="82" t="str">
        <x:f>IF($E118="","",AVERAGE($U118:$X118))</x:f>
      </x:c>
      <x:c r="AO118" s="82" t="str">
        <x:f>IF($E118="","",AVERAGE($S118:$T118))</x:f>
      </x:c>
      <x:c r="AP118" s="82" t="str">
        <x:f>IF($E118="","",($AF118*0.08)+($AG118*0.08)+($AH118*0.10))</x:f>
      </x:c>
      <x:c r="AQ118" s="82" t="str">
        <x:f>IF($E118="","",MAX(0,($AN118*0.30)+($Y118*0.20)+($Z118*0.15)+($AA118*0.15)+($AB118*0.10)+($AC118*0.10)+($AE118*0.05)-$AP118))</x:f>
      </x:c>
      <x:c r="AR118" s="81" t="str">
        <x:f>IF($E118="","",IF($AM118="competitive_selection",RANK.EQ($AQ118,$AQ$2:$AQ$201,0),""))</x:f>
      </x:c>
      <x:c r="AS118" s="81" t="str">
        <x:f>IF($E118="","",IF(AND($AM118="non_competitive_inclusion",$AL118="eligible"),"selected",""))</x:f>
      </x:c>
      <x:c r="AT118" s="81" t="str">
        <x:f>IF($E118="","",IF($AM118&lt;&gt;"competitive_selection","",IF(AND($AL118="eligible",$AR118&lt;=8),"selected","context/backlog")))</x:f>
      </x:c>
      <x:c r="AU118" s="81" t="str">
        <x:f>IF($E118="","",IF($AM118="reentry_required","not_selected_reentry",IF($AS118="selected","selected_for_runtime",IF($AT118="selected","selected_for_runtime",IF($AL118="review","manual_review","context_or_not_selected")))))</x:f>
      </x:c>
      <x:c r="AV118" s="81" t="str">
        <x:f>IF($E118="","",IF($AU118="selected_for_runtime",IF($AM118="competitive_selection",$AR118,COUNTIF($AU$2:AU118,"selected_for_runtime")),""))</x:f>
      </x:c>
      <x:c r="AW118" s="81" t="str">
        <x:f>IF($E118="","",IF($AU118="selected_for_runtime",IF($AD118&gt;=2,"base_40_plus_uncertainty_probes",IF($AE118&gt;=2,"base_40_plus_exploratory_probes","base_40_standard")),"no_runtime"))</x:f>
      </x:c>
      <x:c r="AX118" s="81" t="str">
        <x:f>IF($E118="","",IF($AU118&lt;&gt;"selected_for_runtime","none",IF($AE118&gt;=2,"exploratoria",IF($AQ118&gt;=2.2,"alta",IF($AQ118&gt;=1.2,"media","baja")))))</x:f>
      </x:c>
      <x:c r="AY118" s="81" t="str">
        <x:f>IF($E118="","",IF($AJ118=TRUE,"context_with_coverage_gap",IF($AI118="review","context_requires_confirmation","context_ready")))</x:f>
      </x:c>
      <x:c r="AZ118" s="81" t="str">
        <x:f>IF($E118="","",IF($AU118&lt;&gt;"selected_for_runtime","no",IF(OR($AY118="context_with_coverage_gap",$AX118="exploratoria"),"ready_with_flags","ready")))</x:f>
      </x:c>
      <x:c r="BA118" s="81" t="str"/>
      <x:c r="BB118" s="81" t="str"/>
      <x:c r="BC118" s="81" t="str"/>
      <x:c r="BD118" s="81" t="str"/>
      <x:c r="BE118" s="81" t="str"/>
    </x:row>
    <x:row r="119">
      <x:c r="A119" s="81" t="str"/>
      <x:c r="B119" s="81" t="str"/>
      <x:c r="C119" s="81" t="str"/>
      <x:c r="D119" s="81" t="str"/>
      <x:c r="E119" s="81" t="str"/>
      <x:c r="F119" s="81" t="str"/>
      <x:c r="G119" s="81" t="str"/>
      <x:c r="H119" s="81" t="str"/>
      <x:c r="I119" s="81" t="str"/>
      <x:c r="J119" s="81" t="str"/>
      <x:c r="K119" s="81" t="str"/>
      <x:c r="L119" s="81" t="str"/>
      <x:c r="M119" s="81" t="str"/>
      <x:c r="N119" s="81" t="str"/>
      <x:c r="O119" s="81" t="str"/>
      <x:c r="P119" s="81" t="str"/>
      <x:c r="Q119" s="81" t="str"/>
      <x:c r="R119" s="81" t="str"/>
      <x:c r="S119" s="82" t="str"/>
      <x:c r="T119" s="82" t="str"/>
      <x:c r="U119" s="82" t="str"/>
      <x:c r="V119" s="82" t="str"/>
      <x:c r="W119" s="82" t="str"/>
      <x:c r="X119" s="82" t="str"/>
      <x:c r="Y119" s="82" t="str"/>
      <x:c r="Z119" s="82" t="str"/>
      <x:c r="AA119" s="82" t="str"/>
      <x:c r="AB119" s="82" t="str"/>
      <x:c r="AC119" s="82" t="str"/>
      <x:c r="AD119" s="82" t="str"/>
      <x:c r="AE119" s="82" t="str"/>
      <x:c r="AF119" s="82" t="str"/>
      <x:c r="AG119" s="82" t="str"/>
      <x:c r="AH119" s="82" t="str"/>
      <x:c r="AI119" s="81" t="str"/>
      <x:c r="AJ119" s="81" t="str"/>
      <x:c r="AK119" s="81" t="str">
        <x:f>IF($E119="","",IF(AND($M119="yes",OR($N119="yes",$N119="review"),OR($O119="yes",$O119="review"),$P119="fit",OR($Q119="unique",$Q119="alias_review"),$R119&lt;&gt;"context_only"),"pass","review/block"))</x:f>
      </x:c>
      <x:c r="AL119" s="81" t="str">
        <x:f>IF($E119="","",IF($AK119="pass","eligible",IF(OR($M119="no",$O119="no",$P119="too_macro",$P119="too_micro",$P119="context_only",$Q119="duplicate_confirmed",$R119="context_only"),"not_eligible","review")))</x:f>
      </x:c>
      <x:c r="AM119" s="81" t="str">
        <x:f>IF($E119="","",IF($C119=0,"reentry_required",IF($C119&lt;=8,"non_competitive_inclusion","competitive_selection")))</x:f>
      </x:c>
      <x:c r="AN119" s="82" t="str">
        <x:f>IF($E119="","",AVERAGE($U119:$X119))</x:f>
      </x:c>
      <x:c r="AO119" s="82" t="str">
        <x:f>IF($E119="","",AVERAGE($S119:$T119))</x:f>
      </x:c>
      <x:c r="AP119" s="82" t="str">
        <x:f>IF($E119="","",($AF119*0.08)+($AG119*0.08)+($AH119*0.10))</x:f>
      </x:c>
      <x:c r="AQ119" s="82" t="str">
        <x:f>IF($E119="","",MAX(0,($AN119*0.30)+($Y119*0.20)+($Z119*0.15)+($AA119*0.15)+($AB119*0.10)+($AC119*0.10)+($AE119*0.05)-$AP119))</x:f>
      </x:c>
      <x:c r="AR119" s="81" t="str">
        <x:f>IF($E119="","",IF($AM119="competitive_selection",RANK.EQ($AQ119,$AQ$2:$AQ$201,0),""))</x:f>
      </x:c>
      <x:c r="AS119" s="81" t="str">
        <x:f>IF($E119="","",IF(AND($AM119="non_competitive_inclusion",$AL119="eligible"),"selected",""))</x:f>
      </x:c>
      <x:c r="AT119" s="81" t="str">
        <x:f>IF($E119="","",IF($AM119&lt;&gt;"competitive_selection","",IF(AND($AL119="eligible",$AR119&lt;=8),"selected","context/backlog")))</x:f>
      </x:c>
      <x:c r="AU119" s="81" t="str">
        <x:f>IF($E119="","",IF($AM119="reentry_required","not_selected_reentry",IF($AS119="selected","selected_for_runtime",IF($AT119="selected","selected_for_runtime",IF($AL119="review","manual_review","context_or_not_selected")))))</x:f>
      </x:c>
      <x:c r="AV119" s="81" t="str">
        <x:f>IF($E119="","",IF($AU119="selected_for_runtime",IF($AM119="competitive_selection",$AR119,COUNTIF($AU$2:AU119,"selected_for_runtime")),""))</x:f>
      </x:c>
      <x:c r="AW119" s="81" t="str">
        <x:f>IF($E119="","",IF($AU119="selected_for_runtime",IF($AD119&gt;=2,"base_40_plus_uncertainty_probes",IF($AE119&gt;=2,"base_40_plus_exploratory_probes","base_40_standard")),"no_runtime"))</x:f>
      </x:c>
      <x:c r="AX119" s="81" t="str">
        <x:f>IF($E119="","",IF($AU119&lt;&gt;"selected_for_runtime","none",IF($AE119&gt;=2,"exploratoria",IF($AQ119&gt;=2.2,"alta",IF($AQ119&gt;=1.2,"media","baja")))))</x:f>
      </x:c>
      <x:c r="AY119" s="81" t="str">
        <x:f>IF($E119="","",IF($AJ119=TRUE,"context_with_coverage_gap",IF($AI119="review","context_requires_confirmation","context_ready")))</x:f>
      </x:c>
      <x:c r="AZ119" s="81" t="str">
        <x:f>IF($E119="","",IF($AU119&lt;&gt;"selected_for_runtime","no",IF(OR($AY119="context_with_coverage_gap",$AX119="exploratoria"),"ready_with_flags","ready")))</x:f>
      </x:c>
      <x:c r="BA119" s="81" t="str"/>
      <x:c r="BB119" s="81" t="str"/>
      <x:c r="BC119" s="81" t="str"/>
      <x:c r="BD119" s="81" t="str"/>
      <x:c r="BE119" s="81" t="str"/>
    </x:row>
    <x:row r="120">
      <x:c r="A120" s="81" t="str"/>
      <x:c r="B120" s="81" t="str"/>
      <x:c r="C120" s="81" t="str"/>
      <x:c r="D120" s="81" t="str"/>
      <x:c r="E120" s="81" t="str"/>
      <x:c r="F120" s="81" t="str"/>
      <x:c r="G120" s="81" t="str"/>
      <x:c r="H120" s="81" t="str"/>
      <x:c r="I120" s="81" t="str"/>
      <x:c r="J120" s="81" t="str"/>
      <x:c r="K120" s="81" t="str"/>
      <x:c r="L120" s="81" t="str"/>
      <x:c r="M120" s="81" t="str"/>
      <x:c r="N120" s="81" t="str"/>
      <x:c r="O120" s="81" t="str"/>
      <x:c r="P120" s="81" t="str"/>
      <x:c r="Q120" s="81" t="str"/>
      <x:c r="R120" s="81" t="str"/>
      <x:c r="S120" s="82" t="str"/>
      <x:c r="T120" s="82" t="str"/>
      <x:c r="U120" s="82" t="str"/>
      <x:c r="V120" s="82" t="str"/>
      <x:c r="W120" s="82" t="str"/>
      <x:c r="X120" s="82" t="str"/>
      <x:c r="Y120" s="82" t="str"/>
      <x:c r="Z120" s="82" t="str"/>
      <x:c r="AA120" s="82" t="str"/>
      <x:c r="AB120" s="82" t="str"/>
      <x:c r="AC120" s="82" t="str"/>
      <x:c r="AD120" s="82" t="str"/>
      <x:c r="AE120" s="82" t="str"/>
      <x:c r="AF120" s="82" t="str"/>
      <x:c r="AG120" s="82" t="str"/>
      <x:c r="AH120" s="82" t="str"/>
      <x:c r="AI120" s="81" t="str"/>
      <x:c r="AJ120" s="81" t="str"/>
      <x:c r="AK120" s="81" t="str">
        <x:f>IF($E120="","",IF(AND($M120="yes",OR($N120="yes",$N120="review"),OR($O120="yes",$O120="review"),$P120="fit",OR($Q120="unique",$Q120="alias_review"),$R120&lt;&gt;"context_only"),"pass","review/block"))</x:f>
      </x:c>
      <x:c r="AL120" s="81" t="str">
        <x:f>IF($E120="","",IF($AK120="pass","eligible",IF(OR($M120="no",$O120="no",$P120="too_macro",$P120="too_micro",$P120="context_only",$Q120="duplicate_confirmed",$R120="context_only"),"not_eligible","review")))</x:f>
      </x:c>
      <x:c r="AM120" s="81" t="str">
        <x:f>IF($E120="","",IF($C120=0,"reentry_required",IF($C120&lt;=8,"non_competitive_inclusion","competitive_selection")))</x:f>
      </x:c>
      <x:c r="AN120" s="82" t="str">
        <x:f>IF($E120="","",AVERAGE($U120:$X120))</x:f>
      </x:c>
      <x:c r="AO120" s="82" t="str">
        <x:f>IF($E120="","",AVERAGE($S120:$T120))</x:f>
      </x:c>
      <x:c r="AP120" s="82" t="str">
        <x:f>IF($E120="","",($AF120*0.08)+($AG120*0.08)+($AH120*0.10))</x:f>
      </x:c>
      <x:c r="AQ120" s="82" t="str">
        <x:f>IF($E120="","",MAX(0,($AN120*0.30)+($Y120*0.20)+($Z120*0.15)+($AA120*0.15)+($AB120*0.10)+($AC120*0.10)+($AE120*0.05)-$AP120))</x:f>
      </x:c>
      <x:c r="AR120" s="81" t="str">
        <x:f>IF($E120="","",IF($AM120="competitive_selection",RANK.EQ($AQ120,$AQ$2:$AQ$201,0),""))</x:f>
      </x:c>
      <x:c r="AS120" s="81" t="str">
        <x:f>IF($E120="","",IF(AND($AM120="non_competitive_inclusion",$AL120="eligible"),"selected",""))</x:f>
      </x:c>
      <x:c r="AT120" s="81" t="str">
        <x:f>IF($E120="","",IF($AM120&lt;&gt;"competitive_selection","",IF(AND($AL120="eligible",$AR120&lt;=8),"selected","context/backlog")))</x:f>
      </x:c>
      <x:c r="AU120" s="81" t="str">
        <x:f>IF($E120="","",IF($AM120="reentry_required","not_selected_reentry",IF($AS120="selected","selected_for_runtime",IF($AT120="selected","selected_for_runtime",IF($AL120="review","manual_review","context_or_not_selected")))))</x:f>
      </x:c>
      <x:c r="AV120" s="81" t="str">
        <x:f>IF($E120="","",IF($AU120="selected_for_runtime",IF($AM120="competitive_selection",$AR120,COUNTIF($AU$2:AU120,"selected_for_runtime")),""))</x:f>
      </x:c>
      <x:c r="AW120" s="81" t="str">
        <x:f>IF($E120="","",IF($AU120="selected_for_runtime",IF($AD120&gt;=2,"base_40_plus_uncertainty_probes",IF($AE120&gt;=2,"base_40_plus_exploratory_probes","base_40_standard")),"no_runtime"))</x:f>
      </x:c>
      <x:c r="AX120" s="81" t="str">
        <x:f>IF($E120="","",IF($AU120&lt;&gt;"selected_for_runtime","none",IF($AE120&gt;=2,"exploratoria",IF($AQ120&gt;=2.2,"alta",IF($AQ120&gt;=1.2,"media","baja")))))</x:f>
      </x:c>
      <x:c r="AY120" s="81" t="str">
        <x:f>IF($E120="","",IF($AJ120=TRUE,"context_with_coverage_gap",IF($AI120="review","context_requires_confirmation","context_ready")))</x:f>
      </x:c>
      <x:c r="AZ120" s="81" t="str">
        <x:f>IF($E120="","",IF($AU120&lt;&gt;"selected_for_runtime","no",IF(OR($AY120="context_with_coverage_gap",$AX120="exploratoria"),"ready_with_flags","ready")))</x:f>
      </x:c>
      <x:c r="BA120" s="81" t="str"/>
      <x:c r="BB120" s="81" t="str"/>
      <x:c r="BC120" s="81" t="str"/>
      <x:c r="BD120" s="81" t="str"/>
      <x:c r="BE120" s="81" t="str"/>
    </x:row>
    <x:row r="121">
      <x:c r="A121" s="81" t="str"/>
      <x:c r="B121" s="81" t="str"/>
      <x:c r="C121" s="81" t="str"/>
      <x:c r="D121" s="81" t="str"/>
      <x:c r="E121" s="81" t="str"/>
      <x:c r="F121" s="81" t="str"/>
      <x:c r="G121" s="81" t="str"/>
      <x:c r="H121" s="81" t="str"/>
      <x:c r="I121" s="81" t="str"/>
      <x:c r="J121" s="81" t="str"/>
      <x:c r="K121" s="81" t="str"/>
      <x:c r="L121" s="81" t="str"/>
      <x:c r="M121" s="81" t="str"/>
      <x:c r="N121" s="81" t="str"/>
      <x:c r="O121" s="81" t="str"/>
      <x:c r="P121" s="81" t="str"/>
      <x:c r="Q121" s="81" t="str"/>
      <x:c r="R121" s="81" t="str"/>
      <x:c r="S121" s="82" t="str"/>
      <x:c r="T121" s="82" t="str"/>
      <x:c r="U121" s="82" t="str"/>
      <x:c r="V121" s="82" t="str"/>
      <x:c r="W121" s="82" t="str"/>
      <x:c r="X121" s="82" t="str"/>
      <x:c r="Y121" s="82" t="str"/>
      <x:c r="Z121" s="82" t="str"/>
      <x:c r="AA121" s="82" t="str"/>
      <x:c r="AB121" s="82" t="str"/>
      <x:c r="AC121" s="82" t="str"/>
      <x:c r="AD121" s="82" t="str"/>
      <x:c r="AE121" s="82" t="str"/>
      <x:c r="AF121" s="82" t="str"/>
      <x:c r="AG121" s="82" t="str"/>
      <x:c r="AH121" s="82" t="str"/>
      <x:c r="AI121" s="81" t="str"/>
      <x:c r="AJ121" s="81" t="str"/>
      <x:c r="AK121" s="81" t="str">
        <x:f>IF($E121="","",IF(AND($M121="yes",OR($N121="yes",$N121="review"),OR($O121="yes",$O121="review"),$P121="fit",OR($Q121="unique",$Q121="alias_review"),$R121&lt;&gt;"context_only"),"pass","review/block"))</x:f>
      </x:c>
      <x:c r="AL121" s="81" t="str">
        <x:f>IF($E121="","",IF($AK121="pass","eligible",IF(OR($M121="no",$O121="no",$P121="too_macro",$P121="too_micro",$P121="context_only",$Q121="duplicate_confirmed",$R121="context_only"),"not_eligible","review")))</x:f>
      </x:c>
      <x:c r="AM121" s="81" t="str">
        <x:f>IF($E121="","",IF($C121=0,"reentry_required",IF($C121&lt;=8,"non_competitive_inclusion","competitive_selection")))</x:f>
      </x:c>
      <x:c r="AN121" s="82" t="str">
        <x:f>IF($E121="","",AVERAGE($U121:$X121))</x:f>
      </x:c>
      <x:c r="AO121" s="82" t="str">
        <x:f>IF($E121="","",AVERAGE($S121:$T121))</x:f>
      </x:c>
      <x:c r="AP121" s="82" t="str">
        <x:f>IF($E121="","",($AF121*0.08)+($AG121*0.08)+($AH121*0.10))</x:f>
      </x:c>
      <x:c r="AQ121" s="82" t="str">
        <x:f>IF($E121="","",MAX(0,($AN121*0.30)+($Y121*0.20)+($Z121*0.15)+($AA121*0.15)+($AB121*0.10)+($AC121*0.10)+($AE121*0.05)-$AP121))</x:f>
      </x:c>
      <x:c r="AR121" s="81" t="str">
        <x:f>IF($E121="","",IF($AM121="competitive_selection",RANK.EQ($AQ121,$AQ$2:$AQ$201,0),""))</x:f>
      </x:c>
      <x:c r="AS121" s="81" t="str">
        <x:f>IF($E121="","",IF(AND($AM121="non_competitive_inclusion",$AL121="eligible"),"selected",""))</x:f>
      </x:c>
      <x:c r="AT121" s="81" t="str">
        <x:f>IF($E121="","",IF($AM121&lt;&gt;"competitive_selection","",IF(AND($AL121="eligible",$AR121&lt;=8),"selected","context/backlog")))</x:f>
      </x:c>
      <x:c r="AU121" s="81" t="str">
        <x:f>IF($E121="","",IF($AM121="reentry_required","not_selected_reentry",IF($AS121="selected","selected_for_runtime",IF($AT121="selected","selected_for_runtime",IF($AL121="review","manual_review","context_or_not_selected")))))</x:f>
      </x:c>
      <x:c r="AV121" s="81" t="str">
        <x:f>IF($E121="","",IF($AU121="selected_for_runtime",IF($AM121="competitive_selection",$AR121,COUNTIF($AU$2:AU121,"selected_for_runtime")),""))</x:f>
      </x:c>
      <x:c r="AW121" s="81" t="str">
        <x:f>IF($E121="","",IF($AU121="selected_for_runtime",IF($AD121&gt;=2,"base_40_plus_uncertainty_probes",IF($AE121&gt;=2,"base_40_plus_exploratory_probes","base_40_standard")),"no_runtime"))</x:f>
      </x:c>
      <x:c r="AX121" s="81" t="str">
        <x:f>IF($E121="","",IF($AU121&lt;&gt;"selected_for_runtime","none",IF($AE121&gt;=2,"exploratoria",IF($AQ121&gt;=2.2,"alta",IF($AQ121&gt;=1.2,"media","baja")))))</x:f>
      </x:c>
      <x:c r="AY121" s="81" t="str">
        <x:f>IF($E121="","",IF($AJ121=TRUE,"context_with_coverage_gap",IF($AI121="review","context_requires_confirmation","context_ready")))</x:f>
      </x:c>
      <x:c r="AZ121" s="81" t="str">
        <x:f>IF($E121="","",IF($AU121&lt;&gt;"selected_for_runtime","no",IF(OR($AY121="context_with_coverage_gap",$AX121="exploratoria"),"ready_with_flags","ready")))</x:f>
      </x:c>
      <x:c r="BA121" s="81" t="str"/>
      <x:c r="BB121" s="81" t="str"/>
      <x:c r="BC121" s="81" t="str"/>
      <x:c r="BD121" s="81" t="str"/>
      <x:c r="BE121" s="81" t="str"/>
    </x:row>
    <x:row r="122">
      <x:c r="A122" s="81" t="str"/>
      <x:c r="B122" s="81" t="str"/>
      <x:c r="C122" s="81" t="str"/>
      <x:c r="D122" s="81" t="str"/>
      <x:c r="E122" s="81" t="str"/>
      <x:c r="F122" s="81" t="str"/>
      <x:c r="G122" s="81" t="str"/>
      <x:c r="H122" s="81" t="str"/>
      <x:c r="I122" s="81" t="str"/>
      <x:c r="J122" s="81" t="str"/>
      <x:c r="K122" s="81" t="str"/>
      <x:c r="L122" s="81" t="str"/>
      <x:c r="M122" s="81" t="str"/>
      <x:c r="N122" s="81" t="str"/>
      <x:c r="O122" s="81" t="str"/>
      <x:c r="P122" s="81" t="str"/>
      <x:c r="Q122" s="81" t="str"/>
      <x:c r="R122" s="81" t="str"/>
      <x:c r="S122" s="82" t="str"/>
      <x:c r="T122" s="82" t="str"/>
      <x:c r="U122" s="82" t="str"/>
      <x:c r="V122" s="82" t="str"/>
      <x:c r="W122" s="82" t="str"/>
      <x:c r="X122" s="82" t="str"/>
      <x:c r="Y122" s="82" t="str"/>
      <x:c r="Z122" s="82" t="str"/>
      <x:c r="AA122" s="82" t="str"/>
      <x:c r="AB122" s="82" t="str"/>
      <x:c r="AC122" s="82" t="str"/>
      <x:c r="AD122" s="82" t="str"/>
      <x:c r="AE122" s="82" t="str"/>
      <x:c r="AF122" s="82" t="str"/>
      <x:c r="AG122" s="82" t="str"/>
      <x:c r="AH122" s="82" t="str"/>
      <x:c r="AI122" s="81" t="str"/>
      <x:c r="AJ122" s="81" t="str"/>
      <x:c r="AK122" s="81" t="str">
        <x:f>IF($E122="","",IF(AND($M122="yes",OR($N122="yes",$N122="review"),OR($O122="yes",$O122="review"),$P122="fit",OR($Q122="unique",$Q122="alias_review"),$R122&lt;&gt;"context_only"),"pass","review/block"))</x:f>
      </x:c>
      <x:c r="AL122" s="81" t="str">
        <x:f>IF($E122="","",IF($AK122="pass","eligible",IF(OR($M122="no",$O122="no",$P122="too_macro",$P122="too_micro",$P122="context_only",$Q122="duplicate_confirmed",$R122="context_only"),"not_eligible","review")))</x:f>
      </x:c>
      <x:c r="AM122" s="81" t="str">
        <x:f>IF($E122="","",IF($C122=0,"reentry_required",IF($C122&lt;=8,"non_competitive_inclusion","competitive_selection")))</x:f>
      </x:c>
      <x:c r="AN122" s="82" t="str">
        <x:f>IF($E122="","",AVERAGE($U122:$X122))</x:f>
      </x:c>
      <x:c r="AO122" s="82" t="str">
        <x:f>IF($E122="","",AVERAGE($S122:$T122))</x:f>
      </x:c>
      <x:c r="AP122" s="82" t="str">
        <x:f>IF($E122="","",($AF122*0.08)+($AG122*0.08)+($AH122*0.10))</x:f>
      </x:c>
      <x:c r="AQ122" s="82" t="str">
        <x:f>IF($E122="","",MAX(0,($AN122*0.30)+($Y122*0.20)+($Z122*0.15)+($AA122*0.15)+($AB122*0.10)+($AC122*0.10)+($AE122*0.05)-$AP122))</x:f>
      </x:c>
      <x:c r="AR122" s="81" t="str">
        <x:f>IF($E122="","",IF($AM122="competitive_selection",RANK.EQ($AQ122,$AQ$2:$AQ$201,0),""))</x:f>
      </x:c>
      <x:c r="AS122" s="81" t="str">
        <x:f>IF($E122="","",IF(AND($AM122="non_competitive_inclusion",$AL122="eligible"),"selected",""))</x:f>
      </x:c>
      <x:c r="AT122" s="81" t="str">
        <x:f>IF($E122="","",IF($AM122&lt;&gt;"competitive_selection","",IF(AND($AL122="eligible",$AR122&lt;=8),"selected","context/backlog")))</x:f>
      </x:c>
      <x:c r="AU122" s="81" t="str">
        <x:f>IF($E122="","",IF($AM122="reentry_required","not_selected_reentry",IF($AS122="selected","selected_for_runtime",IF($AT122="selected","selected_for_runtime",IF($AL122="review","manual_review","context_or_not_selected")))))</x:f>
      </x:c>
      <x:c r="AV122" s="81" t="str">
        <x:f>IF($E122="","",IF($AU122="selected_for_runtime",IF($AM122="competitive_selection",$AR122,COUNTIF($AU$2:AU122,"selected_for_runtime")),""))</x:f>
      </x:c>
      <x:c r="AW122" s="81" t="str">
        <x:f>IF($E122="","",IF($AU122="selected_for_runtime",IF($AD122&gt;=2,"base_40_plus_uncertainty_probes",IF($AE122&gt;=2,"base_40_plus_exploratory_probes","base_40_standard")),"no_runtime"))</x:f>
      </x:c>
      <x:c r="AX122" s="81" t="str">
        <x:f>IF($E122="","",IF($AU122&lt;&gt;"selected_for_runtime","none",IF($AE122&gt;=2,"exploratoria",IF($AQ122&gt;=2.2,"alta",IF($AQ122&gt;=1.2,"media","baja")))))</x:f>
      </x:c>
      <x:c r="AY122" s="81" t="str">
        <x:f>IF($E122="","",IF($AJ122=TRUE,"context_with_coverage_gap",IF($AI122="review","context_requires_confirmation","context_ready")))</x:f>
      </x:c>
      <x:c r="AZ122" s="81" t="str">
        <x:f>IF($E122="","",IF($AU122&lt;&gt;"selected_for_runtime","no",IF(OR($AY122="context_with_coverage_gap",$AX122="exploratoria"),"ready_with_flags","ready")))</x:f>
      </x:c>
      <x:c r="BA122" s="81" t="str"/>
      <x:c r="BB122" s="81" t="str"/>
      <x:c r="BC122" s="81" t="str"/>
      <x:c r="BD122" s="81" t="str"/>
      <x:c r="BE122" s="81" t="str"/>
    </x:row>
    <x:row r="123">
      <x:c r="A123" s="81" t="str"/>
      <x:c r="B123" s="81" t="str"/>
      <x:c r="C123" s="81" t="str"/>
      <x:c r="D123" s="81" t="str"/>
      <x:c r="E123" s="81" t="str"/>
      <x:c r="F123" s="81" t="str"/>
      <x:c r="G123" s="81" t="str"/>
      <x:c r="H123" s="81" t="str"/>
      <x:c r="I123" s="81" t="str"/>
      <x:c r="J123" s="81" t="str"/>
      <x:c r="K123" s="81" t="str"/>
      <x:c r="L123" s="81" t="str"/>
      <x:c r="M123" s="81" t="str"/>
      <x:c r="N123" s="81" t="str"/>
      <x:c r="O123" s="81" t="str"/>
      <x:c r="P123" s="81" t="str"/>
      <x:c r="Q123" s="81" t="str"/>
      <x:c r="R123" s="81" t="str"/>
      <x:c r="S123" s="82" t="str"/>
      <x:c r="T123" s="82" t="str"/>
      <x:c r="U123" s="82" t="str"/>
      <x:c r="V123" s="82" t="str"/>
      <x:c r="W123" s="82" t="str"/>
      <x:c r="X123" s="82" t="str"/>
      <x:c r="Y123" s="82" t="str"/>
      <x:c r="Z123" s="82" t="str"/>
      <x:c r="AA123" s="82" t="str"/>
      <x:c r="AB123" s="82" t="str"/>
      <x:c r="AC123" s="82" t="str"/>
      <x:c r="AD123" s="82" t="str"/>
      <x:c r="AE123" s="82" t="str"/>
      <x:c r="AF123" s="82" t="str"/>
      <x:c r="AG123" s="82" t="str"/>
      <x:c r="AH123" s="82" t="str"/>
      <x:c r="AI123" s="81" t="str"/>
      <x:c r="AJ123" s="81" t="str"/>
      <x:c r="AK123" s="81" t="str">
        <x:f>IF($E123="","",IF(AND($M123="yes",OR($N123="yes",$N123="review"),OR($O123="yes",$O123="review"),$P123="fit",OR($Q123="unique",$Q123="alias_review"),$R123&lt;&gt;"context_only"),"pass","review/block"))</x:f>
      </x:c>
      <x:c r="AL123" s="81" t="str">
        <x:f>IF($E123="","",IF($AK123="pass","eligible",IF(OR($M123="no",$O123="no",$P123="too_macro",$P123="too_micro",$P123="context_only",$Q123="duplicate_confirmed",$R123="context_only"),"not_eligible","review")))</x:f>
      </x:c>
      <x:c r="AM123" s="81" t="str">
        <x:f>IF($E123="","",IF($C123=0,"reentry_required",IF($C123&lt;=8,"non_competitive_inclusion","competitive_selection")))</x:f>
      </x:c>
      <x:c r="AN123" s="82" t="str">
        <x:f>IF($E123="","",AVERAGE($U123:$X123))</x:f>
      </x:c>
      <x:c r="AO123" s="82" t="str">
        <x:f>IF($E123="","",AVERAGE($S123:$T123))</x:f>
      </x:c>
      <x:c r="AP123" s="82" t="str">
        <x:f>IF($E123="","",($AF123*0.08)+($AG123*0.08)+($AH123*0.10))</x:f>
      </x:c>
      <x:c r="AQ123" s="82" t="str">
        <x:f>IF($E123="","",MAX(0,($AN123*0.30)+($Y123*0.20)+($Z123*0.15)+($AA123*0.15)+($AB123*0.10)+($AC123*0.10)+($AE123*0.05)-$AP123))</x:f>
      </x:c>
      <x:c r="AR123" s="81" t="str">
        <x:f>IF($E123="","",IF($AM123="competitive_selection",RANK.EQ($AQ123,$AQ$2:$AQ$201,0),""))</x:f>
      </x:c>
      <x:c r="AS123" s="81" t="str">
        <x:f>IF($E123="","",IF(AND($AM123="non_competitive_inclusion",$AL123="eligible"),"selected",""))</x:f>
      </x:c>
      <x:c r="AT123" s="81" t="str">
        <x:f>IF($E123="","",IF($AM123&lt;&gt;"competitive_selection","",IF(AND($AL123="eligible",$AR123&lt;=8),"selected","context/backlog")))</x:f>
      </x:c>
      <x:c r="AU123" s="81" t="str">
        <x:f>IF($E123="","",IF($AM123="reentry_required","not_selected_reentry",IF($AS123="selected","selected_for_runtime",IF($AT123="selected","selected_for_runtime",IF($AL123="review","manual_review","context_or_not_selected")))))</x:f>
      </x:c>
      <x:c r="AV123" s="81" t="str">
        <x:f>IF($E123="","",IF($AU123="selected_for_runtime",IF($AM123="competitive_selection",$AR123,COUNTIF($AU$2:AU123,"selected_for_runtime")),""))</x:f>
      </x:c>
      <x:c r="AW123" s="81" t="str">
        <x:f>IF($E123="","",IF($AU123="selected_for_runtime",IF($AD123&gt;=2,"base_40_plus_uncertainty_probes",IF($AE123&gt;=2,"base_40_plus_exploratory_probes","base_40_standard")),"no_runtime"))</x:f>
      </x:c>
      <x:c r="AX123" s="81" t="str">
        <x:f>IF($E123="","",IF($AU123&lt;&gt;"selected_for_runtime","none",IF($AE123&gt;=2,"exploratoria",IF($AQ123&gt;=2.2,"alta",IF($AQ123&gt;=1.2,"media","baja")))))</x:f>
      </x:c>
      <x:c r="AY123" s="81" t="str">
        <x:f>IF($E123="","",IF($AJ123=TRUE,"context_with_coverage_gap",IF($AI123="review","context_requires_confirmation","context_ready")))</x:f>
      </x:c>
      <x:c r="AZ123" s="81" t="str">
        <x:f>IF($E123="","",IF($AU123&lt;&gt;"selected_for_runtime","no",IF(OR($AY123="context_with_coverage_gap",$AX123="exploratoria"),"ready_with_flags","ready")))</x:f>
      </x:c>
      <x:c r="BA123" s="81" t="str"/>
      <x:c r="BB123" s="81" t="str"/>
      <x:c r="BC123" s="81" t="str"/>
      <x:c r="BD123" s="81" t="str"/>
      <x:c r="BE123" s="81" t="str"/>
    </x:row>
    <x:row r="124">
      <x:c r="A124" s="81" t="str"/>
      <x:c r="B124" s="81" t="str"/>
      <x:c r="C124" s="81" t="str"/>
      <x:c r="D124" s="81" t="str"/>
      <x:c r="E124" s="81" t="str"/>
      <x:c r="F124" s="81" t="str"/>
      <x:c r="G124" s="81" t="str"/>
      <x:c r="H124" s="81" t="str"/>
      <x:c r="I124" s="81" t="str"/>
      <x:c r="J124" s="81" t="str"/>
      <x:c r="K124" s="81" t="str"/>
      <x:c r="L124" s="81" t="str"/>
      <x:c r="M124" s="81" t="str"/>
      <x:c r="N124" s="81" t="str"/>
      <x:c r="O124" s="81" t="str"/>
      <x:c r="P124" s="81" t="str"/>
      <x:c r="Q124" s="81" t="str"/>
      <x:c r="R124" s="81" t="str"/>
      <x:c r="S124" s="82" t="str"/>
      <x:c r="T124" s="82" t="str"/>
      <x:c r="U124" s="82" t="str"/>
      <x:c r="V124" s="82" t="str"/>
      <x:c r="W124" s="82" t="str"/>
      <x:c r="X124" s="82" t="str"/>
      <x:c r="Y124" s="82" t="str"/>
      <x:c r="Z124" s="82" t="str"/>
      <x:c r="AA124" s="82" t="str"/>
      <x:c r="AB124" s="82" t="str"/>
      <x:c r="AC124" s="82" t="str"/>
      <x:c r="AD124" s="82" t="str"/>
      <x:c r="AE124" s="82" t="str"/>
      <x:c r="AF124" s="82" t="str"/>
      <x:c r="AG124" s="82" t="str"/>
      <x:c r="AH124" s="82" t="str"/>
      <x:c r="AI124" s="81" t="str"/>
      <x:c r="AJ124" s="81" t="str"/>
      <x:c r="AK124" s="81" t="str">
        <x:f>IF($E124="","",IF(AND($M124="yes",OR($N124="yes",$N124="review"),OR($O124="yes",$O124="review"),$P124="fit",OR($Q124="unique",$Q124="alias_review"),$R124&lt;&gt;"context_only"),"pass","review/block"))</x:f>
      </x:c>
      <x:c r="AL124" s="81" t="str">
        <x:f>IF($E124="","",IF($AK124="pass","eligible",IF(OR($M124="no",$O124="no",$P124="too_macro",$P124="too_micro",$P124="context_only",$Q124="duplicate_confirmed",$R124="context_only"),"not_eligible","review")))</x:f>
      </x:c>
      <x:c r="AM124" s="81" t="str">
        <x:f>IF($E124="","",IF($C124=0,"reentry_required",IF($C124&lt;=8,"non_competitive_inclusion","competitive_selection")))</x:f>
      </x:c>
      <x:c r="AN124" s="82" t="str">
        <x:f>IF($E124="","",AVERAGE($U124:$X124))</x:f>
      </x:c>
      <x:c r="AO124" s="82" t="str">
        <x:f>IF($E124="","",AVERAGE($S124:$T124))</x:f>
      </x:c>
      <x:c r="AP124" s="82" t="str">
        <x:f>IF($E124="","",($AF124*0.08)+($AG124*0.08)+($AH124*0.10))</x:f>
      </x:c>
      <x:c r="AQ124" s="82" t="str">
        <x:f>IF($E124="","",MAX(0,($AN124*0.30)+($Y124*0.20)+($Z124*0.15)+($AA124*0.15)+($AB124*0.10)+($AC124*0.10)+($AE124*0.05)-$AP124))</x:f>
      </x:c>
      <x:c r="AR124" s="81" t="str">
        <x:f>IF($E124="","",IF($AM124="competitive_selection",RANK.EQ($AQ124,$AQ$2:$AQ$201,0),""))</x:f>
      </x:c>
      <x:c r="AS124" s="81" t="str">
        <x:f>IF($E124="","",IF(AND($AM124="non_competitive_inclusion",$AL124="eligible"),"selected",""))</x:f>
      </x:c>
      <x:c r="AT124" s="81" t="str">
        <x:f>IF($E124="","",IF($AM124&lt;&gt;"competitive_selection","",IF(AND($AL124="eligible",$AR124&lt;=8),"selected","context/backlog")))</x:f>
      </x:c>
      <x:c r="AU124" s="81" t="str">
        <x:f>IF($E124="","",IF($AM124="reentry_required","not_selected_reentry",IF($AS124="selected","selected_for_runtime",IF($AT124="selected","selected_for_runtime",IF($AL124="review","manual_review","context_or_not_selected")))))</x:f>
      </x:c>
      <x:c r="AV124" s="81" t="str">
        <x:f>IF($E124="","",IF($AU124="selected_for_runtime",IF($AM124="competitive_selection",$AR124,COUNTIF($AU$2:AU124,"selected_for_runtime")),""))</x:f>
      </x:c>
      <x:c r="AW124" s="81" t="str">
        <x:f>IF($E124="","",IF($AU124="selected_for_runtime",IF($AD124&gt;=2,"base_40_plus_uncertainty_probes",IF($AE124&gt;=2,"base_40_plus_exploratory_probes","base_40_standard")),"no_runtime"))</x:f>
      </x:c>
      <x:c r="AX124" s="81" t="str">
        <x:f>IF($E124="","",IF($AU124&lt;&gt;"selected_for_runtime","none",IF($AE124&gt;=2,"exploratoria",IF($AQ124&gt;=2.2,"alta",IF($AQ124&gt;=1.2,"media","baja")))))</x:f>
      </x:c>
      <x:c r="AY124" s="81" t="str">
        <x:f>IF($E124="","",IF($AJ124=TRUE,"context_with_coverage_gap",IF($AI124="review","context_requires_confirmation","context_ready")))</x:f>
      </x:c>
      <x:c r="AZ124" s="81" t="str">
        <x:f>IF($E124="","",IF($AU124&lt;&gt;"selected_for_runtime","no",IF(OR($AY124="context_with_coverage_gap",$AX124="exploratoria"),"ready_with_flags","ready")))</x:f>
      </x:c>
      <x:c r="BA124" s="81" t="str"/>
      <x:c r="BB124" s="81" t="str"/>
      <x:c r="BC124" s="81" t="str"/>
      <x:c r="BD124" s="81" t="str"/>
      <x:c r="BE124" s="81" t="str"/>
    </x:row>
    <x:row r="125">
      <x:c r="A125" s="81" t="str"/>
      <x:c r="B125" s="81" t="str"/>
      <x:c r="C125" s="81" t="str"/>
      <x:c r="D125" s="81" t="str"/>
      <x:c r="E125" s="81" t="str"/>
      <x:c r="F125" s="81" t="str"/>
      <x:c r="G125" s="81" t="str"/>
      <x:c r="H125" s="81" t="str"/>
      <x:c r="I125" s="81" t="str"/>
      <x:c r="J125" s="81" t="str"/>
      <x:c r="K125" s="81" t="str"/>
      <x:c r="L125" s="81" t="str"/>
      <x:c r="M125" s="81" t="str"/>
      <x:c r="N125" s="81" t="str"/>
      <x:c r="O125" s="81" t="str"/>
      <x:c r="P125" s="81" t="str"/>
      <x:c r="Q125" s="81" t="str"/>
      <x:c r="R125" s="81" t="str"/>
      <x:c r="S125" s="82" t="str"/>
      <x:c r="T125" s="82" t="str"/>
      <x:c r="U125" s="82" t="str"/>
      <x:c r="V125" s="82" t="str"/>
      <x:c r="W125" s="82" t="str"/>
      <x:c r="X125" s="82" t="str"/>
      <x:c r="Y125" s="82" t="str"/>
      <x:c r="Z125" s="82" t="str"/>
      <x:c r="AA125" s="82" t="str"/>
      <x:c r="AB125" s="82" t="str"/>
      <x:c r="AC125" s="82" t="str"/>
      <x:c r="AD125" s="82" t="str"/>
      <x:c r="AE125" s="82" t="str"/>
      <x:c r="AF125" s="82" t="str"/>
      <x:c r="AG125" s="82" t="str"/>
      <x:c r="AH125" s="82" t="str"/>
      <x:c r="AI125" s="81" t="str"/>
      <x:c r="AJ125" s="81" t="str"/>
      <x:c r="AK125" s="81" t="str">
        <x:f>IF($E125="","",IF(AND($M125="yes",OR($N125="yes",$N125="review"),OR($O125="yes",$O125="review"),$P125="fit",OR($Q125="unique",$Q125="alias_review"),$R125&lt;&gt;"context_only"),"pass","review/block"))</x:f>
      </x:c>
      <x:c r="AL125" s="81" t="str">
        <x:f>IF($E125="","",IF($AK125="pass","eligible",IF(OR($M125="no",$O125="no",$P125="too_macro",$P125="too_micro",$P125="context_only",$Q125="duplicate_confirmed",$R125="context_only"),"not_eligible","review")))</x:f>
      </x:c>
      <x:c r="AM125" s="81" t="str">
        <x:f>IF($E125="","",IF($C125=0,"reentry_required",IF($C125&lt;=8,"non_competitive_inclusion","competitive_selection")))</x:f>
      </x:c>
      <x:c r="AN125" s="82" t="str">
        <x:f>IF($E125="","",AVERAGE($U125:$X125))</x:f>
      </x:c>
      <x:c r="AO125" s="82" t="str">
        <x:f>IF($E125="","",AVERAGE($S125:$T125))</x:f>
      </x:c>
      <x:c r="AP125" s="82" t="str">
        <x:f>IF($E125="","",($AF125*0.08)+($AG125*0.08)+($AH125*0.10))</x:f>
      </x:c>
      <x:c r="AQ125" s="82" t="str">
        <x:f>IF($E125="","",MAX(0,($AN125*0.30)+($Y125*0.20)+($Z125*0.15)+($AA125*0.15)+($AB125*0.10)+($AC125*0.10)+($AE125*0.05)-$AP125))</x:f>
      </x:c>
      <x:c r="AR125" s="81" t="str">
        <x:f>IF($E125="","",IF($AM125="competitive_selection",RANK.EQ($AQ125,$AQ$2:$AQ$201,0),""))</x:f>
      </x:c>
      <x:c r="AS125" s="81" t="str">
        <x:f>IF($E125="","",IF(AND($AM125="non_competitive_inclusion",$AL125="eligible"),"selected",""))</x:f>
      </x:c>
      <x:c r="AT125" s="81" t="str">
        <x:f>IF($E125="","",IF($AM125&lt;&gt;"competitive_selection","",IF(AND($AL125="eligible",$AR125&lt;=8),"selected","context/backlog")))</x:f>
      </x:c>
      <x:c r="AU125" s="81" t="str">
        <x:f>IF($E125="","",IF($AM125="reentry_required","not_selected_reentry",IF($AS125="selected","selected_for_runtime",IF($AT125="selected","selected_for_runtime",IF($AL125="review","manual_review","context_or_not_selected")))))</x:f>
      </x:c>
      <x:c r="AV125" s="81" t="str">
        <x:f>IF($E125="","",IF($AU125="selected_for_runtime",IF($AM125="competitive_selection",$AR125,COUNTIF($AU$2:AU125,"selected_for_runtime")),""))</x:f>
      </x:c>
      <x:c r="AW125" s="81" t="str">
        <x:f>IF($E125="","",IF($AU125="selected_for_runtime",IF($AD125&gt;=2,"base_40_plus_uncertainty_probes",IF($AE125&gt;=2,"base_40_plus_exploratory_probes","base_40_standard")),"no_runtime"))</x:f>
      </x:c>
      <x:c r="AX125" s="81" t="str">
        <x:f>IF($E125="","",IF($AU125&lt;&gt;"selected_for_runtime","none",IF($AE125&gt;=2,"exploratoria",IF($AQ125&gt;=2.2,"alta",IF($AQ125&gt;=1.2,"media","baja")))))</x:f>
      </x:c>
      <x:c r="AY125" s="81" t="str">
        <x:f>IF($E125="","",IF($AJ125=TRUE,"context_with_coverage_gap",IF($AI125="review","context_requires_confirmation","context_ready")))</x:f>
      </x:c>
      <x:c r="AZ125" s="81" t="str">
        <x:f>IF($E125="","",IF($AU125&lt;&gt;"selected_for_runtime","no",IF(OR($AY125="context_with_coverage_gap",$AX125="exploratoria"),"ready_with_flags","ready")))</x:f>
      </x:c>
      <x:c r="BA125" s="81" t="str"/>
      <x:c r="BB125" s="81" t="str"/>
      <x:c r="BC125" s="81" t="str"/>
      <x:c r="BD125" s="81" t="str"/>
      <x:c r="BE125" s="81" t="str"/>
    </x:row>
    <x:row r="126">
      <x:c r="A126" s="81" t="str"/>
      <x:c r="B126" s="81" t="str"/>
      <x:c r="C126" s="81" t="str"/>
      <x:c r="D126" s="81" t="str"/>
      <x:c r="E126" s="81" t="str"/>
      <x:c r="F126" s="81" t="str"/>
      <x:c r="G126" s="81" t="str"/>
      <x:c r="H126" s="81" t="str"/>
      <x:c r="I126" s="81" t="str"/>
      <x:c r="J126" s="81" t="str"/>
      <x:c r="K126" s="81" t="str"/>
      <x:c r="L126" s="81" t="str"/>
      <x:c r="M126" s="81" t="str"/>
      <x:c r="N126" s="81" t="str"/>
      <x:c r="O126" s="81" t="str"/>
      <x:c r="P126" s="81" t="str"/>
      <x:c r="Q126" s="81" t="str"/>
      <x:c r="R126" s="81" t="str"/>
      <x:c r="S126" s="82" t="str"/>
      <x:c r="T126" s="82" t="str"/>
      <x:c r="U126" s="82" t="str"/>
      <x:c r="V126" s="82" t="str"/>
      <x:c r="W126" s="82" t="str"/>
      <x:c r="X126" s="82" t="str"/>
      <x:c r="Y126" s="82" t="str"/>
      <x:c r="Z126" s="82" t="str"/>
      <x:c r="AA126" s="82" t="str"/>
      <x:c r="AB126" s="82" t="str"/>
      <x:c r="AC126" s="82" t="str"/>
      <x:c r="AD126" s="82" t="str"/>
      <x:c r="AE126" s="82" t="str"/>
      <x:c r="AF126" s="82" t="str"/>
      <x:c r="AG126" s="82" t="str"/>
      <x:c r="AH126" s="82" t="str"/>
      <x:c r="AI126" s="81" t="str"/>
      <x:c r="AJ126" s="81" t="str"/>
      <x:c r="AK126" s="81" t="str">
        <x:f>IF($E126="","",IF(AND($M126="yes",OR($N126="yes",$N126="review"),OR($O126="yes",$O126="review"),$P126="fit",OR($Q126="unique",$Q126="alias_review"),$R126&lt;&gt;"context_only"),"pass","review/block"))</x:f>
      </x:c>
      <x:c r="AL126" s="81" t="str">
        <x:f>IF($E126="","",IF($AK126="pass","eligible",IF(OR($M126="no",$O126="no",$P126="too_macro",$P126="too_micro",$P126="context_only",$Q126="duplicate_confirmed",$R126="context_only"),"not_eligible","review")))</x:f>
      </x:c>
      <x:c r="AM126" s="81" t="str">
        <x:f>IF($E126="","",IF($C126=0,"reentry_required",IF($C126&lt;=8,"non_competitive_inclusion","competitive_selection")))</x:f>
      </x:c>
      <x:c r="AN126" s="82" t="str">
        <x:f>IF($E126="","",AVERAGE($U126:$X126))</x:f>
      </x:c>
      <x:c r="AO126" s="82" t="str">
        <x:f>IF($E126="","",AVERAGE($S126:$T126))</x:f>
      </x:c>
      <x:c r="AP126" s="82" t="str">
        <x:f>IF($E126="","",($AF126*0.08)+($AG126*0.08)+($AH126*0.10))</x:f>
      </x:c>
      <x:c r="AQ126" s="82" t="str">
        <x:f>IF($E126="","",MAX(0,($AN126*0.30)+($Y126*0.20)+($Z126*0.15)+($AA126*0.15)+($AB126*0.10)+($AC126*0.10)+($AE126*0.05)-$AP126))</x:f>
      </x:c>
      <x:c r="AR126" s="81" t="str">
        <x:f>IF($E126="","",IF($AM126="competitive_selection",RANK.EQ($AQ126,$AQ$2:$AQ$201,0),""))</x:f>
      </x:c>
      <x:c r="AS126" s="81" t="str">
        <x:f>IF($E126="","",IF(AND($AM126="non_competitive_inclusion",$AL126="eligible"),"selected",""))</x:f>
      </x:c>
      <x:c r="AT126" s="81" t="str">
        <x:f>IF($E126="","",IF($AM126&lt;&gt;"competitive_selection","",IF(AND($AL126="eligible",$AR126&lt;=8),"selected","context/backlog")))</x:f>
      </x:c>
      <x:c r="AU126" s="81" t="str">
        <x:f>IF($E126="","",IF($AM126="reentry_required","not_selected_reentry",IF($AS126="selected","selected_for_runtime",IF($AT126="selected","selected_for_runtime",IF($AL126="review","manual_review","context_or_not_selected")))))</x:f>
      </x:c>
      <x:c r="AV126" s="81" t="str">
        <x:f>IF($E126="","",IF($AU126="selected_for_runtime",IF($AM126="competitive_selection",$AR126,COUNTIF($AU$2:AU126,"selected_for_runtime")),""))</x:f>
      </x:c>
      <x:c r="AW126" s="81" t="str">
        <x:f>IF($E126="","",IF($AU126="selected_for_runtime",IF($AD126&gt;=2,"base_40_plus_uncertainty_probes",IF($AE126&gt;=2,"base_40_plus_exploratory_probes","base_40_standard")),"no_runtime"))</x:f>
      </x:c>
      <x:c r="AX126" s="81" t="str">
        <x:f>IF($E126="","",IF($AU126&lt;&gt;"selected_for_runtime","none",IF($AE126&gt;=2,"exploratoria",IF($AQ126&gt;=2.2,"alta",IF($AQ126&gt;=1.2,"media","baja")))))</x:f>
      </x:c>
      <x:c r="AY126" s="81" t="str">
        <x:f>IF($E126="","",IF($AJ126=TRUE,"context_with_coverage_gap",IF($AI126="review","context_requires_confirmation","context_ready")))</x:f>
      </x:c>
      <x:c r="AZ126" s="81" t="str">
        <x:f>IF($E126="","",IF($AU126&lt;&gt;"selected_for_runtime","no",IF(OR($AY126="context_with_coverage_gap",$AX126="exploratoria"),"ready_with_flags","ready")))</x:f>
      </x:c>
      <x:c r="BA126" s="81" t="str"/>
      <x:c r="BB126" s="81" t="str"/>
      <x:c r="BC126" s="81" t="str"/>
      <x:c r="BD126" s="81" t="str"/>
      <x:c r="BE126" s="81" t="str"/>
    </x:row>
    <x:row r="127">
      <x:c r="A127" s="81" t="str"/>
      <x:c r="B127" s="81" t="str"/>
      <x:c r="C127" s="81" t="str"/>
      <x:c r="D127" s="81" t="str"/>
      <x:c r="E127" s="81" t="str"/>
      <x:c r="F127" s="81" t="str"/>
      <x:c r="G127" s="81" t="str"/>
      <x:c r="H127" s="81" t="str"/>
      <x:c r="I127" s="81" t="str"/>
      <x:c r="J127" s="81" t="str"/>
      <x:c r="K127" s="81" t="str"/>
      <x:c r="L127" s="81" t="str"/>
      <x:c r="M127" s="81" t="str"/>
      <x:c r="N127" s="81" t="str"/>
      <x:c r="O127" s="81" t="str"/>
      <x:c r="P127" s="81" t="str"/>
      <x:c r="Q127" s="81" t="str"/>
      <x:c r="R127" s="81" t="str"/>
      <x:c r="S127" s="82" t="str"/>
      <x:c r="T127" s="82" t="str"/>
      <x:c r="U127" s="82" t="str"/>
      <x:c r="V127" s="82" t="str"/>
      <x:c r="W127" s="82" t="str"/>
      <x:c r="X127" s="82" t="str"/>
      <x:c r="Y127" s="82" t="str"/>
      <x:c r="Z127" s="82" t="str"/>
      <x:c r="AA127" s="82" t="str"/>
      <x:c r="AB127" s="82" t="str"/>
      <x:c r="AC127" s="82" t="str"/>
      <x:c r="AD127" s="82" t="str"/>
      <x:c r="AE127" s="82" t="str"/>
      <x:c r="AF127" s="82" t="str"/>
      <x:c r="AG127" s="82" t="str"/>
      <x:c r="AH127" s="82" t="str"/>
      <x:c r="AI127" s="81" t="str"/>
      <x:c r="AJ127" s="81" t="str"/>
      <x:c r="AK127" s="81" t="str">
        <x:f>IF($E127="","",IF(AND($M127="yes",OR($N127="yes",$N127="review"),OR($O127="yes",$O127="review"),$P127="fit",OR($Q127="unique",$Q127="alias_review"),$R127&lt;&gt;"context_only"),"pass","review/block"))</x:f>
      </x:c>
      <x:c r="AL127" s="81" t="str">
        <x:f>IF($E127="","",IF($AK127="pass","eligible",IF(OR($M127="no",$O127="no",$P127="too_macro",$P127="too_micro",$P127="context_only",$Q127="duplicate_confirmed",$R127="context_only"),"not_eligible","review")))</x:f>
      </x:c>
      <x:c r="AM127" s="81" t="str">
        <x:f>IF($E127="","",IF($C127=0,"reentry_required",IF($C127&lt;=8,"non_competitive_inclusion","competitive_selection")))</x:f>
      </x:c>
      <x:c r="AN127" s="82" t="str">
        <x:f>IF($E127="","",AVERAGE($U127:$X127))</x:f>
      </x:c>
      <x:c r="AO127" s="82" t="str">
        <x:f>IF($E127="","",AVERAGE($S127:$T127))</x:f>
      </x:c>
      <x:c r="AP127" s="82" t="str">
        <x:f>IF($E127="","",($AF127*0.08)+($AG127*0.08)+($AH127*0.10))</x:f>
      </x:c>
      <x:c r="AQ127" s="82" t="str">
        <x:f>IF($E127="","",MAX(0,($AN127*0.30)+($Y127*0.20)+($Z127*0.15)+($AA127*0.15)+($AB127*0.10)+($AC127*0.10)+($AE127*0.05)-$AP127))</x:f>
      </x:c>
      <x:c r="AR127" s="81" t="str">
        <x:f>IF($E127="","",IF($AM127="competitive_selection",RANK.EQ($AQ127,$AQ$2:$AQ$201,0),""))</x:f>
      </x:c>
      <x:c r="AS127" s="81" t="str">
        <x:f>IF($E127="","",IF(AND($AM127="non_competitive_inclusion",$AL127="eligible"),"selected",""))</x:f>
      </x:c>
      <x:c r="AT127" s="81" t="str">
        <x:f>IF($E127="","",IF($AM127&lt;&gt;"competitive_selection","",IF(AND($AL127="eligible",$AR127&lt;=8),"selected","context/backlog")))</x:f>
      </x:c>
      <x:c r="AU127" s="81" t="str">
        <x:f>IF($E127="","",IF($AM127="reentry_required","not_selected_reentry",IF($AS127="selected","selected_for_runtime",IF($AT127="selected","selected_for_runtime",IF($AL127="review","manual_review","context_or_not_selected")))))</x:f>
      </x:c>
      <x:c r="AV127" s="81" t="str">
        <x:f>IF($E127="","",IF($AU127="selected_for_runtime",IF($AM127="competitive_selection",$AR127,COUNTIF($AU$2:AU127,"selected_for_runtime")),""))</x:f>
      </x:c>
      <x:c r="AW127" s="81" t="str">
        <x:f>IF($E127="","",IF($AU127="selected_for_runtime",IF($AD127&gt;=2,"base_40_plus_uncertainty_probes",IF($AE127&gt;=2,"base_40_plus_exploratory_probes","base_40_standard")),"no_runtime"))</x:f>
      </x:c>
      <x:c r="AX127" s="81" t="str">
        <x:f>IF($E127="","",IF($AU127&lt;&gt;"selected_for_runtime","none",IF($AE127&gt;=2,"exploratoria",IF($AQ127&gt;=2.2,"alta",IF($AQ127&gt;=1.2,"media","baja")))))</x:f>
      </x:c>
      <x:c r="AY127" s="81" t="str">
        <x:f>IF($E127="","",IF($AJ127=TRUE,"context_with_coverage_gap",IF($AI127="review","context_requires_confirmation","context_ready")))</x:f>
      </x:c>
      <x:c r="AZ127" s="81" t="str">
        <x:f>IF($E127="","",IF($AU127&lt;&gt;"selected_for_runtime","no",IF(OR($AY127="context_with_coverage_gap",$AX127="exploratoria"),"ready_with_flags","ready")))</x:f>
      </x:c>
      <x:c r="BA127" s="81" t="str"/>
      <x:c r="BB127" s="81" t="str"/>
      <x:c r="BC127" s="81" t="str"/>
      <x:c r="BD127" s="81" t="str"/>
      <x:c r="BE127" s="81" t="str"/>
    </x:row>
    <x:row r="128">
      <x:c r="A128" s="81" t="str"/>
      <x:c r="B128" s="81" t="str"/>
      <x:c r="C128" s="81" t="str"/>
      <x:c r="D128" s="81" t="str"/>
      <x:c r="E128" s="81" t="str"/>
      <x:c r="F128" s="81" t="str"/>
      <x:c r="G128" s="81" t="str"/>
      <x:c r="H128" s="81" t="str"/>
      <x:c r="I128" s="81" t="str"/>
      <x:c r="J128" s="81" t="str"/>
      <x:c r="K128" s="81" t="str"/>
      <x:c r="L128" s="81" t="str"/>
      <x:c r="M128" s="81" t="str"/>
      <x:c r="N128" s="81" t="str"/>
      <x:c r="O128" s="81" t="str"/>
      <x:c r="P128" s="81" t="str"/>
      <x:c r="Q128" s="81" t="str"/>
      <x:c r="R128" s="81" t="str"/>
      <x:c r="S128" s="82" t="str"/>
      <x:c r="T128" s="82" t="str"/>
      <x:c r="U128" s="82" t="str"/>
      <x:c r="V128" s="82" t="str"/>
      <x:c r="W128" s="82" t="str"/>
      <x:c r="X128" s="82" t="str"/>
      <x:c r="Y128" s="82" t="str"/>
      <x:c r="Z128" s="82" t="str"/>
      <x:c r="AA128" s="82" t="str"/>
      <x:c r="AB128" s="82" t="str"/>
      <x:c r="AC128" s="82" t="str"/>
      <x:c r="AD128" s="82" t="str"/>
      <x:c r="AE128" s="82" t="str"/>
      <x:c r="AF128" s="82" t="str"/>
      <x:c r="AG128" s="82" t="str"/>
      <x:c r="AH128" s="82" t="str"/>
      <x:c r="AI128" s="81" t="str"/>
      <x:c r="AJ128" s="81" t="str"/>
      <x:c r="AK128" s="81" t="str">
        <x:f>IF($E128="","",IF(AND($M128="yes",OR($N128="yes",$N128="review"),OR($O128="yes",$O128="review"),$P128="fit",OR($Q128="unique",$Q128="alias_review"),$R128&lt;&gt;"context_only"),"pass","review/block"))</x:f>
      </x:c>
      <x:c r="AL128" s="81" t="str">
        <x:f>IF($E128="","",IF($AK128="pass","eligible",IF(OR($M128="no",$O128="no",$P128="too_macro",$P128="too_micro",$P128="context_only",$Q128="duplicate_confirmed",$R128="context_only"),"not_eligible","review")))</x:f>
      </x:c>
      <x:c r="AM128" s="81" t="str">
        <x:f>IF($E128="","",IF($C128=0,"reentry_required",IF($C128&lt;=8,"non_competitive_inclusion","competitive_selection")))</x:f>
      </x:c>
      <x:c r="AN128" s="82" t="str">
        <x:f>IF($E128="","",AVERAGE($U128:$X128))</x:f>
      </x:c>
      <x:c r="AO128" s="82" t="str">
        <x:f>IF($E128="","",AVERAGE($S128:$T128))</x:f>
      </x:c>
      <x:c r="AP128" s="82" t="str">
        <x:f>IF($E128="","",($AF128*0.08)+($AG128*0.08)+($AH128*0.10))</x:f>
      </x:c>
      <x:c r="AQ128" s="82" t="str">
        <x:f>IF($E128="","",MAX(0,($AN128*0.30)+($Y128*0.20)+($Z128*0.15)+($AA128*0.15)+($AB128*0.10)+($AC128*0.10)+($AE128*0.05)-$AP128))</x:f>
      </x:c>
      <x:c r="AR128" s="81" t="str">
        <x:f>IF($E128="","",IF($AM128="competitive_selection",RANK.EQ($AQ128,$AQ$2:$AQ$201,0),""))</x:f>
      </x:c>
      <x:c r="AS128" s="81" t="str">
        <x:f>IF($E128="","",IF(AND($AM128="non_competitive_inclusion",$AL128="eligible"),"selected",""))</x:f>
      </x:c>
      <x:c r="AT128" s="81" t="str">
        <x:f>IF($E128="","",IF($AM128&lt;&gt;"competitive_selection","",IF(AND($AL128="eligible",$AR128&lt;=8),"selected","context/backlog")))</x:f>
      </x:c>
      <x:c r="AU128" s="81" t="str">
        <x:f>IF($E128="","",IF($AM128="reentry_required","not_selected_reentry",IF($AS128="selected","selected_for_runtime",IF($AT128="selected","selected_for_runtime",IF($AL128="review","manual_review","context_or_not_selected")))))</x:f>
      </x:c>
      <x:c r="AV128" s="81" t="str">
        <x:f>IF($E128="","",IF($AU128="selected_for_runtime",IF($AM128="competitive_selection",$AR128,COUNTIF($AU$2:AU128,"selected_for_runtime")),""))</x:f>
      </x:c>
      <x:c r="AW128" s="81" t="str">
        <x:f>IF($E128="","",IF($AU128="selected_for_runtime",IF($AD128&gt;=2,"base_40_plus_uncertainty_probes",IF($AE128&gt;=2,"base_40_plus_exploratory_probes","base_40_standard")),"no_runtime"))</x:f>
      </x:c>
      <x:c r="AX128" s="81" t="str">
        <x:f>IF($E128="","",IF($AU128&lt;&gt;"selected_for_runtime","none",IF($AE128&gt;=2,"exploratoria",IF($AQ128&gt;=2.2,"alta",IF($AQ128&gt;=1.2,"media","baja")))))</x:f>
      </x:c>
      <x:c r="AY128" s="81" t="str">
        <x:f>IF($E128="","",IF($AJ128=TRUE,"context_with_coverage_gap",IF($AI128="review","context_requires_confirmation","context_ready")))</x:f>
      </x:c>
      <x:c r="AZ128" s="81" t="str">
        <x:f>IF($E128="","",IF($AU128&lt;&gt;"selected_for_runtime","no",IF(OR($AY128="context_with_coverage_gap",$AX128="exploratoria"),"ready_with_flags","ready")))</x:f>
      </x:c>
      <x:c r="BA128" s="81" t="str"/>
      <x:c r="BB128" s="81" t="str"/>
      <x:c r="BC128" s="81" t="str"/>
      <x:c r="BD128" s="81" t="str"/>
      <x:c r="BE128" s="81" t="str"/>
    </x:row>
    <x:row r="129">
      <x:c r="A129" s="81" t="str"/>
      <x:c r="B129" s="81" t="str"/>
      <x:c r="C129" s="81" t="str"/>
      <x:c r="D129" s="81" t="str"/>
      <x:c r="E129" s="81" t="str"/>
      <x:c r="F129" s="81" t="str"/>
      <x:c r="G129" s="81" t="str"/>
      <x:c r="H129" s="81" t="str"/>
      <x:c r="I129" s="81" t="str"/>
      <x:c r="J129" s="81" t="str"/>
      <x:c r="K129" s="81" t="str"/>
      <x:c r="L129" s="81" t="str"/>
      <x:c r="M129" s="81" t="str"/>
      <x:c r="N129" s="81" t="str"/>
      <x:c r="O129" s="81" t="str"/>
      <x:c r="P129" s="81" t="str"/>
      <x:c r="Q129" s="81" t="str"/>
      <x:c r="R129" s="81" t="str"/>
      <x:c r="S129" s="82" t="str"/>
      <x:c r="T129" s="82" t="str"/>
      <x:c r="U129" s="82" t="str"/>
      <x:c r="V129" s="82" t="str"/>
      <x:c r="W129" s="82" t="str"/>
      <x:c r="X129" s="82" t="str"/>
      <x:c r="Y129" s="82" t="str"/>
      <x:c r="Z129" s="82" t="str"/>
      <x:c r="AA129" s="82" t="str"/>
      <x:c r="AB129" s="82" t="str"/>
      <x:c r="AC129" s="82" t="str"/>
      <x:c r="AD129" s="82" t="str"/>
      <x:c r="AE129" s="82" t="str"/>
      <x:c r="AF129" s="82" t="str"/>
      <x:c r="AG129" s="82" t="str"/>
      <x:c r="AH129" s="82" t="str"/>
      <x:c r="AI129" s="81" t="str"/>
      <x:c r="AJ129" s="81" t="str"/>
      <x:c r="AK129" s="81" t="str">
        <x:f>IF($E129="","",IF(AND($M129="yes",OR($N129="yes",$N129="review"),OR($O129="yes",$O129="review"),$P129="fit",OR($Q129="unique",$Q129="alias_review"),$R129&lt;&gt;"context_only"),"pass","review/block"))</x:f>
      </x:c>
      <x:c r="AL129" s="81" t="str">
        <x:f>IF($E129="","",IF($AK129="pass","eligible",IF(OR($M129="no",$O129="no",$P129="too_macro",$P129="too_micro",$P129="context_only",$Q129="duplicate_confirmed",$R129="context_only"),"not_eligible","review")))</x:f>
      </x:c>
      <x:c r="AM129" s="81" t="str">
        <x:f>IF($E129="","",IF($C129=0,"reentry_required",IF($C129&lt;=8,"non_competitive_inclusion","competitive_selection")))</x:f>
      </x:c>
      <x:c r="AN129" s="82" t="str">
        <x:f>IF($E129="","",AVERAGE($U129:$X129))</x:f>
      </x:c>
      <x:c r="AO129" s="82" t="str">
        <x:f>IF($E129="","",AVERAGE($S129:$T129))</x:f>
      </x:c>
      <x:c r="AP129" s="82" t="str">
        <x:f>IF($E129="","",($AF129*0.08)+($AG129*0.08)+($AH129*0.10))</x:f>
      </x:c>
      <x:c r="AQ129" s="82" t="str">
        <x:f>IF($E129="","",MAX(0,($AN129*0.30)+($Y129*0.20)+($Z129*0.15)+($AA129*0.15)+($AB129*0.10)+($AC129*0.10)+($AE129*0.05)-$AP129))</x:f>
      </x:c>
      <x:c r="AR129" s="81" t="str">
        <x:f>IF($E129="","",IF($AM129="competitive_selection",RANK.EQ($AQ129,$AQ$2:$AQ$201,0),""))</x:f>
      </x:c>
      <x:c r="AS129" s="81" t="str">
        <x:f>IF($E129="","",IF(AND($AM129="non_competitive_inclusion",$AL129="eligible"),"selected",""))</x:f>
      </x:c>
      <x:c r="AT129" s="81" t="str">
        <x:f>IF($E129="","",IF($AM129&lt;&gt;"competitive_selection","",IF(AND($AL129="eligible",$AR129&lt;=8),"selected","context/backlog")))</x:f>
      </x:c>
      <x:c r="AU129" s="81" t="str">
        <x:f>IF($E129="","",IF($AM129="reentry_required","not_selected_reentry",IF($AS129="selected","selected_for_runtime",IF($AT129="selected","selected_for_runtime",IF($AL129="review","manual_review","context_or_not_selected")))))</x:f>
      </x:c>
      <x:c r="AV129" s="81" t="str">
        <x:f>IF($E129="","",IF($AU129="selected_for_runtime",IF($AM129="competitive_selection",$AR129,COUNTIF($AU$2:AU129,"selected_for_runtime")),""))</x:f>
      </x:c>
      <x:c r="AW129" s="81" t="str">
        <x:f>IF($E129="","",IF($AU129="selected_for_runtime",IF($AD129&gt;=2,"base_40_plus_uncertainty_probes",IF($AE129&gt;=2,"base_40_plus_exploratory_probes","base_40_standard")),"no_runtime"))</x:f>
      </x:c>
      <x:c r="AX129" s="81" t="str">
        <x:f>IF($E129="","",IF($AU129&lt;&gt;"selected_for_runtime","none",IF($AE129&gt;=2,"exploratoria",IF($AQ129&gt;=2.2,"alta",IF($AQ129&gt;=1.2,"media","baja")))))</x:f>
      </x:c>
      <x:c r="AY129" s="81" t="str">
        <x:f>IF($E129="","",IF($AJ129=TRUE,"context_with_coverage_gap",IF($AI129="review","context_requires_confirmation","context_ready")))</x:f>
      </x:c>
      <x:c r="AZ129" s="81" t="str">
        <x:f>IF($E129="","",IF($AU129&lt;&gt;"selected_for_runtime","no",IF(OR($AY129="context_with_coverage_gap",$AX129="exploratoria"),"ready_with_flags","ready")))</x:f>
      </x:c>
      <x:c r="BA129" s="81" t="str"/>
      <x:c r="BB129" s="81" t="str"/>
      <x:c r="BC129" s="81" t="str"/>
      <x:c r="BD129" s="81" t="str"/>
      <x:c r="BE129" s="81" t="str"/>
    </x:row>
    <x:row r="130">
      <x:c r="A130" s="81" t="str"/>
      <x:c r="B130" s="81" t="str"/>
      <x:c r="C130" s="81" t="str"/>
      <x:c r="D130" s="81" t="str"/>
      <x:c r="E130" s="81" t="str"/>
      <x:c r="F130" s="81" t="str"/>
      <x:c r="G130" s="81" t="str"/>
      <x:c r="H130" s="81" t="str"/>
      <x:c r="I130" s="81" t="str"/>
      <x:c r="J130" s="81" t="str"/>
      <x:c r="K130" s="81" t="str"/>
      <x:c r="L130" s="81" t="str"/>
      <x:c r="M130" s="81" t="str"/>
      <x:c r="N130" s="81" t="str"/>
      <x:c r="O130" s="81" t="str"/>
      <x:c r="P130" s="81" t="str"/>
      <x:c r="Q130" s="81" t="str"/>
      <x:c r="R130" s="81" t="str"/>
      <x:c r="S130" s="82" t="str"/>
      <x:c r="T130" s="82" t="str"/>
      <x:c r="U130" s="82" t="str"/>
      <x:c r="V130" s="82" t="str"/>
      <x:c r="W130" s="82" t="str"/>
      <x:c r="X130" s="82" t="str"/>
      <x:c r="Y130" s="82" t="str"/>
      <x:c r="Z130" s="82" t="str"/>
      <x:c r="AA130" s="82" t="str"/>
      <x:c r="AB130" s="82" t="str"/>
      <x:c r="AC130" s="82" t="str"/>
      <x:c r="AD130" s="82" t="str"/>
      <x:c r="AE130" s="82" t="str"/>
      <x:c r="AF130" s="82" t="str"/>
      <x:c r="AG130" s="82" t="str"/>
      <x:c r="AH130" s="82" t="str"/>
      <x:c r="AI130" s="81" t="str"/>
      <x:c r="AJ130" s="81" t="str"/>
      <x:c r="AK130" s="81" t="str">
        <x:f>IF($E130="","",IF(AND($M130="yes",OR($N130="yes",$N130="review"),OR($O130="yes",$O130="review"),$P130="fit",OR($Q130="unique",$Q130="alias_review"),$R130&lt;&gt;"context_only"),"pass","review/block"))</x:f>
      </x:c>
      <x:c r="AL130" s="81" t="str">
        <x:f>IF($E130="","",IF($AK130="pass","eligible",IF(OR($M130="no",$O130="no",$P130="too_macro",$P130="too_micro",$P130="context_only",$Q130="duplicate_confirmed",$R130="context_only"),"not_eligible","review")))</x:f>
      </x:c>
      <x:c r="AM130" s="81" t="str">
        <x:f>IF($E130="","",IF($C130=0,"reentry_required",IF($C130&lt;=8,"non_competitive_inclusion","competitive_selection")))</x:f>
      </x:c>
      <x:c r="AN130" s="82" t="str">
        <x:f>IF($E130="","",AVERAGE($U130:$X130))</x:f>
      </x:c>
      <x:c r="AO130" s="82" t="str">
        <x:f>IF($E130="","",AVERAGE($S130:$T130))</x:f>
      </x:c>
      <x:c r="AP130" s="82" t="str">
        <x:f>IF($E130="","",($AF130*0.08)+($AG130*0.08)+($AH130*0.10))</x:f>
      </x:c>
      <x:c r="AQ130" s="82" t="str">
        <x:f>IF($E130="","",MAX(0,($AN130*0.30)+($Y130*0.20)+($Z130*0.15)+($AA130*0.15)+($AB130*0.10)+($AC130*0.10)+($AE130*0.05)-$AP130))</x:f>
      </x:c>
      <x:c r="AR130" s="81" t="str">
        <x:f>IF($E130="","",IF($AM130="competitive_selection",RANK.EQ($AQ130,$AQ$2:$AQ$201,0),""))</x:f>
      </x:c>
      <x:c r="AS130" s="81" t="str">
        <x:f>IF($E130="","",IF(AND($AM130="non_competitive_inclusion",$AL130="eligible"),"selected",""))</x:f>
      </x:c>
      <x:c r="AT130" s="81" t="str">
        <x:f>IF($E130="","",IF($AM130&lt;&gt;"competitive_selection","",IF(AND($AL130="eligible",$AR130&lt;=8),"selected","context/backlog")))</x:f>
      </x:c>
      <x:c r="AU130" s="81" t="str">
        <x:f>IF($E130="","",IF($AM130="reentry_required","not_selected_reentry",IF($AS130="selected","selected_for_runtime",IF($AT130="selected","selected_for_runtime",IF($AL130="review","manual_review","context_or_not_selected")))))</x:f>
      </x:c>
      <x:c r="AV130" s="81" t="str">
        <x:f>IF($E130="","",IF($AU130="selected_for_runtime",IF($AM130="competitive_selection",$AR130,COUNTIF($AU$2:AU130,"selected_for_runtime")),""))</x:f>
      </x:c>
      <x:c r="AW130" s="81" t="str">
        <x:f>IF($E130="","",IF($AU130="selected_for_runtime",IF($AD130&gt;=2,"base_40_plus_uncertainty_probes",IF($AE130&gt;=2,"base_40_plus_exploratory_probes","base_40_standard")),"no_runtime"))</x:f>
      </x:c>
      <x:c r="AX130" s="81" t="str">
        <x:f>IF($E130="","",IF($AU130&lt;&gt;"selected_for_runtime","none",IF($AE130&gt;=2,"exploratoria",IF($AQ130&gt;=2.2,"alta",IF($AQ130&gt;=1.2,"media","baja")))))</x:f>
      </x:c>
      <x:c r="AY130" s="81" t="str">
        <x:f>IF($E130="","",IF($AJ130=TRUE,"context_with_coverage_gap",IF($AI130="review","context_requires_confirmation","context_ready")))</x:f>
      </x:c>
      <x:c r="AZ130" s="81" t="str">
        <x:f>IF($E130="","",IF($AU130&lt;&gt;"selected_for_runtime","no",IF(OR($AY130="context_with_coverage_gap",$AX130="exploratoria"),"ready_with_flags","ready")))</x:f>
      </x:c>
      <x:c r="BA130" s="81" t="str"/>
      <x:c r="BB130" s="81" t="str"/>
      <x:c r="BC130" s="81" t="str"/>
      <x:c r="BD130" s="81" t="str"/>
      <x:c r="BE130" s="81" t="str"/>
    </x:row>
    <x:row r="131">
      <x:c r="A131" s="81" t="str"/>
      <x:c r="B131" s="81" t="str"/>
      <x:c r="C131" s="81" t="str"/>
      <x:c r="D131" s="81" t="str"/>
      <x:c r="E131" s="81" t="str"/>
      <x:c r="F131" s="81" t="str"/>
      <x:c r="G131" s="81" t="str"/>
      <x:c r="H131" s="81" t="str"/>
      <x:c r="I131" s="81" t="str"/>
      <x:c r="J131" s="81" t="str"/>
      <x:c r="K131" s="81" t="str"/>
      <x:c r="L131" s="81" t="str"/>
      <x:c r="M131" s="81" t="str"/>
      <x:c r="N131" s="81" t="str"/>
      <x:c r="O131" s="81" t="str"/>
      <x:c r="P131" s="81" t="str"/>
      <x:c r="Q131" s="81" t="str"/>
      <x:c r="R131" s="81" t="str"/>
      <x:c r="S131" s="82" t="str"/>
      <x:c r="T131" s="82" t="str"/>
      <x:c r="U131" s="82" t="str"/>
      <x:c r="V131" s="82" t="str"/>
      <x:c r="W131" s="82" t="str"/>
      <x:c r="X131" s="82" t="str"/>
      <x:c r="Y131" s="82" t="str"/>
      <x:c r="Z131" s="82" t="str"/>
      <x:c r="AA131" s="82" t="str"/>
      <x:c r="AB131" s="82" t="str"/>
      <x:c r="AC131" s="82" t="str"/>
      <x:c r="AD131" s="82" t="str"/>
      <x:c r="AE131" s="82" t="str"/>
      <x:c r="AF131" s="82" t="str"/>
      <x:c r="AG131" s="82" t="str"/>
      <x:c r="AH131" s="82" t="str"/>
      <x:c r="AI131" s="81" t="str"/>
      <x:c r="AJ131" s="81" t="str"/>
      <x:c r="AK131" s="81" t="str">
        <x:f>IF($E131="","",IF(AND($M131="yes",OR($N131="yes",$N131="review"),OR($O131="yes",$O131="review"),$P131="fit",OR($Q131="unique",$Q131="alias_review"),$R131&lt;&gt;"context_only"),"pass","review/block"))</x:f>
      </x:c>
      <x:c r="AL131" s="81" t="str">
        <x:f>IF($E131="","",IF($AK131="pass","eligible",IF(OR($M131="no",$O131="no",$P131="too_macro",$P131="too_micro",$P131="context_only",$Q131="duplicate_confirmed",$R131="context_only"),"not_eligible","review")))</x:f>
      </x:c>
      <x:c r="AM131" s="81" t="str">
        <x:f>IF($E131="","",IF($C131=0,"reentry_required",IF($C131&lt;=8,"non_competitive_inclusion","competitive_selection")))</x:f>
      </x:c>
      <x:c r="AN131" s="82" t="str">
        <x:f>IF($E131="","",AVERAGE($U131:$X131))</x:f>
      </x:c>
      <x:c r="AO131" s="82" t="str">
        <x:f>IF($E131="","",AVERAGE($S131:$T131))</x:f>
      </x:c>
      <x:c r="AP131" s="82" t="str">
        <x:f>IF($E131="","",($AF131*0.08)+($AG131*0.08)+($AH131*0.10))</x:f>
      </x:c>
      <x:c r="AQ131" s="82" t="str">
        <x:f>IF($E131="","",MAX(0,($AN131*0.30)+($Y131*0.20)+($Z131*0.15)+($AA131*0.15)+($AB131*0.10)+($AC131*0.10)+($AE131*0.05)-$AP131))</x:f>
      </x:c>
      <x:c r="AR131" s="81" t="str">
        <x:f>IF($E131="","",IF($AM131="competitive_selection",RANK.EQ($AQ131,$AQ$2:$AQ$201,0),""))</x:f>
      </x:c>
      <x:c r="AS131" s="81" t="str">
        <x:f>IF($E131="","",IF(AND($AM131="non_competitive_inclusion",$AL131="eligible"),"selected",""))</x:f>
      </x:c>
      <x:c r="AT131" s="81" t="str">
        <x:f>IF($E131="","",IF($AM131&lt;&gt;"competitive_selection","",IF(AND($AL131="eligible",$AR131&lt;=8),"selected","context/backlog")))</x:f>
      </x:c>
      <x:c r="AU131" s="81" t="str">
        <x:f>IF($E131="","",IF($AM131="reentry_required","not_selected_reentry",IF($AS131="selected","selected_for_runtime",IF($AT131="selected","selected_for_runtime",IF($AL131="review","manual_review","context_or_not_selected")))))</x:f>
      </x:c>
      <x:c r="AV131" s="81" t="str">
        <x:f>IF($E131="","",IF($AU131="selected_for_runtime",IF($AM131="competitive_selection",$AR131,COUNTIF($AU$2:AU131,"selected_for_runtime")),""))</x:f>
      </x:c>
      <x:c r="AW131" s="81" t="str">
        <x:f>IF($E131="","",IF($AU131="selected_for_runtime",IF($AD131&gt;=2,"base_40_plus_uncertainty_probes",IF($AE131&gt;=2,"base_40_plus_exploratory_probes","base_40_standard")),"no_runtime"))</x:f>
      </x:c>
      <x:c r="AX131" s="81" t="str">
        <x:f>IF($E131="","",IF($AU131&lt;&gt;"selected_for_runtime","none",IF($AE131&gt;=2,"exploratoria",IF($AQ131&gt;=2.2,"alta",IF($AQ131&gt;=1.2,"media","baja")))))</x:f>
      </x:c>
      <x:c r="AY131" s="81" t="str">
        <x:f>IF($E131="","",IF($AJ131=TRUE,"context_with_coverage_gap",IF($AI131="review","context_requires_confirmation","context_ready")))</x:f>
      </x:c>
      <x:c r="AZ131" s="81" t="str">
        <x:f>IF($E131="","",IF($AU131&lt;&gt;"selected_for_runtime","no",IF(OR($AY131="context_with_coverage_gap",$AX131="exploratoria"),"ready_with_flags","ready")))</x:f>
      </x:c>
      <x:c r="BA131" s="81" t="str"/>
      <x:c r="BB131" s="81" t="str"/>
      <x:c r="BC131" s="81" t="str"/>
      <x:c r="BD131" s="81" t="str"/>
      <x:c r="BE131" s="81" t="str"/>
    </x:row>
    <x:row r="132">
      <x:c r="A132" s="81" t="str"/>
      <x:c r="B132" s="81" t="str"/>
      <x:c r="C132" s="81" t="str"/>
      <x:c r="D132" s="81" t="str"/>
      <x:c r="E132" s="81" t="str"/>
      <x:c r="F132" s="81" t="str"/>
      <x:c r="G132" s="81" t="str"/>
      <x:c r="H132" s="81" t="str"/>
      <x:c r="I132" s="81" t="str"/>
      <x:c r="J132" s="81" t="str"/>
      <x:c r="K132" s="81" t="str"/>
      <x:c r="L132" s="81" t="str"/>
      <x:c r="M132" s="81" t="str"/>
      <x:c r="N132" s="81" t="str"/>
      <x:c r="O132" s="81" t="str"/>
      <x:c r="P132" s="81" t="str"/>
      <x:c r="Q132" s="81" t="str"/>
      <x:c r="R132" s="81" t="str"/>
      <x:c r="S132" s="82" t="str"/>
      <x:c r="T132" s="82" t="str"/>
      <x:c r="U132" s="82" t="str"/>
      <x:c r="V132" s="82" t="str"/>
      <x:c r="W132" s="82" t="str"/>
      <x:c r="X132" s="82" t="str"/>
      <x:c r="Y132" s="82" t="str"/>
      <x:c r="Z132" s="82" t="str"/>
      <x:c r="AA132" s="82" t="str"/>
      <x:c r="AB132" s="82" t="str"/>
      <x:c r="AC132" s="82" t="str"/>
      <x:c r="AD132" s="82" t="str"/>
      <x:c r="AE132" s="82" t="str"/>
      <x:c r="AF132" s="82" t="str"/>
      <x:c r="AG132" s="82" t="str"/>
      <x:c r="AH132" s="82" t="str"/>
      <x:c r="AI132" s="81" t="str"/>
      <x:c r="AJ132" s="81" t="str"/>
      <x:c r="AK132" s="81" t="str">
        <x:f>IF($E132="","",IF(AND($M132="yes",OR($N132="yes",$N132="review"),OR($O132="yes",$O132="review"),$P132="fit",OR($Q132="unique",$Q132="alias_review"),$R132&lt;&gt;"context_only"),"pass","review/block"))</x:f>
      </x:c>
      <x:c r="AL132" s="81" t="str">
        <x:f>IF($E132="","",IF($AK132="pass","eligible",IF(OR($M132="no",$O132="no",$P132="too_macro",$P132="too_micro",$P132="context_only",$Q132="duplicate_confirmed",$R132="context_only"),"not_eligible","review")))</x:f>
      </x:c>
      <x:c r="AM132" s="81" t="str">
        <x:f>IF($E132="","",IF($C132=0,"reentry_required",IF($C132&lt;=8,"non_competitive_inclusion","competitive_selection")))</x:f>
      </x:c>
      <x:c r="AN132" s="82" t="str">
        <x:f>IF($E132="","",AVERAGE($U132:$X132))</x:f>
      </x:c>
      <x:c r="AO132" s="82" t="str">
        <x:f>IF($E132="","",AVERAGE($S132:$T132))</x:f>
      </x:c>
      <x:c r="AP132" s="82" t="str">
        <x:f>IF($E132="","",($AF132*0.08)+($AG132*0.08)+($AH132*0.10))</x:f>
      </x:c>
      <x:c r="AQ132" s="82" t="str">
        <x:f>IF($E132="","",MAX(0,($AN132*0.30)+($Y132*0.20)+($Z132*0.15)+($AA132*0.15)+($AB132*0.10)+($AC132*0.10)+($AE132*0.05)-$AP132))</x:f>
      </x:c>
      <x:c r="AR132" s="81" t="str">
        <x:f>IF($E132="","",IF($AM132="competitive_selection",RANK.EQ($AQ132,$AQ$2:$AQ$201,0),""))</x:f>
      </x:c>
      <x:c r="AS132" s="81" t="str">
        <x:f>IF($E132="","",IF(AND($AM132="non_competitive_inclusion",$AL132="eligible"),"selected",""))</x:f>
      </x:c>
      <x:c r="AT132" s="81" t="str">
        <x:f>IF($E132="","",IF($AM132&lt;&gt;"competitive_selection","",IF(AND($AL132="eligible",$AR132&lt;=8),"selected","context/backlog")))</x:f>
      </x:c>
      <x:c r="AU132" s="81" t="str">
        <x:f>IF($E132="","",IF($AM132="reentry_required","not_selected_reentry",IF($AS132="selected","selected_for_runtime",IF($AT132="selected","selected_for_runtime",IF($AL132="review","manual_review","context_or_not_selected")))))</x:f>
      </x:c>
      <x:c r="AV132" s="81" t="str">
        <x:f>IF($E132="","",IF($AU132="selected_for_runtime",IF($AM132="competitive_selection",$AR132,COUNTIF($AU$2:AU132,"selected_for_runtime")),""))</x:f>
      </x:c>
      <x:c r="AW132" s="81" t="str">
        <x:f>IF($E132="","",IF($AU132="selected_for_runtime",IF($AD132&gt;=2,"base_40_plus_uncertainty_probes",IF($AE132&gt;=2,"base_40_plus_exploratory_probes","base_40_standard")),"no_runtime"))</x:f>
      </x:c>
      <x:c r="AX132" s="81" t="str">
        <x:f>IF($E132="","",IF($AU132&lt;&gt;"selected_for_runtime","none",IF($AE132&gt;=2,"exploratoria",IF($AQ132&gt;=2.2,"alta",IF($AQ132&gt;=1.2,"media","baja")))))</x:f>
      </x:c>
      <x:c r="AY132" s="81" t="str">
        <x:f>IF($E132="","",IF($AJ132=TRUE,"context_with_coverage_gap",IF($AI132="review","context_requires_confirmation","context_ready")))</x:f>
      </x:c>
      <x:c r="AZ132" s="81" t="str">
        <x:f>IF($E132="","",IF($AU132&lt;&gt;"selected_for_runtime","no",IF(OR($AY132="context_with_coverage_gap",$AX132="exploratoria"),"ready_with_flags","ready")))</x:f>
      </x:c>
      <x:c r="BA132" s="81" t="str"/>
      <x:c r="BB132" s="81" t="str"/>
      <x:c r="BC132" s="81" t="str"/>
      <x:c r="BD132" s="81" t="str"/>
      <x:c r="BE132" s="81" t="str"/>
    </x:row>
    <x:row r="133">
      <x:c r="A133" s="81" t="str"/>
      <x:c r="B133" s="81" t="str"/>
      <x:c r="C133" s="81" t="str"/>
      <x:c r="D133" s="81" t="str"/>
      <x:c r="E133" s="81" t="str"/>
      <x:c r="F133" s="81" t="str"/>
      <x:c r="G133" s="81" t="str"/>
      <x:c r="H133" s="81" t="str"/>
      <x:c r="I133" s="81" t="str"/>
      <x:c r="J133" s="81" t="str"/>
      <x:c r="K133" s="81" t="str"/>
      <x:c r="L133" s="81" t="str"/>
      <x:c r="M133" s="81" t="str"/>
      <x:c r="N133" s="81" t="str"/>
      <x:c r="O133" s="81" t="str"/>
      <x:c r="P133" s="81" t="str"/>
      <x:c r="Q133" s="81" t="str"/>
      <x:c r="R133" s="81" t="str"/>
      <x:c r="S133" s="82" t="str"/>
      <x:c r="T133" s="82" t="str"/>
      <x:c r="U133" s="82" t="str"/>
      <x:c r="V133" s="82" t="str"/>
      <x:c r="W133" s="82" t="str"/>
      <x:c r="X133" s="82" t="str"/>
      <x:c r="Y133" s="82" t="str"/>
      <x:c r="Z133" s="82" t="str"/>
      <x:c r="AA133" s="82" t="str"/>
      <x:c r="AB133" s="82" t="str"/>
      <x:c r="AC133" s="82" t="str"/>
      <x:c r="AD133" s="82" t="str"/>
      <x:c r="AE133" s="82" t="str"/>
      <x:c r="AF133" s="82" t="str"/>
      <x:c r="AG133" s="82" t="str"/>
      <x:c r="AH133" s="82" t="str"/>
      <x:c r="AI133" s="81" t="str"/>
      <x:c r="AJ133" s="81" t="str"/>
      <x:c r="AK133" s="81" t="str">
        <x:f>IF($E133="","",IF(AND($M133="yes",OR($N133="yes",$N133="review"),OR($O133="yes",$O133="review"),$P133="fit",OR($Q133="unique",$Q133="alias_review"),$R133&lt;&gt;"context_only"),"pass","review/block"))</x:f>
      </x:c>
      <x:c r="AL133" s="81" t="str">
        <x:f>IF($E133="","",IF($AK133="pass","eligible",IF(OR($M133="no",$O133="no",$P133="too_macro",$P133="too_micro",$P133="context_only",$Q133="duplicate_confirmed",$R133="context_only"),"not_eligible","review")))</x:f>
      </x:c>
      <x:c r="AM133" s="81" t="str">
        <x:f>IF($E133="","",IF($C133=0,"reentry_required",IF($C133&lt;=8,"non_competitive_inclusion","competitive_selection")))</x:f>
      </x:c>
      <x:c r="AN133" s="82" t="str">
        <x:f>IF($E133="","",AVERAGE($U133:$X133))</x:f>
      </x:c>
      <x:c r="AO133" s="82" t="str">
        <x:f>IF($E133="","",AVERAGE($S133:$T133))</x:f>
      </x:c>
      <x:c r="AP133" s="82" t="str">
        <x:f>IF($E133="","",($AF133*0.08)+($AG133*0.08)+($AH133*0.10))</x:f>
      </x:c>
      <x:c r="AQ133" s="82" t="str">
        <x:f>IF($E133="","",MAX(0,($AN133*0.30)+($Y133*0.20)+($Z133*0.15)+($AA133*0.15)+($AB133*0.10)+($AC133*0.10)+($AE133*0.05)-$AP133))</x:f>
      </x:c>
      <x:c r="AR133" s="81" t="str">
        <x:f>IF($E133="","",IF($AM133="competitive_selection",RANK.EQ($AQ133,$AQ$2:$AQ$201,0),""))</x:f>
      </x:c>
      <x:c r="AS133" s="81" t="str">
        <x:f>IF($E133="","",IF(AND($AM133="non_competitive_inclusion",$AL133="eligible"),"selected",""))</x:f>
      </x:c>
      <x:c r="AT133" s="81" t="str">
        <x:f>IF($E133="","",IF($AM133&lt;&gt;"competitive_selection","",IF(AND($AL133="eligible",$AR133&lt;=8),"selected","context/backlog")))</x:f>
      </x:c>
      <x:c r="AU133" s="81" t="str">
        <x:f>IF($E133="","",IF($AM133="reentry_required","not_selected_reentry",IF($AS133="selected","selected_for_runtime",IF($AT133="selected","selected_for_runtime",IF($AL133="review","manual_review","context_or_not_selected")))))</x:f>
      </x:c>
      <x:c r="AV133" s="81" t="str">
        <x:f>IF($E133="","",IF($AU133="selected_for_runtime",IF($AM133="competitive_selection",$AR133,COUNTIF($AU$2:AU133,"selected_for_runtime")),""))</x:f>
      </x:c>
      <x:c r="AW133" s="81" t="str">
        <x:f>IF($E133="","",IF($AU133="selected_for_runtime",IF($AD133&gt;=2,"base_40_plus_uncertainty_probes",IF($AE133&gt;=2,"base_40_plus_exploratory_probes","base_40_standard")),"no_runtime"))</x:f>
      </x:c>
      <x:c r="AX133" s="81" t="str">
        <x:f>IF($E133="","",IF($AU133&lt;&gt;"selected_for_runtime","none",IF($AE133&gt;=2,"exploratoria",IF($AQ133&gt;=2.2,"alta",IF($AQ133&gt;=1.2,"media","baja")))))</x:f>
      </x:c>
      <x:c r="AY133" s="81" t="str">
        <x:f>IF($E133="","",IF($AJ133=TRUE,"context_with_coverage_gap",IF($AI133="review","context_requires_confirmation","context_ready")))</x:f>
      </x:c>
      <x:c r="AZ133" s="81" t="str">
        <x:f>IF($E133="","",IF($AU133&lt;&gt;"selected_for_runtime","no",IF(OR($AY133="context_with_coverage_gap",$AX133="exploratoria"),"ready_with_flags","ready")))</x:f>
      </x:c>
      <x:c r="BA133" s="81" t="str"/>
      <x:c r="BB133" s="81" t="str"/>
      <x:c r="BC133" s="81" t="str"/>
      <x:c r="BD133" s="81" t="str"/>
      <x:c r="BE133" s="81" t="str"/>
    </x:row>
    <x:row r="134">
      <x:c r="A134" s="81" t="str"/>
      <x:c r="B134" s="81" t="str"/>
      <x:c r="C134" s="81" t="str"/>
      <x:c r="D134" s="81" t="str"/>
      <x:c r="E134" s="81" t="str"/>
      <x:c r="F134" s="81" t="str"/>
      <x:c r="G134" s="81" t="str"/>
      <x:c r="H134" s="81" t="str"/>
      <x:c r="I134" s="81" t="str"/>
      <x:c r="J134" s="81" t="str"/>
      <x:c r="K134" s="81" t="str"/>
      <x:c r="L134" s="81" t="str"/>
      <x:c r="M134" s="81" t="str"/>
      <x:c r="N134" s="81" t="str"/>
      <x:c r="O134" s="81" t="str"/>
      <x:c r="P134" s="81" t="str"/>
      <x:c r="Q134" s="81" t="str"/>
      <x:c r="R134" s="81" t="str"/>
      <x:c r="S134" s="82" t="str"/>
      <x:c r="T134" s="82" t="str"/>
      <x:c r="U134" s="82" t="str"/>
      <x:c r="V134" s="82" t="str"/>
      <x:c r="W134" s="82" t="str"/>
      <x:c r="X134" s="82" t="str"/>
      <x:c r="Y134" s="82" t="str"/>
      <x:c r="Z134" s="82" t="str"/>
      <x:c r="AA134" s="82" t="str"/>
      <x:c r="AB134" s="82" t="str"/>
      <x:c r="AC134" s="82" t="str"/>
      <x:c r="AD134" s="82" t="str"/>
      <x:c r="AE134" s="82" t="str"/>
      <x:c r="AF134" s="82" t="str"/>
      <x:c r="AG134" s="82" t="str"/>
      <x:c r="AH134" s="82" t="str"/>
      <x:c r="AI134" s="81" t="str"/>
      <x:c r="AJ134" s="81" t="str"/>
      <x:c r="AK134" s="81" t="str">
        <x:f>IF($E134="","",IF(AND($M134="yes",OR($N134="yes",$N134="review"),OR($O134="yes",$O134="review"),$P134="fit",OR($Q134="unique",$Q134="alias_review"),$R134&lt;&gt;"context_only"),"pass","review/block"))</x:f>
      </x:c>
      <x:c r="AL134" s="81" t="str">
        <x:f>IF($E134="","",IF($AK134="pass","eligible",IF(OR($M134="no",$O134="no",$P134="too_macro",$P134="too_micro",$P134="context_only",$Q134="duplicate_confirmed",$R134="context_only"),"not_eligible","review")))</x:f>
      </x:c>
      <x:c r="AM134" s="81" t="str">
        <x:f>IF($E134="","",IF($C134=0,"reentry_required",IF($C134&lt;=8,"non_competitive_inclusion","competitive_selection")))</x:f>
      </x:c>
      <x:c r="AN134" s="82" t="str">
        <x:f>IF($E134="","",AVERAGE($U134:$X134))</x:f>
      </x:c>
      <x:c r="AO134" s="82" t="str">
        <x:f>IF($E134="","",AVERAGE($S134:$T134))</x:f>
      </x:c>
      <x:c r="AP134" s="82" t="str">
        <x:f>IF($E134="","",($AF134*0.08)+($AG134*0.08)+($AH134*0.10))</x:f>
      </x:c>
      <x:c r="AQ134" s="82" t="str">
        <x:f>IF($E134="","",MAX(0,($AN134*0.30)+($Y134*0.20)+($Z134*0.15)+($AA134*0.15)+($AB134*0.10)+($AC134*0.10)+($AE134*0.05)-$AP134))</x:f>
      </x:c>
      <x:c r="AR134" s="81" t="str">
        <x:f>IF($E134="","",IF($AM134="competitive_selection",RANK.EQ($AQ134,$AQ$2:$AQ$201,0),""))</x:f>
      </x:c>
      <x:c r="AS134" s="81" t="str">
        <x:f>IF($E134="","",IF(AND($AM134="non_competitive_inclusion",$AL134="eligible"),"selected",""))</x:f>
      </x:c>
      <x:c r="AT134" s="81" t="str">
        <x:f>IF($E134="","",IF($AM134&lt;&gt;"competitive_selection","",IF(AND($AL134="eligible",$AR134&lt;=8),"selected","context/backlog")))</x:f>
      </x:c>
      <x:c r="AU134" s="81" t="str">
        <x:f>IF($E134="","",IF($AM134="reentry_required","not_selected_reentry",IF($AS134="selected","selected_for_runtime",IF($AT134="selected","selected_for_runtime",IF($AL134="review","manual_review","context_or_not_selected")))))</x:f>
      </x:c>
      <x:c r="AV134" s="81" t="str">
        <x:f>IF($E134="","",IF($AU134="selected_for_runtime",IF($AM134="competitive_selection",$AR134,COUNTIF($AU$2:AU134,"selected_for_runtime")),""))</x:f>
      </x:c>
      <x:c r="AW134" s="81" t="str">
        <x:f>IF($E134="","",IF($AU134="selected_for_runtime",IF($AD134&gt;=2,"base_40_plus_uncertainty_probes",IF($AE134&gt;=2,"base_40_plus_exploratory_probes","base_40_standard")),"no_runtime"))</x:f>
      </x:c>
      <x:c r="AX134" s="81" t="str">
        <x:f>IF($E134="","",IF($AU134&lt;&gt;"selected_for_runtime","none",IF($AE134&gt;=2,"exploratoria",IF($AQ134&gt;=2.2,"alta",IF($AQ134&gt;=1.2,"media","baja")))))</x:f>
      </x:c>
      <x:c r="AY134" s="81" t="str">
        <x:f>IF($E134="","",IF($AJ134=TRUE,"context_with_coverage_gap",IF($AI134="review","context_requires_confirmation","context_ready")))</x:f>
      </x:c>
      <x:c r="AZ134" s="81" t="str">
        <x:f>IF($E134="","",IF($AU134&lt;&gt;"selected_for_runtime","no",IF(OR($AY134="context_with_coverage_gap",$AX134="exploratoria"),"ready_with_flags","ready")))</x:f>
      </x:c>
      <x:c r="BA134" s="81" t="str"/>
      <x:c r="BB134" s="81" t="str"/>
      <x:c r="BC134" s="81" t="str"/>
      <x:c r="BD134" s="81" t="str"/>
      <x:c r="BE134" s="81" t="str"/>
    </x:row>
    <x:row r="135">
      <x:c r="A135" s="81" t="str"/>
      <x:c r="B135" s="81" t="str"/>
      <x:c r="C135" s="81" t="str"/>
      <x:c r="D135" s="81" t="str"/>
      <x:c r="E135" s="81" t="str"/>
      <x:c r="F135" s="81" t="str"/>
      <x:c r="G135" s="81" t="str"/>
      <x:c r="H135" s="81" t="str"/>
      <x:c r="I135" s="81" t="str"/>
      <x:c r="J135" s="81" t="str"/>
      <x:c r="K135" s="81" t="str"/>
      <x:c r="L135" s="81" t="str"/>
      <x:c r="M135" s="81" t="str"/>
      <x:c r="N135" s="81" t="str"/>
      <x:c r="O135" s="81" t="str"/>
      <x:c r="P135" s="81" t="str"/>
      <x:c r="Q135" s="81" t="str"/>
      <x:c r="R135" s="81" t="str"/>
      <x:c r="S135" s="82" t="str"/>
      <x:c r="T135" s="82" t="str"/>
      <x:c r="U135" s="82" t="str"/>
      <x:c r="V135" s="82" t="str"/>
      <x:c r="W135" s="82" t="str"/>
      <x:c r="X135" s="82" t="str"/>
      <x:c r="Y135" s="82" t="str"/>
      <x:c r="Z135" s="82" t="str"/>
      <x:c r="AA135" s="82" t="str"/>
      <x:c r="AB135" s="82" t="str"/>
      <x:c r="AC135" s="82" t="str"/>
      <x:c r="AD135" s="82" t="str"/>
      <x:c r="AE135" s="82" t="str"/>
      <x:c r="AF135" s="82" t="str"/>
      <x:c r="AG135" s="82" t="str"/>
      <x:c r="AH135" s="82" t="str"/>
      <x:c r="AI135" s="81" t="str"/>
      <x:c r="AJ135" s="81" t="str"/>
      <x:c r="AK135" s="81" t="str">
        <x:f>IF($E135="","",IF(AND($M135="yes",OR($N135="yes",$N135="review"),OR($O135="yes",$O135="review"),$P135="fit",OR($Q135="unique",$Q135="alias_review"),$R135&lt;&gt;"context_only"),"pass","review/block"))</x:f>
      </x:c>
      <x:c r="AL135" s="81" t="str">
        <x:f>IF($E135="","",IF($AK135="pass","eligible",IF(OR($M135="no",$O135="no",$P135="too_macro",$P135="too_micro",$P135="context_only",$Q135="duplicate_confirmed",$R135="context_only"),"not_eligible","review")))</x:f>
      </x:c>
      <x:c r="AM135" s="81" t="str">
        <x:f>IF($E135="","",IF($C135=0,"reentry_required",IF($C135&lt;=8,"non_competitive_inclusion","competitive_selection")))</x:f>
      </x:c>
      <x:c r="AN135" s="82" t="str">
        <x:f>IF($E135="","",AVERAGE($U135:$X135))</x:f>
      </x:c>
      <x:c r="AO135" s="82" t="str">
        <x:f>IF($E135="","",AVERAGE($S135:$T135))</x:f>
      </x:c>
      <x:c r="AP135" s="82" t="str">
        <x:f>IF($E135="","",($AF135*0.08)+($AG135*0.08)+($AH135*0.10))</x:f>
      </x:c>
      <x:c r="AQ135" s="82" t="str">
        <x:f>IF($E135="","",MAX(0,($AN135*0.30)+($Y135*0.20)+($Z135*0.15)+($AA135*0.15)+($AB135*0.10)+($AC135*0.10)+($AE135*0.05)-$AP135))</x:f>
      </x:c>
      <x:c r="AR135" s="81" t="str">
        <x:f>IF($E135="","",IF($AM135="competitive_selection",RANK.EQ($AQ135,$AQ$2:$AQ$201,0),""))</x:f>
      </x:c>
      <x:c r="AS135" s="81" t="str">
        <x:f>IF($E135="","",IF(AND($AM135="non_competitive_inclusion",$AL135="eligible"),"selected",""))</x:f>
      </x:c>
      <x:c r="AT135" s="81" t="str">
        <x:f>IF($E135="","",IF($AM135&lt;&gt;"competitive_selection","",IF(AND($AL135="eligible",$AR135&lt;=8),"selected","context/backlog")))</x:f>
      </x:c>
      <x:c r="AU135" s="81" t="str">
        <x:f>IF($E135="","",IF($AM135="reentry_required","not_selected_reentry",IF($AS135="selected","selected_for_runtime",IF($AT135="selected","selected_for_runtime",IF($AL135="review","manual_review","context_or_not_selected")))))</x:f>
      </x:c>
      <x:c r="AV135" s="81" t="str">
        <x:f>IF($E135="","",IF($AU135="selected_for_runtime",IF($AM135="competitive_selection",$AR135,COUNTIF($AU$2:AU135,"selected_for_runtime")),""))</x:f>
      </x:c>
      <x:c r="AW135" s="81" t="str">
        <x:f>IF($E135="","",IF($AU135="selected_for_runtime",IF($AD135&gt;=2,"base_40_plus_uncertainty_probes",IF($AE135&gt;=2,"base_40_plus_exploratory_probes","base_40_standard")),"no_runtime"))</x:f>
      </x:c>
      <x:c r="AX135" s="81" t="str">
        <x:f>IF($E135="","",IF($AU135&lt;&gt;"selected_for_runtime","none",IF($AE135&gt;=2,"exploratoria",IF($AQ135&gt;=2.2,"alta",IF($AQ135&gt;=1.2,"media","baja")))))</x:f>
      </x:c>
      <x:c r="AY135" s="81" t="str">
        <x:f>IF($E135="","",IF($AJ135=TRUE,"context_with_coverage_gap",IF($AI135="review","context_requires_confirmation","context_ready")))</x:f>
      </x:c>
      <x:c r="AZ135" s="81" t="str">
        <x:f>IF($E135="","",IF($AU135&lt;&gt;"selected_for_runtime","no",IF(OR($AY135="context_with_coverage_gap",$AX135="exploratoria"),"ready_with_flags","ready")))</x:f>
      </x:c>
      <x:c r="BA135" s="81" t="str"/>
      <x:c r="BB135" s="81" t="str"/>
      <x:c r="BC135" s="81" t="str"/>
      <x:c r="BD135" s="81" t="str"/>
      <x:c r="BE135" s="81" t="str"/>
    </x:row>
    <x:row r="136">
      <x:c r="A136" s="81" t="str"/>
      <x:c r="B136" s="81" t="str"/>
      <x:c r="C136" s="81" t="str"/>
      <x:c r="D136" s="81" t="str"/>
      <x:c r="E136" s="81" t="str"/>
      <x:c r="F136" s="81" t="str"/>
      <x:c r="G136" s="81" t="str"/>
      <x:c r="H136" s="81" t="str"/>
      <x:c r="I136" s="81" t="str"/>
      <x:c r="J136" s="81" t="str"/>
      <x:c r="K136" s="81" t="str"/>
      <x:c r="L136" s="81" t="str"/>
      <x:c r="M136" s="81" t="str"/>
      <x:c r="N136" s="81" t="str"/>
      <x:c r="O136" s="81" t="str"/>
      <x:c r="P136" s="81" t="str"/>
      <x:c r="Q136" s="81" t="str"/>
      <x:c r="R136" s="81" t="str"/>
      <x:c r="S136" s="82" t="str"/>
      <x:c r="T136" s="82" t="str"/>
      <x:c r="U136" s="82" t="str"/>
      <x:c r="V136" s="82" t="str"/>
      <x:c r="W136" s="82" t="str"/>
      <x:c r="X136" s="82" t="str"/>
      <x:c r="Y136" s="82" t="str"/>
      <x:c r="Z136" s="82" t="str"/>
      <x:c r="AA136" s="82" t="str"/>
      <x:c r="AB136" s="82" t="str"/>
      <x:c r="AC136" s="82" t="str"/>
      <x:c r="AD136" s="82" t="str"/>
      <x:c r="AE136" s="82" t="str"/>
      <x:c r="AF136" s="82" t="str"/>
      <x:c r="AG136" s="82" t="str"/>
      <x:c r="AH136" s="82" t="str"/>
      <x:c r="AI136" s="81" t="str"/>
      <x:c r="AJ136" s="81" t="str"/>
      <x:c r="AK136" s="81" t="str">
        <x:f>IF($E136="","",IF(AND($M136="yes",OR($N136="yes",$N136="review"),OR($O136="yes",$O136="review"),$P136="fit",OR($Q136="unique",$Q136="alias_review"),$R136&lt;&gt;"context_only"),"pass","review/block"))</x:f>
      </x:c>
      <x:c r="AL136" s="81" t="str">
        <x:f>IF($E136="","",IF($AK136="pass","eligible",IF(OR($M136="no",$O136="no",$P136="too_macro",$P136="too_micro",$P136="context_only",$Q136="duplicate_confirmed",$R136="context_only"),"not_eligible","review")))</x:f>
      </x:c>
      <x:c r="AM136" s="81" t="str">
        <x:f>IF($E136="","",IF($C136=0,"reentry_required",IF($C136&lt;=8,"non_competitive_inclusion","competitive_selection")))</x:f>
      </x:c>
      <x:c r="AN136" s="82" t="str">
        <x:f>IF($E136="","",AVERAGE($U136:$X136))</x:f>
      </x:c>
      <x:c r="AO136" s="82" t="str">
        <x:f>IF($E136="","",AVERAGE($S136:$T136))</x:f>
      </x:c>
      <x:c r="AP136" s="82" t="str">
        <x:f>IF($E136="","",($AF136*0.08)+($AG136*0.08)+($AH136*0.10))</x:f>
      </x:c>
      <x:c r="AQ136" s="82" t="str">
        <x:f>IF($E136="","",MAX(0,($AN136*0.30)+($Y136*0.20)+($Z136*0.15)+($AA136*0.15)+($AB136*0.10)+($AC136*0.10)+($AE136*0.05)-$AP136))</x:f>
      </x:c>
      <x:c r="AR136" s="81" t="str">
        <x:f>IF($E136="","",IF($AM136="competitive_selection",RANK.EQ($AQ136,$AQ$2:$AQ$201,0),""))</x:f>
      </x:c>
      <x:c r="AS136" s="81" t="str">
        <x:f>IF($E136="","",IF(AND($AM136="non_competitive_inclusion",$AL136="eligible"),"selected",""))</x:f>
      </x:c>
      <x:c r="AT136" s="81" t="str">
        <x:f>IF($E136="","",IF($AM136&lt;&gt;"competitive_selection","",IF(AND($AL136="eligible",$AR136&lt;=8),"selected","context/backlog")))</x:f>
      </x:c>
      <x:c r="AU136" s="81" t="str">
        <x:f>IF($E136="","",IF($AM136="reentry_required","not_selected_reentry",IF($AS136="selected","selected_for_runtime",IF($AT136="selected","selected_for_runtime",IF($AL136="review","manual_review","context_or_not_selected")))))</x:f>
      </x:c>
      <x:c r="AV136" s="81" t="str">
        <x:f>IF($E136="","",IF($AU136="selected_for_runtime",IF($AM136="competitive_selection",$AR136,COUNTIF($AU$2:AU136,"selected_for_runtime")),""))</x:f>
      </x:c>
      <x:c r="AW136" s="81" t="str">
        <x:f>IF($E136="","",IF($AU136="selected_for_runtime",IF($AD136&gt;=2,"base_40_plus_uncertainty_probes",IF($AE136&gt;=2,"base_40_plus_exploratory_probes","base_40_standard")),"no_runtime"))</x:f>
      </x:c>
      <x:c r="AX136" s="81" t="str">
        <x:f>IF($E136="","",IF($AU136&lt;&gt;"selected_for_runtime","none",IF($AE136&gt;=2,"exploratoria",IF($AQ136&gt;=2.2,"alta",IF($AQ136&gt;=1.2,"media","baja")))))</x:f>
      </x:c>
      <x:c r="AY136" s="81" t="str">
        <x:f>IF($E136="","",IF($AJ136=TRUE,"context_with_coverage_gap",IF($AI136="review","context_requires_confirmation","context_ready")))</x:f>
      </x:c>
      <x:c r="AZ136" s="81" t="str">
        <x:f>IF($E136="","",IF($AU136&lt;&gt;"selected_for_runtime","no",IF(OR($AY136="context_with_coverage_gap",$AX136="exploratoria"),"ready_with_flags","ready")))</x:f>
      </x:c>
      <x:c r="BA136" s="81" t="str"/>
      <x:c r="BB136" s="81" t="str"/>
      <x:c r="BC136" s="81" t="str"/>
      <x:c r="BD136" s="81" t="str"/>
      <x:c r="BE136" s="81" t="str"/>
    </x:row>
    <x:row r="137">
      <x:c r="A137" s="81" t="str"/>
      <x:c r="B137" s="81" t="str"/>
      <x:c r="C137" s="81" t="str"/>
      <x:c r="D137" s="81" t="str"/>
      <x:c r="E137" s="81" t="str"/>
      <x:c r="F137" s="81" t="str"/>
      <x:c r="G137" s="81" t="str"/>
      <x:c r="H137" s="81" t="str"/>
      <x:c r="I137" s="81" t="str"/>
      <x:c r="J137" s="81" t="str"/>
      <x:c r="K137" s="81" t="str"/>
      <x:c r="L137" s="81" t="str"/>
      <x:c r="M137" s="81" t="str"/>
      <x:c r="N137" s="81" t="str"/>
      <x:c r="O137" s="81" t="str"/>
      <x:c r="P137" s="81" t="str"/>
      <x:c r="Q137" s="81" t="str"/>
      <x:c r="R137" s="81" t="str"/>
      <x:c r="S137" s="82" t="str"/>
      <x:c r="T137" s="82" t="str"/>
      <x:c r="U137" s="82" t="str"/>
      <x:c r="V137" s="82" t="str"/>
      <x:c r="W137" s="82" t="str"/>
      <x:c r="X137" s="82" t="str"/>
      <x:c r="Y137" s="82" t="str"/>
      <x:c r="Z137" s="82" t="str"/>
      <x:c r="AA137" s="82" t="str"/>
      <x:c r="AB137" s="82" t="str"/>
      <x:c r="AC137" s="82" t="str"/>
      <x:c r="AD137" s="82" t="str"/>
      <x:c r="AE137" s="82" t="str"/>
      <x:c r="AF137" s="82" t="str"/>
      <x:c r="AG137" s="82" t="str"/>
      <x:c r="AH137" s="82" t="str"/>
      <x:c r="AI137" s="81" t="str"/>
      <x:c r="AJ137" s="81" t="str"/>
      <x:c r="AK137" s="81" t="str">
        <x:f>IF($E137="","",IF(AND($M137="yes",OR($N137="yes",$N137="review"),OR($O137="yes",$O137="review"),$P137="fit",OR($Q137="unique",$Q137="alias_review"),$R137&lt;&gt;"context_only"),"pass","review/block"))</x:f>
      </x:c>
      <x:c r="AL137" s="81" t="str">
        <x:f>IF($E137="","",IF($AK137="pass","eligible",IF(OR($M137="no",$O137="no",$P137="too_macro",$P137="too_micro",$P137="context_only",$Q137="duplicate_confirmed",$R137="context_only"),"not_eligible","review")))</x:f>
      </x:c>
      <x:c r="AM137" s="81" t="str">
        <x:f>IF($E137="","",IF($C137=0,"reentry_required",IF($C137&lt;=8,"non_competitive_inclusion","competitive_selection")))</x:f>
      </x:c>
      <x:c r="AN137" s="82" t="str">
        <x:f>IF($E137="","",AVERAGE($U137:$X137))</x:f>
      </x:c>
      <x:c r="AO137" s="82" t="str">
        <x:f>IF($E137="","",AVERAGE($S137:$T137))</x:f>
      </x:c>
      <x:c r="AP137" s="82" t="str">
        <x:f>IF($E137="","",($AF137*0.08)+($AG137*0.08)+($AH137*0.10))</x:f>
      </x:c>
      <x:c r="AQ137" s="82" t="str">
        <x:f>IF($E137="","",MAX(0,($AN137*0.30)+($Y137*0.20)+($Z137*0.15)+($AA137*0.15)+($AB137*0.10)+($AC137*0.10)+($AE137*0.05)-$AP137))</x:f>
      </x:c>
      <x:c r="AR137" s="81" t="str">
        <x:f>IF($E137="","",IF($AM137="competitive_selection",RANK.EQ($AQ137,$AQ$2:$AQ$201,0),""))</x:f>
      </x:c>
      <x:c r="AS137" s="81" t="str">
        <x:f>IF($E137="","",IF(AND($AM137="non_competitive_inclusion",$AL137="eligible"),"selected",""))</x:f>
      </x:c>
      <x:c r="AT137" s="81" t="str">
        <x:f>IF($E137="","",IF($AM137&lt;&gt;"competitive_selection","",IF(AND($AL137="eligible",$AR137&lt;=8),"selected","context/backlog")))</x:f>
      </x:c>
      <x:c r="AU137" s="81" t="str">
        <x:f>IF($E137="","",IF($AM137="reentry_required","not_selected_reentry",IF($AS137="selected","selected_for_runtime",IF($AT137="selected","selected_for_runtime",IF($AL137="review","manual_review","context_or_not_selected")))))</x:f>
      </x:c>
      <x:c r="AV137" s="81" t="str">
        <x:f>IF($E137="","",IF($AU137="selected_for_runtime",IF($AM137="competitive_selection",$AR137,COUNTIF($AU$2:AU137,"selected_for_runtime")),""))</x:f>
      </x:c>
      <x:c r="AW137" s="81" t="str">
        <x:f>IF($E137="","",IF($AU137="selected_for_runtime",IF($AD137&gt;=2,"base_40_plus_uncertainty_probes",IF($AE137&gt;=2,"base_40_plus_exploratory_probes","base_40_standard")),"no_runtime"))</x:f>
      </x:c>
      <x:c r="AX137" s="81" t="str">
        <x:f>IF($E137="","",IF($AU137&lt;&gt;"selected_for_runtime","none",IF($AE137&gt;=2,"exploratoria",IF($AQ137&gt;=2.2,"alta",IF($AQ137&gt;=1.2,"media","baja")))))</x:f>
      </x:c>
      <x:c r="AY137" s="81" t="str">
        <x:f>IF($E137="","",IF($AJ137=TRUE,"context_with_coverage_gap",IF($AI137="review","context_requires_confirmation","context_ready")))</x:f>
      </x:c>
      <x:c r="AZ137" s="81" t="str">
        <x:f>IF($E137="","",IF($AU137&lt;&gt;"selected_for_runtime","no",IF(OR($AY137="context_with_coverage_gap",$AX137="exploratoria"),"ready_with_flags","ready")))</x:f>
      </x:c>
      <x:c r="BA137" s="81" t="str"/>
      <x:c r="BB137" s="81" t="str"/>
      <x:c r="BC137" s="81" t="str"/>
      <x:c r="BD137" s="81" t="str"/>
      <x:c r="BE137" s="81" t="str"/>
    </x:row>
    <x:row r="138">
      <x:c r="A138" s="81" t="str"/>
      <x:c r="B138" s="81" t="str"/>
      <x:c r="C138" s="81" t="str"/>
      <x:c r="D138" s="81" t="str"/>
      <x:c r="E138" s="81" t="str"/>
      <x:c r="F138" s="81" t="str"/>
      <x:c r="G138" s="81" t="str"/>
      <x:c r="H138" s="81" t="str"/>
      <x:c r="I138" s="81" t="str"/>
      <x:c r="J138" s="81" t="str"/>
      <x:c r="K138" s="81" t="str"/>
      <x:c r="L138" s="81" t="str"/>
      <x:c r="M138" s="81" t="str"/>
      <x:c r="N138" s="81" t="str"/>
      <x:c r="O138" s="81" t="str"/>
      <x:c r="P138" s="81" t="str"/>
      <x:c r="Q138" s="81" t="str"/>
      <x:c r="R138" s="81" t="str"/>
      <x:c r="S138" s="82" t="str"/>
      <x:c r="T138" s="82" t="str"/>
      <x:c r="U138" s="82" t="str"/>
      <x:c r="V138" s="82" t="str"/>
      <x:c r="W138" s="82" t="str"/>
      <x:c r="X138" s="82" t="str"/>
      <x:c r="Y138" s="82" t="str"/>
      <x:c r="Z138" s="82" t="str"/>
      <x:c r="AA138" s="82" t="str"/>
      <x:c r="AB138" s="82" t="str"/>
      <x:c r="AC138" s="82" t="str"/>
      <x:c r="AD138" s="82" t="str"/>
      <x:c r="AE138" s="82" t="str"/>
      <x:c r="AF138" s="82" t="str"/>
      <x:c r="AG138" s="82" t="str"/>
      <x:c r="AH138" s="82" t="str"/>
      <x:c r="AI138" s="81" t="str"/>
      <x:c r="AJ138" s="81" t="str"/>
      <x:c r="AK138" s="81" t="str">
        <x:f>IF($E138="","",IF(AND($M138="yes",OR($N138="yes",$N138="review"),OR($O138="yes",$O138="review"),$P138="fit",OR($Q138="unique",$Q138="alias_review"),$R138&lt;&gt;"context_only"),"pass","review/block"))</x:f>
      </x:c>
      <x:c r="AL138" s="81" t="str">
        <x:f>IF($E138="","",IF($AK138="pass","eligible",IF(OR($M138="no",$O138="no",$P138="too_macro",$P138="too_micro",$P138="context_only",$Q138="duplicate_confirmed",$R138="context_only"),"not_eligible","review")))</x:f>
      </x:c>
      <x:c r="AM138" s="81" t="str">
        <x:f>IF($E138="","",IF($C138=0,"reentry_required",IF($C138&lt;=8,"non_competitive_inclusion","competitive_selection")))</x:f>
      </x:c>
      <x:c r="AN138" s="82" t="str">
        <x:f>IF($E138="","",AVERAGE($U138:$X138))</x:f>
      </x:c>
      <x:c r="AO138" s="82" t="str">
        <x:f>IF($E138="","",AVERAGE($S138:$T138))</x:f>
      </x:c>
      <x:c r="AP138" s="82" t="str">
        <x:f>IF($E138="","",($AF138*0.08)+($AG138*0.08)+($AH138*0.10))</x:f>
      </x:c>
      <x:c r="AQ138" s="82" t="str">
        <x:f>IF($E138="","",MAX(0,($AN138*0.30)+($Y138*0.20)+($Z138*0.15)+($AA138*0.15)+($AB138*0.10)+($AC138*0.10)+($AE138*0.05)-$AP138))</x:f>
      </x:c>
      <x:c r="AR138" s="81" t="str">
        <x:f>IF($E138="","",IF($AM138="competitive_selection",RANK.EQ($AQ138,$AQ$2:$AQ$201,0),""))</x:f>
      </x:c>
      <x:c r="AS138" s="81" t="str">
        <x:f>IF($E138="","",IF(AND($AM138="non_competitive_inclusion",$AL138="eligible"),"selected",""))</x:f>
      </x:c>
      <x:c r="AT138" s="81" t="str">
        <x:f>IF($E138="","",IF($AM138&lt;&gt;"competitive_selection","",IF(AND($AL138="eligible",$AR138&lt;=8),"selected","context/backlog")))</x:f>
      </x:c>
      <x:c r="AU138" s="81" t="str">
        <x:f>IF($E138="","",IF($AM138="reentry_required","not_selected_reentry",IF($AS138="selected","selected_for_runtime",IF($AT138="selected","selected_for_runtime",IF($AL138="review","manual_review","context_or_not_selected")))))</x:f>
      </x:c>
      <x:c r="AV138" s="81" t="str">
        <x:f>IF($E138="","",IF($AU138="selected_for_runtime",IF($AM138="competitive_selection",$AR138,COUNTIF($AU$2:AU138,"selected_for_runtime")),""))</x:f>
      </x:c>
      <x:c r="AW138" s="81" t="str">
        <x:f>IF($E138="","",IF($AU138="selected_for_runtime",IF($AD138&gt;=2,"base_40_plus_uncertainty_probes",IF($AE138&gt;=2,"base_40_plus_exploratory_probes","base_40_standard")),"no_runtime"))</x:f>
      </x:c>
      <x:c r="AX138" s="81" t="str">
        <x:f>IF($E138="","",IF($AU138&lt;&gt;"selected_for_runtime","none",IF($AE138&gt;=2,"exploratoria",IF($AQ138&gt;=2.2,"alta",IF($AQ138&gt;=1.2,"media","baja")))))</x:f>
      </x:c>
      <x:c r="AY138" s="81" t="str">
        <x:f>IF($E138="","",IF($AJ138=TRUE,"context_with_coverage_gap",IF($AI138="review","context_requires_confirmation","context_ready")))</x:f>
      </x:c>
      <x:c r="AZ138" s="81" t="str">
        <x:f>IF($E138="","",IF($AU138&lt;&gt;"selected_for_runtime","no",IF(OR($AY138="context_with_coverage_gap",$AX138="exploratoria"),"ready_with_flags","ready")))</x:f>
      </x:c>
      <x:c r="BA138" s="81" t="str"/>
      <x:c r="BB138" s="81" t="str"/>
      <x:c r="BC138" s="81" t="str"/>
      <x:c r="BD138" s="81" t="str"/>
      <x:c r="BE138" s="81" t="str"/>
    </x:row>
    <x:row r="139">
      <x:c r="A139" s="81" t="str"/>
      <x:c r="B139" s="81" t="str"/>
      <x:c r="C139" s="81" t="str"/>
      <x:c r="D139" s="81" t="str"/>
      <x:c r="E139" s="81" t="str"/>
      <x:c r="F139" s="81" t="str"/>
      <x:c r="G139" s="81" t="str"/>
      <x:c r="H139" s="81" t="str"/>
      <x:c r="I139" s="81" t="str"/>
      <x:c r="J139" s="81" t="str"/>
      <x:c r="K139" s="81" t="str"/>
      <x:c r="L139" s="81" t="str"/>
      <x:c r="M139" s="81" t="str"/>
      <x:c r="N139" s="81" t="str"/>
      <x:c r="O139" s="81" t="str"/>
      <x:c r="P139" s="81" t="str"/>
      <x:c r="Q139" s="81" t="str"/>
      <x:c r="R139" s="81" t="str"/>
      <x:c r="S139" s="82" t="str"/>
      <x:c r="T139" s="82" t="str"/>
      <x:c r="U139" s="82" t="str"/>
      <x:c r="V139" s="82" t="str"/>
      <x:c r="W139" s="82" t="str"/>
      <x:c r="X139" s="82" t="str"/>
      <x:c r="Y139" s="82" t="str"/>
      <x:c r="Z139" s="82" t="str"/>
      <x:c r="AA139" s="82" t="str"/>
      <x:c r="AB139" s="82" t="str"/>
      <x:c r="AC139" s="82" t="str"/>
      <x:c r="AD139" s="82" t="str"/>
      <x:c r="AE139" s="82" t="str"/>
      <x:c r="AF139" s="82" t="str"/>
      <x:c r="AG139" s="82" t="str"/>
      <x:c r="AH139" s="82" t="str"/>
      <x:c r="AI139" s="81" t="str"/>
      <x:c r="AJ139" s="81" t="str"/>
      <x:c r="AK139" s="81" t="str">
        <x:f>IF($E139="","",IF(AND($M139="yes",OR($N139="yes",$N139="review"),OR($O139="yes",$O139="review"),$P139="fit",OR($Q139="unique",$Q139="alias_review"),$R139&lt;&gt;"context_only"),"pass","review/block"))</x:f>
      </x:c>
      <x:c r="AL139" s="81" t="str">
        <x:f>IF($E139="","",IF($AK139="pass","eligible",IF(OR($M139="no",$O139="no",$P139="too_macro",$P139="too_micro",$P139="context_only",$Q139="duplicate_confirmed",$R139="context_only"),"not_eligible","review")))</x:f>
      </x:c>
      <x:c r="AM139" s="81" t="str">
        <x:f>IF($E139="","",IF($C139=0,"reentry_required",IF($C139&lt;=8,"non_competitive_inclusion","competitive_selection")))</x:f>
      </x:c>
      <x:c r="AN139" s="82" t="str">
        <x:f>IF($E139="","",AVERAGE($U139:$X139))</x:f>
      </x:c>
      <x:c r="AO139" s="82" t="str">
        <x:f>IF($E139="","",AVERAGE($S139:$T139))</x:f>
      </x:c>
      <x:c r="AP139" s="82" t="str">
        <x:f>IF($E139="","",($AF139*0.08)+($AG139*0.08)+($AH139*0.10))</x:f>
      </x:c>
      <x:c r="AQ139" s="82" t="str">
        <x:f>IF($E139="","",MAX(0,($AN139*0.30)+($Y139*0.20)+($Z139*0.15)+($AA139*0.15)+($AB139*0.10)+($AC139*0.10)+($AE139*0.05)-$AP139))</x:f>
      </x:c>
      <x:c r="AR139" s="81" t="str">
        <x:f>IF($E139="","",IF($AM139="competitive_selection",RANK.EQ($AQ139,$AQ$2:$AQ$201,0),""))</x:f>
      </x:c>
      <x:c r="AS139" s="81" t="str">
        <x:f>IF($E139="","",IF(AND($AM139="non_competitive_inclusion",$AL139="eligible"),"selected",""))</x:f>
      </x:c>
      <x:c r="AT139" s="81" t="str">
        <x:f>IF($E139="","",IF($AM139&lt;&gt;"competitive_selection","",IF(AND($AL139="eligible",$AR139&lt;=8),"selected","context/backlog")))</x:f>
      </x:c>
      <x:c r="AU139" s="81" t="str">
        <x:f>IF($E139="","",IF($AM139="reentry_required","not_selected_reentry",IF($AS139="selected","selected_for_runtime",IF($AT139="selected","selected_for_runtime",IF($AL139="review","manual_review","context_or_not_selected")))))</x:f>
      </x:c>
      <x:c r="AV139" s="81" t="str">
        <x:f>IF($E139="","",IF($AU139="selected_for_runtime",IF($AM139="competitive_selection",$AR139,COUNTIF($AU$2:AU139,"selected_for_runtime")),""))</x:f>
      </x:c>
      <x:c r="AW139" s="81" t="str">
        <x:f>IF($E139="","",IF($AU139="selected_for_runtime",IF($AD139&gt;=2,"base_40_plus_uncertainty_probes",IF($AE139&gt;=2,"base_40_plus_exploratory_probes","base_40_standard")),"no_runtime"))</x:f>
      </x:c>
      <x:c r="AX139" s="81" t="str">
        <x:f>IF($E139="","",IF($AU139&lt;&gt;"selected_for_runtime","none",IF($AE139&gt;=2,"exploratoria",IF($AQ139&gt;=2.2,"alta",IF($AQ139&gt;=1.2,"media","baja")))))</x:f>
      </x:c>
      <x:c r="AY139" s="81" t="str">
        <x:f>IF($E139="","",IF($AJ139=TRUE,"context_with_coverage_gap",IF($AI139="review","context_requires_confirmation","context_ready")))</x:f>
      </x:c>
      <x:c r="AZ139" s="81" t="str">
        <x:f>IF($E139="","",IF($AU139&lt;&gt;"selected_for_runtime","no",IF(OR($AY139="context_with_coverage_gap",$AX139="exploratoria"),"ready_with_flags","ready")))</x:f>
      </x:c>
      <x:c r="BA139" s="81" t="str"/>
      <x:c r="BB139" s="81" t="str"/>
      <x:c r="BC139" s="81" t="str"/>
      <x:c r="BD139" s="81" t="str"/>
      <x:c r="BE139" s="81" t="str"/>
    </x:row>
    <x:row r="140">
      <x:c r="A140" s="81" t="str"/>
      <x:c r="B140" s="81" t="str"/>
      <x:c r="C140" s="81" t="str"/>
      <x:c r="D140" s="81" t="str"/>
      <x:c r="E140" s="81" t="str"/>
      <x:c r="F140" s="81" t="str"/>
      <x:c r="G140" s="81" t="str"/>
      <x:c r="H140" s="81" t="str"/>
      <x:c r="I140" s="81" t="str"/>
      <x:c r="J140" s="81" t="str"/>
      <x:c r="K140" s="81" t="str"/>
      <x:c r="L140" s="81" t="str"/>
      <x:c r="M140" s="81" t="str"/>
      <x:c r="N140" s="81" t="str"/>
      <x:c r="O140" s="81" t="str"/>
      <x:c r="P140" s="81" t="str"/>
      <x:c r="Q140" s="81" t="str"/>
      <x:c r="R140" s="81" t="str"/>
      <x:c r="S140" s="82" t="str"/>
      <x:c r="T140" s="82" t="str"/>
      <x:c r="U140" s="82" t="str"/>
      <x:c r="V140" s="82" t="str"/>
      <x:c r="W140" s="82" t="str"/>
      <x:c r="X140" s="82" t="str"/>
      <x:c r="Y140" s="82" t="str"/>
      <x:c r="Z140" s="82" t="str"/>
      <x:c r="AA140" s="82" t="str"/>
      <x:c r="AB140" s="82" t="str"/>
      <x:c r="AC140" s="82" t="str"/>
      <x:c r="AD140" s="82" t="str"/>
      <x:c r="AE140" s="82" t="str"/>
      <x:c r="AF140" s="82" t="str"/>
      <x:c r="AG140" s="82" t="str"/>
      <x:c r="AH140" s="82" t="str"/>
      <x:c r="AI140" s="81" t="str"/>
      <x:c r="AJ140" s="81" t="str"/>
      <x:c r="AK140" s="81" t="str">
        <x:f>IF($E140="","",IF(AND($M140="yes",OR($N140="yes",$N140="review"),OR($O140="yes",$O140="review"),$P140="fit",OR($Q140="unique",$Q140="alias_review"),$R140&lt;&gt;"context_only"),"pass","review/block"))</x:f>
      </x:c>
      <x:c r="AL140" s="81" t="str">
        <x:f>IF($E140="","",IF($AK140="pass","eligible",IF(OR($M140="no",$O140="no",$P140="too_macro",$P140="too_micro",$P140="context_only",$Q140="duplicate_confirmed",$R140="context_only"),"not_eligible","review")))</x:f>
      </x:c>
      <x:c r="AM140" s="81" t="str">
        <x:f>IF($E140="","",IF($C140=0,"reentry_required",IF($C140&lt;=8,"non_competitive_inclusion","competitive_selection")))</x:f>
      </x:c>
      <x:c r="AN140" s="82" t="str">
        <x:f>IF($E140="","",AVERAGE($U140:$X140))</x:f>
      </x:c>
      <x:c r="AO140" s="82" t="str">
        <x:f>IF($E140="","",AVERAGE($S140:$T140))</x:f>
      </x:c>
      <x:c r="AP140" s="82" t="str">
        <x:f>IF($E140="","",($AF140*0.08)+($AG140*0.08)+($AH140*0.10))</x:f>
      </x:c>
      <x:c r="AQ140" s="82" t="str">
        <x:f>IF($E140="","",MAX(0,($AN140*0.30)+($Y140*0.20)+($Z140*0.15)+($AA140*0.15)+($AB140*0.10)+($AC140*0.10)+($AE140*0.05)-$AP140))</x:f>
      </x:c>
      <x:c r="AR140" s="81" t="str">
        <x:f>IF($E140="","",IF($AM140="competitive_selection",RANK.EQ($AQ140,$AQ$2:$AQ$201,0),""))</x:f>
      </x:c>
      <x:c r="AS140" s="81" t="str">
        <x:f>IF($E140="","",IF(AND($AM140="non_competitive_inclusion",$AL140="eligible"),"selected",""))</x:f>
      </x:c>
      <x:c r="AT140" s="81" t="str">
        <x:f>IF($E140="","",IF($AM140&lt;&gt;"competitive_selection","",IF(AND($AL140="eligible",$AR140&lt;=8),"selected","context/backlog")))</x:f>
      </x:c>
      <x:c r="AU140" s="81" t="str">
        <x:f>IF($E140="","",IF($AM140="reentry_required","not_selected_reentry",IF($AS140="selected","selected_for_runtime",IF($AT140="selected","selected_for_runtime",IF($AL140="review","manual_review","context_or_not_selected")))))</x:f>
      </x:c>
      <x:c r="AV140" s="81" t="str">
        <x:f>IF($E140="","",IF($AU140="selected_for_runtime",IF($AM140="competitive_selection",$AR140,COUNTIF($AU$2:AU140,"selected_for_runtime")),""))</x:f>
      </x:c>
      <x:c r="AW140" s="81" t="str">
        <x:f>IF($E140="","",IF($AU140="selected_for_runtime",IF($AD140&gt;=2,"base_40_plus_uncertainty_probes",IF($AE140&gt;=2,"base_40_plus_exploratory_probes","base_40_standard")),"no_runtime"))</x:f>
      </x:c>
      <x:c r="AX140" s="81" t="str">
        <x:f>IF($E140="","",IF($AU140&lt;&gt;"selected_for_runtime","none",IF($AE140&gt;=2,"exploratoria",IF($AQ140&gt;=2.2,"alta",IF($AQ140&gt;=1.2,"media","baja")))))</x:f>
      </x:c>
      <x:c r="AY140" s="81" t="str">
        <x:f>IF($E140="","",IF($AJ140=TRUE,"context_with_coverage_gap",IF($AI140="review","context_requires_confirmation","context_ready")))</x:f>
      </x:c>
      <x:c r="AZ140" s="81" t="str">
        <x:f>IF($E140="","",IF($AU140&lt;&gt;"selected_for_runtime","no",IF(OR($AY140="context_with_coverage_gap",$AX140="exploratoria"),"ready_with_flags","ready")))</x:f>
      </x:c>
      <x:c r="BA140" s="81" t="str"/>
      <x:c r="BB140" s="81" t="str"/>
      <x:c r="BC140" s="81" t="str"/>
      <x:c r="BD140" s="81" t="str"/>
      <x:c r="BE140" s="81" t="str"/>
    </x:row>
    <x:row r="141">
      <x:c r="A141" s="81" t="str"/>
      <x:c r="B141" s="81" t="str"/>
      <x:c r="C141" s="81" t="str"/>
      <x:c r="D141" s="81" t="str"/>
      <x:c r="E141" s="81" t="str"/>
      <x:c r="F141" s="81" t="str"/>
      <x:c r="G141" s="81" t="str"/>
      <x:c r="H141" s="81" t="str"/>
      <x:c r="I141" s="81" t="str"/>
      <x:c r="J141" s="81" t="str"/>
      <x:c r="K141" s="81" t="str"/>
      <x:c r="L141" s="81" t="str"/>
      <x:c r="M141" s="81" t="str"/>
      <x:c r="N141" s="81" t="str"/>
      <x:c r="O141" s="81" t="str"/>
      <x:c r="P141" s="81" t="str"/>
      <x:c r="Q141" s="81" t="str"/>
      <x:c r="R141" s="81" t="str"/>
      <x:c r="S141" s="82" t="str"/>
      <x:c r="T141" s="82" t="str"/>
      <x:c r="U141" s="82" t="str"/>
      <x:c r="V141" s="82" t="str"/>
      <x:c r="W141" s="82" t="str"/>
      <x:c r="X141" s="82" t="str"/>
      <x:c r="Y141" s="82" t="str"/>
      <x:c r="Z141" s="82" t="str"/>
      <x:c r="AA141" s="82" t="str"/>
      <x:c r="AB141" s="82" t="str"/>
      <x:c r="AC141" s="82" t="str"/>
      <x:c r="AD141" s="82" t="str"/>
      <x:c r="AE141" s="82" t="str"/>
      <x:c r="AF141" s="82" t="str"/>
      <x:c r="AG141" s="82" t="str"/>
      <x:c r="AH141" s="82" t="str"/>
      <x:c r="AI141" s="81" t="str"/>
      <x:c r="AJ141" s="81" t="str"/>
      <x:c r="AK141" s="81" t="str">
        <x:f>IF($E141="","",IF(AND($M141="yes",OR($N141="yes",$N141="review"),OR($O141="yes",$O141="review"),$P141="fit",OR($Q141="unique",$Q141="alias_review"),$R141&lt;&gt;"context_only"),"pass","review/block"))</x:f>
      </x:c>
      <x:c r="AL141" s="81" t="str">
        <x:f>IF($E141="","",IF($AK141="pass","eligible",IF(OR($M141="no",$O141="no",$P141="too_macro",$P141="too_micro",$P141="context_only",$Q141="duplicate_confirmed",$R141="context_only"),"not_eligible","review")))</x:f>
      </x:c>
      <x:c r="AM141" s="81" t="str">
        <x:f>IF($E141="","",IF($C141=0,"reentry_required",IF($C141&lt;=8,"non_competitive_inclusion","competitive_selection")))</x:f>
      </x:c>
      <x:c r="AN141" s="82" t="str">
        <x:f>IF($E141="","",AVERAGE($U141:$X141))</x:f>
      </x:c>
      <x:c r="AO141" s="82" t="str">
        <x:f>IF($E141="","",AVERAGE($S141:$T141))</x:f>
      </x:c>
      <x:c r="AP141" s="82" t="str">
        <x:f>IF($E141="","",($AF141*0.08)+($AG141*0.08)+($AH141*0.10))</x:f>
      </x:c>
      <x:c r="AQ141" s="82" t="str">
        <x:f>IF($E141="","",MAX(0,($AN141*0.30)+($Y141*0.20)+($Z141*0.15)+($AA141*0.15)+($AB141*0.10)+($AC141*0.10)+($AE141*0.05)-$AP141))</x:f>
      </x:c>
      <x:c r="AR141" s="81" t="str">
        <x:f>IF($E141="","",IF($AM141="competitive_selection",RANK.EQ($AQ141,$AQ$2:$AQ$201,0),""))</x:f>
      </x:c>
      <x:c r="AS141" s="81" t="str">
        <x:f>IF($E141="","",IF(AND($AM141="non_competitive_inclusion",$AL141="eligible"),"selected",""))</x:f>
      </x:c>
      <x:c r="AT141" s="81" t="str">
        <x:f>IF($E141="","",IF($AM141&lt;&gt;"competitive_selection","",IF(AND($AL141="eligible",$AR141&lt;=8),"selected","context/backlog")))</x:f>
      </x:c>
      <x:c r="AU141" s="81" t="str">
        <x:f>IF($E141="","",IF($AM141="reentry_required","not_selected_reentry",IF($AS141="selected","selected_for_runtime",IF($AT141="selected","selected_for_runtime",IF($AL141="review","manual_review","context_or_not_selected")))))</x:f>
      </x:c>
      <x:c r="AV141" s="81" t="str">
        <x:f>IF($E141="","",IF($AU141="selected_for_runtime",IF($AM141="competitive_selection",$AR141,COUNTIF($AU$2:AU141,"selected_for_runtime")),""))</x:f>
      </x:c>
      <x:c r="AW141" s="81" t="str">
        <x:f>IF($E141="","",IF($AU141="selected_for_runtime",IF($AD141&gt;=2,"base_40_plus_uncertainty_probes",IF($AE141&gt;=2,"base_40_plus_exploratory_probes","base_40_standard")),"no_runtime"))</x:f>
      </x:c>
      <x:c r="AX141" s="81" t="str">
        <x:f>IF($E141="","",IF($AU141&lt;&gt;"selected_for_runtime","none",IF($AE141&gt;=2,"exploratoria",IF($AQ141&gt;=2.2,"alta",IF($AQ141&gt;=1.2,"media","baja")))))</x:f>
      </x:c>
      <x:c r="AY141" s="81" t="str">
        <x:f>IF($E141="","",IF($AJ141=TRUE,"context_with_coverage_gap",IF($AI141="review","context_requires_confirmation","context_ready")))</x:f>
      </x:c>
      <x:c r="AZ141" s="81" t="str">
        <x:f>IF($E141="","",IF($AU141&lt;&gt;"selected_for_runtime","no",IF(OR($AY141="context_with_coverage_gap",$AX141="exploratoria"),"ready_with_flags","ready")))</x:f>
      </x:c>
      <x:c r="BA141" s="81" t="str"/>
      <x:c r="BB141" s="81" t="str"/>
      <x:c r="BC141" s="81" t="str"/>
      <x:c r="BD141" s="81" t="str"/>
      <x:c r="BE141" s="81" t="str"/>
    </x:row>
    <x:row r="142">
      <x:c r="A142" s="81" t="str"/>
      <x:c r="B142" s="81" t="str"/>
      <x:c r="C142" s="81" t="str"/>
      <x:c r="D142" s="81" t="str"/>
      <x:c r="E142" s="81" t="str"/>
      <x:c r="F142" s="81" t="str"/>
      <x:c r="G142" s="81" t="str"/>
      <x:c r="H142" s="81" t="str"/>
      <x:c r="I142" s="81" t="str"/>
      <x:c r="J142" s="81" t="str"/>
      <x:c r="K142" s="81" t="str"/>
      <x:c r="L142" s="81" t="str"/>
      <x:c r="M142" s="81" t="str"/>
      <x:c r="N142" s="81" t="str"/>
      <x:c r="O142" s="81" t="str"/>
      <x:c r="P142" s="81" t="str"/>
      <x:c r="Q142" s="81" t="str"/>
      <x:c r="R142" s="81" t="str"/>
      <x:c r="S142" s="82" t="str"/>
      <x:c r="T142" s="82" t="str"/>
      <x:c r="U142" s="82" t="str"/>
      <x:c r="V142" s="82" t="str"/>
      <x:c r="W142" s="82" t="str"/>
      <x:c r="X142" s="82" t="str"/>
      <x:c r="Y142" s="82" t="str"/>
      <x:c r="Z142" s="82" t="str"/>
      <x:c r="AA142" s="82" t="str"/>
      <x:c r="AB142" s="82" t="str"/>
      <x:c r="AC142" s="82" t="str"/>
      <x:c r="AD142" s="82" t="str"/>
      <x:c r="AE142" s="82" t="str"/>
      <x:c r="AF142" s="82" t="str"/>
      <x:c r="AG142" s="82" t="str"/>
      <x:c r="AH142" s="82" t="str"/>
      <x:c r="AI142" s="81" t="str"/>
      <x:c r="AJ142" s="81" t="str"/>
      <x:c r="AK142" s="81" t="str">
        <x:f>IF($E142="","",IF(AND($M142="yes",OR($N142="yes",$N142="review"),OR($O142="yes",$O142="review"),$P142="fit",OR($Q142="unique",$Q142="alias_review"),$R142&lt;&gt;"context_only"),"pass","review/block"))</x:f>
      </x:c>
      <x:c r="AL142" s="81" t="str">
        <x:f>IF($E142="","",IF($AK142="pass","eligible",IF(OR($M142="no",$O142="no",$P142="too_macro",$P142="too_micro",$P142="context_only",$Q142="duplicate_confirmed",$R142="context_only"),"not_eligible","review")))</x:f>
      </x:c>
      <x:c r="AM142" s="81" t="str">
        <x:f>IF($E142="","",IF($C142=0,"reentry_required",IF($C142&lt;=8,"non_competitive_inclusion","competitive_selection")))</x:f>
      </x:c>
      <x:c r="AN142" s="82" t="str">
        <x:f>IF($E142="","",AVERAGE($U142:$X142))</x:f>
      </x:c>
      <x:c r="AO142" s="82" t="str">
        <x:f>IF($E142="","",AVERAGE($S142:$T142))</x:f>
      </x:c>
      <x:c r="AP142" s="82" t="str">
        <x:f>IF($E142="","",($AF142*0.08)+($AG142*0.08)+($AH142*0.10))</x:f>
      </x:c>
      <x:c r="AQ142" s="82" t="str">
        <x:f>IF($E142="","",MAX(0,($AN142*0.30)+($Y142*0.20)+($Z142*0.15)+($AA142*0.15)+($AB142*0.10)+($AC142*0.10)+($AE142*0.05)-$AP142))</x:f>
      </x:c>
      <x:c r="AR142" s="81" t="str">
        <x:f>IF($E142="","",IF($AM142="competitive_selection",RANK.EQ($AQ142,$AQ$2:$AQ$201,0),""))</x:f>
      </x:c>
      <x:c r="AS142" s="81" t="str">
        <x:f>IF($E142="","",IF(AND($AM142="non_competitive_inclusion",$AL142="eligible"),"selected",""))</x:f>
      </x:c>
      <x:c r="AT142" s="81" t="str">
        <x:f>IF($E142="","",IF($AM142&lt;&gt;"competitive_selection","",IF(AND($AL142="eligible",$AR142&lt;=8),"selected","context/backlog")))</x:f>
      </x:c>
      <x:c r="AU142" s="81" t="str">
        <x:f>IF($E142="","",IF($AM142="reentry_required","not_selected_reentry",IF($AS142="selected","selected_for_runtime",IF($AT142="selected","selected_for_runtime",IF($AL142="review","manual_review","context_or_not_selected")))))</x:f>
      </x:c>
      <x:c r="AV142" s="81" t="str">
        <x:f>IF($E142="","",IF($AU142="selected_for_runtime",IF($AM142="competitive_selection",$AR142,COUNTIF($AU$2:AU142,"selected_for_runtime")),""))</x:f>
      </x:c>
      <x:c r="AW142" s="81" t="str">
        <x:f>IF($E142="","",IF($AU142="selected_for_runtime",IF($AD142&gt;=2,"base_40_plus_uncertainty_probes",IF($AE142&gt;=2,"base_40_plus_exploratory_probes","base_40_standard")),"no_runtime"))</x:f>
      </x:c>
      <x:c r="AX142" s="81" t="str">
        <x:f>IF($E142="","",IF($AU142&lt;&gt;"selected_for_runtime","none",IF($AE142&gt;=2,"exploratoria",IF($AQ142&gt;=2.2,"alta",IF($AQ142&gt;=1.2,"media","baja")))))</x:f>
      </x:c>
      <x:c r="AY142" s="81" t="str">
        <x:f>IF($E142="","",IF($AJ142=TRUE,"context_with_coverage_gap",IF($AI142="review","context_requires_confirmation","context_ready")))</x:f>
      </x:c>
      <x:c r="AZ142" s="81" t="str">
        <x:f>IF($E142="","",IF($AU142&lt;&gt;"selected_for_runtime","no",IF(OR($AY142="context_with_coverage_gap",$AX142="exploratoria"),"ready_with_flags","ready")))</x:f>
      </x:c>
      <x:c r="BA142" s="81" t="str"/>
      <x:c r="BB142" s="81" t="str"/>
      <x:c r="BC142" s="81" t="str"/>
      <x:c r="BD142" s="81" t="str"/>
      <x:c r="BE142" s="81" t="str"/>
    </x:row>
    <x:row r="143">
      <x:c r="A143" s="81" t="str"/>
      <x:c r="B143" s="81" t="str"/>
      <x:c r="C143" s="81" t="str"/>
      <x:c r="D143" s="81" t="str"/>
      <x:c r="E143" s="81" t="str"/>
      <x:c r="F143" s="81" t="str"/>
      <x:c r="G143" s="81" t="str"/>
      <x:c r="H143" s="81" t="str"/>
      <x:c r="I143" s="81" t="str"/>
      <x:c r="J143" s="81" t="str"/>
      <x:c r="K143" s="81" t="str"/>
      <x:c r="L143" s="81" t="str"/>
      <x:c r="M143" s="81" t="str"/>
      <x:c r="N143" s="81" t="str"/>
      <x:c r="O143" s="81" t="str"/>
      <x:c r="P143" s="81" t="str"/>
      <x:c r="Q143" s="81" t="str"/>
      <x:c r="R143" s="81" t="str"/>
      <x:c r="S143" s="82" t="str"/>
      <x:c r="T143" s="82" t="str"/>
      <x:c r="U143" s="82" t="str"/>
      <x:c r="V143" s="82" t="str"/>
      <x:c r="W143" s="82" t="str"/>
      <x:c r="X143" s="82" t="str"/>
      <x:c r="Y143" s="82" t="str"/>
      <x:c r="Z143" s="82" t="str"/>
      <x:c r="AA143" s="82" t="str"/>
      <x:c r="AB143" s="82" t="str"/>
      <x:c r="AC143" s="82" t="str"/>
      <x:c r="AD143" s="82" t="str"/>
      <x:c r="AE143" s="82" t="str"/>
      <x:c r="AF143" s="82" t="str"/>
      <x:c r="AG143" s="82" t="str"/>
      <x:c r="AH143" s="82" t="str"/>
      <x:c r="AI143" s="81" t="str"/>
      <x:c r="AJ143" s="81" t="str"/>
      <x:c r="AK143" s="81" t="str">
        <x:f>IF($E143="","",IF(AND($M143="yes",OR($N143="yes",$N143="review"),OR($O143="yes",$O143="review"),$P143="fit",OR($Q143="unique",$Q143="alias_review"),$R143&lt;&gt;"context_only"),"pass","review/block"))</x:f>
      </x:c>
      <x:c r="AL143" s="81" t="str">
        <x:f>IF($E143="","",IF($AK143="pass","eligible",IF(OR($M143="no",$O143="no",$P143="too_macro",$P143="too_micro",$P143="context_only",$Q143="duplicate_confirmed",$R143="context_only"),"not_eligible","review")))</x:f>
      </x:c>
      <x:c r="AM143" s="81" t="str">
        <x:f>IF($E143="","",IF($C143=0,"reentry_required",IF($C143&lt;=8,"non_competitive_inclusion","competitive_selection")))</x:f>
      </x:c>
      <x:c r="AN143" s="82" t="str">
        <x:f>IF($E143="","",AVERAGE($U143:$X143))</x:f>
      </x:c>
      <x:c r="AO143" s="82" t="str">
        <x:f>IF($E143="","",AVERAGE($S143:$T143))</x:f>
      </x:c>
      <x:c r="AP143" s="82" t="str">
        <x:f>IF($E143="","",($AF143*0.08)+($AG143*0.08)+($AH143*0.10))</x:f>
      </x:c>
      <x:c r="AQ143" s="82" t="str">
        <x:f>IF($E143="","",MAX(0,($AN143*0.30)+($Y143*0.20)+($Z143*0.15)+($AA143*0.15)+($AB143*0.10)+($AC143*0.10)+($AE143*0.05)-$AP143))</x:f>
      </x:c>
      <x:c r="AR143" s="81" t="str">
        <x:f>IF($E143="","",IF($AM143="competitive_selection",RANK.EQ($AQ143,$AQ$2:$AQ$201,0),""))</x:f>
      </x:c>
      <x:c r="AS143" s="81" t="str">
        <x:f>IF($E143="","",IF(AND($AM143="non_competitive_inclusion",$AL143="eligible"),"selected",""))</x:f>
      </x:c>
      <x:c r="AT143" s="81" t="str">
        <x:f>IF($E143="","",IF($AM143&lt;&gt;"competitive_selection","",IF(AND($AL143="eligible",$AR143&lt;=8),"selected","context/backlog")))</x:f>
      </x:c>
      <x:c r="AU143" s="81" t="str">
        <x:f>IF($E143="","",IF($AM143="reentry_required","not_selected_reentry",IF($AS143="selected","selected_for_runtime",IF($AT143="selected","selected_for_runtime",IF($AL143="review","manual_review","context_or_not_selected")))))</x:f>
      </x:c>
      <x:c r="AV143" s="81" t="str">
        <x:f>IF($E143="","",IF($AU143="selected_for_runtime",IF($AM143="competitive_selection",$AR143,COUNTIF($AU$2:AU143,"selected_for_runtime")),""))</x:f>
      </x:c>
      <x:c r="AW143" s="81" t="str">
        <x:f>IF($E143="","",IF($AU143="selected_for_runtime",IF($AD143&gt;=2,"base_40_plus_uncertainty_probes",IF($AE143&gt;=2,"base_40_plus_exploratory_probes","base_40_standard")),"no_runtime"))</x:f>
      </x:c>
      <x:c r="AX143" s="81" t="str">
        <x:f>IF($E143="","",IF($AU143&lt;&gt;"selected_for_runtime","none",IF($AE143&gt;=2,"exploratoria",IF($AQ143&gt;=2.2,"alta",IF($AQ143&gt;=1.2,"media","baja")))))</x:f>
      </x:c>
      <x:c r="AY143" s="81" t="str">
        <x:f>IF($E143="","",IF($AJ143=TRUE,"context_with_coverage_gap",IF($AI143="review","context_requires_confirmation","context_ready")))</x:f>
      </x:c>
      <x:c r="AZ143" s="81" t="str">
        <x:f>IF($E143="","",IF($AU143&lt;&gt;"selected_for_runtime","no",IF(OR($AY143="context_with_coverage_gap",$AX143="exploratoria"),"ready_with_flags","ready")))</x:f>
      </x:c>
      <x:c r="BA143" s="81" t="str"/>
      <x:c r="BB143" s="81" t="str"/>
      <x:c r="BC143" s="81" t="str"/>
      <x:c r="BD143" s="81" t="str"/>
      <x:c r="BE143" s="81" t="str"/>
    </x:row>
    <x:row r="144">
      <x:c r="A144" s="81" t="str"/>
      <x:c r="B144" s="81" t="str"/>
      <x:c r="C144" s="81" t="str"/>
      <x:c r="D144" s="81" t="str"/>
      <x:c r="E144" s="81" t="str"/>
      <x:c r="F144" s="81" t="str"/>
      <x:c r="G144" s="81" t="str"/>
      <x:c r="H144" s="81" t="str"/>
      <x:c r="I144" s="81" t="str"/>
      <x:c r="J144" s="81" t="str"/>
      <x:c r="K144" s="81" t="str"/>
      <x:c r="L144" s="81" t="str"/>
      <x:c r="M144" s="81" t="str"/>
      <x:c r="N144" s="81" t="str"/>
      <x:c r="O144" s="81" t="str"/>
      <x:c r="P144" s="81" t="str"/>
      <x:c r="Q144" s="81" t="str"/>
      <x:c r="R144" s="81" t="str"/>
      <x:c r="S144" s="82" t="str"/>
      <x:c r="T144" s="82" t="str"/>
      <x:c r="U144" s="82" t="str"/>
      <x:c r="V144" s="82" t="str"/>
      <x:c r="W144" s="82" t="str"/>
      <x:c r="X144" s="82" t="str"/>
      <x:c r="Y144" s="82" t="str"/>
      <x:c r="Z144" s="82" t="str"/>
      <x:c r="AA144" s="82" t="str"/>
      <x:c r="AB144" s="82" t="str"/>
      <x:c r="AC144" s="82" t="str"/>
      <x:c r="AD144" s="82" t="str"/>
      <x:c r="AE144" s="82" t="str"/>
      <x:c r="AF144" s="82" t="str"/>
      <x:c r="AG144" s="82" t="str"/>
      <x:c r="AH144" s="82" t="str"/>
      <x:c r="AI144" s="81" t="str"/>
      <x:c r="AJ144" s="81" t="str"/>
      <x:c r="AK144" s="81" t="str">
        <x:f>IF($E144="","",IF(AND($M144="yes",OR($N144="yes",$N144="review"),OR($O144="yes",$O144="review"),$P144="fit",OR($Q144="unique",$Q144="alias_review"),$R144&lt;&gt;"context_only"),"pass","review/block"))</x:f>
      </x:c>
      <x:c r="AL144" s="81" t="str">
        <x:f>IF($E144="","",IF($AK144="pass","eligible",IF(OR($M144="no",$O144="no",$P144="too_macro",$P144="too_micro",$P144="context_only",$Q144="duplicate_confirmed",$R144="context_only"),"not_eligible","review")))</x:f>
      </x:c>
      <x:c r="AM144" s="81" t="str">
        <x:f>IF($E144="","",IF($C144=0,"reentry_required",IF($C144&lt;=8,"non_competitive_inclusion","competitive_selection")))</x:f>
      </x:c>
      <x:c r="AN144" s="82" t="str">
        <x:f>IF($E144="","",AVERAGE($U144:$X144))</x:f>
      </x:c>
      <x:c r="AO144" s="82" t="str">
        <x:f>IF($E144="","",AVERAGE($S144:$T144))</x:f>
      </x:c>
      <x:c r="AP144" s="82" t="str">
        <x:f>IF($E144="","",($AF144*0.08)+($AG144*0.08)+($AH144*0.10))</x:f>
      </x:c>
      <x:c r="AQ144" s="82" t="str">
        <x:f>IF($E144="","",MAX(0,($AN144*0.30)+($Y144*0.20)+($Z144*0.15)+($AA144*0.15)+($AB144*0.10)+($AC144*0.10)+($AE144*0.05)-$AP144))</x:f>
      </x:c>
      <x:c r="AR144" s="81" t="str">
        <x:f>IF($E144="","",IF($AM144="competitive_selection",RANK.EQ($AQ144,$AQ$2:$AQ$201,0),""))</x:f>
      </x:c>
      <x:c r="AS144" s="81" t="str">
        <x:f>IF($E144="","",IF(AND($AM144="non_competitive_inclusion",$AL144="eligible"),"selected",""))</x:f>
      </x:c>
      <x:c r="AT144" s="81" t="str">
        <x:f>IF($E144="","",IF($AM144&lt;&gt;"competitive_selection","",IF(AND($AL144="eligible",$AR144&lt;=8),"selected","context/backlog")))</x:f>
      </x:c>
      <x:c r="AU144" s="81" t="str">
        <x:f>IF($E144="","",IF($AM144="reentry_required","not_selected_reentry",IF($AS144="selected","selected_for_runtime",IF($AT144="selected","selected_for_runtime",IF($AL144="review","manual_review","context_or_not_selected")))))</x:f>
      </x:c>
      <x:c r="AV144" s="81" t="str">
        <x:f>IF($E144="","",IF($AU144="selected_for_runtime",IF($AM144="competitive_selection",$AR144,COUNTIF($AU$2:AU144,"selected_for_runtime")),""))</x:f>
      </x:c>
      <x:c r="AW144" s="81" t="str">
        <x:f>IF($E144="","",IF($AU144="selected_for_runtime",IF($AD144&gt;=2,"base_40_plus_uncertainty_probes",IF($AE144&gt;=2,"base_40_plus_exploratory_probes","base_40_standard")),"no_runtime"))</x:f>
      </x:c>
      <x:c r="AX144" s="81" t="str">
        <x:f>IF($E144="","",IF($AU144&lt;&gt;"selected_for_runtime","none",IF($AE144&gt;=2,"exploratoria",IF($AQ144&gt;=2.2,"alta",IF($AQ144&gt;=1.2,"media","baja")))))</x:f>
      </x:c>
      <x:c r="AY144" s="81" t="str">
        <x:f>IF($E144="","",IF($AJ144=TRUE,"context_with_coverage_gap",IF($AI144="review","context_requires_confirmation","context_ready")))</x:f>
      </x:c>
      <x:c r="AZ144" s="81" t="str">
        <x:f>IF($E144="","",IF($AU144&lt;&gt;"selected_for_runtime","no",IF(OR($AY144="context_with_coverage_gap",$AX144="exploratoria"),"ready_with_flags","ready")))</x:f>
      </x:c>
      <x:c r="BA144" s="81" t="str"/>
      <x:c r="BB144" s="81" t="str"/>
      <x:c r="BC144" s="81" t="str"/>
      <x:c r="BD144" s="81" t="str"/>
      <x:c r="BE144" s="81" t="str"/>
    </x:row>
    <x:row r="145">
      <x:c r="A145" s="81" t="str"/>
      <x:c r="B145" s="81" t="str"/>
      <x:c r="C145" s="81" t="str"/>
      <x:c r="D145" s="81" t="str"/>
      <x:c r="E145" s="81" t="str"/>
      <x:c r="F145" s="81" t="str"/>
      <x:c r="G145" s="81" t="str"/>
      <x:c r="H145" s="81" t="str"/>
      <x:c r="I145" s="81" t="str"/>
      <x:c r="J145" s="81" t="str"/>
      <x:c r="K145" s="81" t="str"/>
      <x:c r="L145" s="81" t="str"/>
      <x:c r="M145" s="81" t="str"/>
      <x:c r="N145" s="81" t="str"/>
      <x:c r="O145" s="81" t="str"/>
      <x:c r="P145" s="81" t="str"/>
      <x:c r="Q145" s="81" t="str"/>
      <x:c r="R145" s="81" t="str"/>
      <x:c r="S145" s="82" t="str"/>
      <x:c r="T145" s="82" t="str"/>
      <x:c r="U145" s="82" t="str"/>
      <x:c r="V145" s="82" t="str"/>
      <x:c r="W145" s="82" t="str"/>
      <x:c r="X145" s="82" t="str"/>
      <x:c r="Y145" s="82" t="str"/>
      <x:c r="Z145" s="82" t="str"/>
      <x:c r="AA145" s="82" t="str"/>
      <x:c r="AB145" s="82" t="str"/>
      <x:c r="AC145" s="82" t="str"/>
      <x:c r="AD145" s="82" t="str"/>
      <x:c r="AE145" s="82" t="str"/>
      <x:c r="AF145" s="82" t="str"/>
      <x:c r="AG145" s="82" t="str"/>
      <x:c r="AH145" s="82" t="str"/>
      <x:c r="AI145" s="81" t="str"/>
      <x:c r="AJ145" s="81" t="str"/>
      <x:c r="AK145" s="81" t="str">
        <x:f>IF($E145="","",IF(AND($M145="yes",OR($N145="yes",$N145="review"),OR($O145="yes",$O145="review"),$P145="fit",OR($Q145="unique",$Q145="alias_review"),$R145&lt;&gt;"context_only"),"pass","review/block"))</x:f>
      </x:c>
      <x:c r="AL145" s="81" t="str">
        <x:f>IF($E145="","",IF($AK145="pass","eligible",IF(OR($M145="no",$O145="no",$P145="too_macro",$P145="too_micro",$P145="context_only",$Q145="duplicate_confirmed",$R145="context_only"),"not_eligible","review")))</x:f>
      </x:c>
      <x:c r="AM145" s="81" t="str">
        <x:f>IF($E145="","",IF($C145=0,"reentry_required",IF($C145&lt;=8,"non_competitive_inclusion","competitive_selection")))</x:f>
      </x:c>
      <x:c r="AN145" s="82" t="str">
        <x:f>IF($E145="","",AVERAGE($U145:$X145))</x:f>
      </x:c>
      <x:c r="AO145" s="82" t="str">
        <x:f>IF($E145="","",AVERAGE($S145:$T145))</x:f>
      </x:c>
      <x:c r="AP145" s="82" t="str">
        <x:f>IF($E145="","",($AF145*0.08)+($AG145*0.08)+($AH145*0.10))</x:f>
      </x:c>
      <x:c r="AQ145" s="82" t="str">
        <x:f>IF($E145="","",MAX(0,($AN145*0.30)+($Y145*0.20)+($Z145*0.15)+($AA145*0.15)+($AB145*0.10)+($AC145*0.10)+($AE145*0.05)-$AP145))</x:f>
      </x:c>
      <x:c r="AR145" s="81" t="str">
        <x:f>IF($E145="","",IF($AM145="competitive_selection",RANK.EQ($AQ145,$AQ$2:$AQ$201,0),""))</x:f>
      </x:c>
      <x:c r="AS145" s="81" t="str">
        <x:f>IF($E145="","",IF(AND($AM145="non_competitive_inclusion",$AL145="eligible"),"selected",""))</x:f>
      </x:c>
      <x:c r="AT145" s="81" t="str">
        <x:f>IF($E145="","",IF($AM145&lt;&gt;"competitive_selection","",IF(AND($AL145="eligible",$AR145&lt;=8),"selected","context/backlog")))</x:f>
      </x:c>
      <x:c r="AU145" s="81" t="str">
        <x:f>IF($E145="","",IF($AM145="reentry_required","not_selected_reentry",IF($AS145="selected","selected_for_runtime",IF($AT145="selected","selected_for_runtime",IF($AL145="review","manual_review","context_or_not_selected")))))</x:f>
      </x:c>
      <x:c r="AV145" s="81" t="str">
        <x:f>IF($E145="","",IF($AU145="selected_for_runtime",IF($AM145="competitive_selection",$AR145,COUNTIF($AU$2:AU145,"selected_for_runtime")),""))</x:f>
      </x:c>
      <x:c r="AW145" s="81" t="str">
        <x:f>IF($E145="","",IF($AU145="selected_for_runtime",IF($AD145&gt;=2,"base_40_plus_uncertainty_probes",IF($AE145&gt;=2,"base_40_plus_exploratory_probes","base_40_standard")),"no_runtime"))</x:f>
      </x:c>
      <x:c r="AX145" s="81" t="str">
        <x:f>IF($E145="","",IF($AU145&lt;&gt;"selected_for_runtime","none",IF($AE145&gt;=2,"exploratoria",IF($AQ145&gt;=2.2,"alta",IF($AQ145&gt;=1.2,"media","baja")))))</x:f>
      </x:c>
      <x:c r="AY145" s="81" t="str">
        <x:f>IF($E145="","",IF($AJ145=TRUE,"context_with_coverage_gap",IF($AI145="review","context_requires_confirmation","context_ready")))</x:f>
      </x:c>
      <x:c r="AZ145" s="81" t="str">
        <x:f>IF($E145="","",IF($AU145&lt;&gt;"selected_for_runtime","no",IF(OR($AY145="context_with_coverage_gap",$AX145="exploratoria"),"ready_with_flags","ready")))</x:f>
      </x:c>
      <x:c r="BA145" s="81" t="str"/>
      <x:c r="BB145" s="81" t="str"/>
      <x:c r="BC145" s="81" t="str"/>
      <x:c r="BD145" s="81" t="str"/>
      <x:c r="BE145" s="81" t="str"/>
    </x:row>
    <x:row r="146">
      <x:c r="A146" s="81" t="str"/>
      <x:c r="B146" s="81" t="str"/>
      <x:c r="C146" s="81" t="str"/>
      <x:c r="D146" s="81" t="str"/>
      <x:c r="E146" s="81" t="str"/>
      <x:c r="F146" s="81" t="str"/>
      <x:c r="G146" s="81" t="str"/>
      <x:c r="H146" s="81" t="str"/>
      <x:c r="I146" s="81" t="str"/>
      <x:c r="J146" s="81" t="str"/>
      <x:c r="K146" s="81" t="str"/>
      <x:c r="L146" s="81" t="str"/>
      <x:c r="M146" s="81" t="str"/>
      <x:c r="N146" s="81" t="str"/>
      <x:c r="O146" s="81" t="str"/>
      <x:c r="P146" s="81" t="str"/>
      <x:c r="Q146" s="81" t="str"/>
      <x:c r="R146" s="81" t="str"/>
      <x:c r="S146" s="82" t="str"/>
      <x:c r="T146" s="82" t="str"/>
      <x:c r="U146" s="82" t="str"/>
      <x:c r="V146" s="82" t="str"/>
      <x:c r="W146" s="82" t="str"/>
      <x:c r="X146" s="82" t="str"/>
      <x:c r="Y146" s="82" t="str"/>
      <x:c r="Z146" s="82" t="str"/>
      <x:c r="AA146" s="82" t="str"/>
      <x:c r="AB146" s="82" t="str"/>
      <x:c r="AC146" s="82" t="str"/>
      <x:c r="AD146" s="82" t="str"/>
      <x:c r="AE146" s="82" t="str"/>
      <x:c r="AF146" s="82" t="str"/>
      <x:c r="AG146" s="82" t="str"/>
      <x:c r="AH146" s="82" t="str"/>
      <x:c r="AI146" s="81" t="str"/>
      <x:c r="AJ146" s="81" t="str"/>
      <x:c r="AK146" s="81" t="str">
        <x:f>IF($E146="","",IF(AND($M146="yes",OR($N146="yes",$N146="review"),OR($O146="yes",$O146="review"),$P146="fit",OR($Q146="unique",$Q146="alias_review"),$R146&lt;&gt;"context_only"),"pass","review/block"))</x:f>
      </x:c>
      <x:c r="AL146" s="81" t="str">
        <x:f>IF($E146="","",IF($AK146="pass","eligible",IF(OR($M146="no",$O146="no",$P146="too_macro",$P146="too_micro",$P146="context_only",$Q146="duplicate_confirmed",$R146="context_only"),"not_eligible","review")))</x:f>
      </x:c>
      <x:c r="AM146" s="81" t="str">
        <x:f>IF($E146="","",IF($C146=0,"reentry_required",IF($C146&lt;=8,"non_competitive_inclusion","competitive_selection")))</x:f>
      </x:c>
      <x:c r="AN146" s="82" t="str">
        <x:f>IF($E146="","",AVERAGE($U146:$X146))</x:f>
      </x:c>
      <x:c r="AO146" s="82" t="str">
        <x:f>IF($E146="","",AVERAGE($S146:$T146))</x:f>
      </x:c>
      <x:c r="AP146" s="82" t="str">
        <x:f>IF($E146="","",($AF146*0.08)+($AG146*0.08)+($AH146*0.10))</x:f>
      </x:c>
      <x:c r="AQ146" s="82" t="str">
        <x:f>IF($E146="","",MAX(0,($AN146*0.30)+($Y146*0.20)+($Z146*0.15)+($AA146*0.15)+($AB146*0.10)+($AC146*0.10)+($AE146*0.05)-$AP146))</x:f>
      </x:c>
      <x:c r="AR146" s="81" t="str">
        <x:f>IF($E146="","",IF($AM146="competitive_selection",RANK.EQ($AQ146,$AQ$2:$AQ$201,0),""))</x:f>
      </x:c>
      <x:c r="AS146" s="81" t="str">
        <x:f>IF($E146="","",IF(AND($AM146="non_competitive_inclusion",$AL146="eligible"),"selected",""))</x:f>
      </x:c>
      <x:c r="AT146" s="81" t="str">
        <x:f>IF($E146="","",IF($AM146&lt;&gt;"competitive_selection","",IF(AND($AL146="eligible",$AR146&lt;=8),"selected","context/backlog")))</x:f>
      </x:c>
      <x:c r="AU146" s="81" t="str">
        <x:f>IF($E146="","",IF($AM146="reentry_required","not_selected_reentry",IF($AS146="selected","selected_for_runtime",IF($AT146="selected","selected_for_runtime",IF($AL146="review","manual_review","context_or_not_selected")))))</x:f>
      </x:c>
      <x:c r="AV146" s="81" t="str">
        <x:f>IF($E146="","",IF($AU146="selected_for_runtime",IF($AM146="competitive_selection",$AR146,COUNTIF($AU$2:AU146,"selected_for_runtime")),""))</x:f>
      </x:c>
      <x:c r="AW146" s="81" t="str">
        <x:f>IF($E146="","",IF($AU146="selected_for_runtime",IF($AD146&gt;=2,"base_40_plus_uncertainty_probes",IF($AE146&gt;=2,"base_40_plus_exploratory_probes","base_40_standard")),"no_runtime"))</x:f>
      </x:c>
      <x:c r="AX146" s="81" t="str">
        <x:f>IF($E146="","",IF($AU146&lt;&gt;"selected_for_runtime","none",IF($AE146&gt;=2,"exploratoria",IF($AQ146&gt;=2.2,"alta",IF($AQ146&gt;=1.2,"media","baja")))))</x:f>
      </x:c>
      <x:c r="AY146" s="81" t="str">
        <x:f>IF($E146="","",IF($AJ146=TRUE,"context_with_coverage_gap",IF($AI146="review","context_requires_confirmation","context_ready")))</x:f>
      </x:c>
      <x:c r="AZ146" s="81" t="str">
        <x:f>IF($E146="","",IF($AU146&lt;&gt;"selected_for_runtime","no",IF(OR($AY146="context_with_coverage_gap",$AX146="exploratoria"),"ready_with_flags","ready")))</x:f>
      </x:c>
      <x:c r="BA146" s="81" t="str"/>
      <x:c r="BB146" s="81" t="str"/>
      <x:c r="BC146" s="81" t="str"/>
      <x:c r="BD146" s="81" t="str"/>
      <x:c r="BE146" s="81" t="str"/>
    </x:row>
    <x:row r="147">
      <x:c r="A147" s="81" t="str"/>
      <x:c r="B147" s="81" t="str"/>
      <x:c r="C147" s="81" t="str"/>
      <x:c r="D147" s="81" t="str"/>
      <x:c r="E147" s="81" t="str"/>
      <x:c r="F147" s="81" t="str"/>
      <x:c r="G147" s="81" t="str"/>
      <x:c r="H147" s="81" t="str"/>
      <x:c r="I147" s="81" t="str"/>
      <x:c r="J147" s="81" t="str"/>
      <x:c r="K147" s="81" t="str"/>
      <x:c r="L147" s="81" t="str"/>
      <x:c r="M147" s="81" t="str"/>
      <x:c r="N147" s="81" t="str"/>
      <x:c r="O147" s="81" t="str"/>
      <x:c r="P147" s="81" t="str"/>
      <x:c r="Q147" s="81" t="str"/>
      <x:c r="R147" s="81" t="str"/>
      <x:c r="S147" s="82" t="str"/>
      <x:c r="T147" s="82" t="str"/>
      <x:c r="U147" s="82" t="str"/>
      <x:c r="V147" s="82" t="str"/>
      <x:c r="W147" s="82" t="str"/>
      <x:c r="X147" s="82" t="str"/>
      <x:c r="Y147" s="82" t="str"/>
      <x:c r="Z147" s="82" t="str"/>
      <x:c r="AA147" s="82" t="str"/>
      <x:c r="AB147" s="82" t="str"/>
      <x:c r="AC147" s="82" t="str"/>
      <x:c r="AD147" s="82" t="str"/>
      <x:c r="AE147" s="82" t="str"/>
      <x:c r="AF147" s="82" t="str"/>
      <x:c r="AG147" s="82" t="str"/>
      <x:c r="AH147" s="82" t="str"/>
      <x:c r="AI147" s="81" t="str"/>
      <x:c r="AJ147" s="81" t="str"/>
      <x:c r="AK147" s="81" t="str">
        <x:f>IF($E147="","",IF(AND($M147="yes",OR($N147="yes",$N147="review"),OR($O147="yes",$O147="review"),$P147="fit",OR($Q147="unique",$Q147="alias_review"),$R147&lt;&gt;"context_only"),"pass","review/block"))</x:f>
      </x:c>
      <x:c r="AL147" s="81" t="str">
        <x:f>IF($E147="","",IF($AK147="pass","eligible",IF(OR($M147="no",$O147="no",$P147="too_macro",$P147="too_micro",$P147="context_only",$Q147="duplicate_confirmed",$R147="context_only"),"not_eligible","review")))</x:f>
      </x:c>
      <x:c r="AM147" s="81" t="str">
        <x:f>IF($E147="","",IF($C147=0,"reentry_required",IF($C147&lt;=8,"non_competitive_inclusion","competitive_selection")))</x:f>
      </x:c>
      <x:c r="AN147" s="82" t="str">
        <x:f>IF($E147="","",AVERAGE($U147:$X147))</x:f>
      </x:c>
      <x:c r="AO147" s="82" t="str">
        <x:f>IF($E147="","",AVERAGE($S147:$T147))</x:f>
      </x:c>
      <x:c r="AP147" s="82" t="str">
        <x:f>IF($E147="","",($AF147*0.08)+($AG147*0.08)+($AH147*0.10))</x:f>
      </x:c>
      <x:c r="AQ147" s="82" t="str">
        <x:f>IF($E147="","",MAX(0,($AN147*0.30)+($Y147*0.20)+($Z147*0.15)+($AA147*0.15)+($AB147*0.10)+($AC147*0.10)+($AE147*0.05)-$AP147))</x:f>
      </x:c>
      <x:c r="AR147" s="81" t="str">
        <x:f>IF($E147="","",IF($AM147="competitive_selection",RANK.EQ($AQ147,$AQ$2:$AQ$201,0),""))</x:f>
      </x:c>
      <x:c r="AS147" s="81" t="str">
        <x:f>IF($E147="","",IF(AND($AM147="non_competitive_inclusion",$AL147="eligible"),"selected",""))</x:f>
      </x:c>
      <x:c r="AT147" s="81" t="str">
        <x:f>IF($E147="","",IF($AM147&lt;&gt;"competitive_selection","",IF(AND($AL147="eligible",$AR147&lt;=8),"selected","context/backlog")))</x:f>
      </x:c>
      <x:c r="AU147" s="81" t="str">
        <x:f>IF($E147="","",IF($AM147="reentry_required","not_selected_reentry",IF($AS147="selected","selected_for_runtime",IF($AT147="selected","selected_for_runtime",IF($AL147="review","manual_review","context_or_not_selected")))))</x:f>
      </x:c>
      <x:c r="AV147" s="81" t="str">
        <x:f>IF($E147="","",IF($AU147="selected_for_runtime",IF($AM147="competitive_selection",$AR147,COUNTIF($AU$2:AU147,"selected_for_runtime")),""))</x:f>
      </x:c>
      <x:c r="AW147" s="81" t="str">
        <x:f>IF($E147="","",IF($AU147="selected_for_runtime",IF($AD147&gt;=2,"base_40_plus_uncertainty_probes",IF($AE147&gt;=2,"base_40_plus_exploratory_probes","base_40_standard")),"no_runtime"))</x:f>
      </x:c>
      <x:c r="AX147" s="81" t="str">
        <x:f>IF($E147="","",IF($AU147&lt;&gt;"selected_for_runtime","none",IF($AE147&gt;=2,"exploratoria",IF($AQ147&gt;=2.2,"alta",IF($AQ147&gt;=1.2,"media","baja")))))</x:f>
      </x:c>
      <x:c r="AY147" s="81" t="str">
        <x:f>IF($E147="","",IF($AJ147=TRUE,"context_with_coverage_gap",IF($AI147="review","context_requires_confirmation","context_ready")))</x:f>
      </x:c>
      <x:c r="AZ147" s="81" t="str">
        <x:f>IF($E147="","",IF($AU147&lt;&gt;"selected_for_runtime","no",IF(OR($AY147="context_with_coverage_gap",$AX147="exploratoria"),"ready_with_flags","ready")))</x:f>
      </x:c>
      <x:c r="BA147" s="81" t="str"/>
      <x:c r="BB147" s="81" t="str"/>
      <x:c r="BC147" s="81" t="str"/>
      <x:c r="BD147" s="81" t="str"/>
      <x:c r="BE147" s="81" t="str"/>
    </x:row>
    <x:row r="148">
      <x:c r="A148" s="81" t="str"/>
      <x:c r="B148" s="81" t="str"/>
      <x:c r="C148" s="81" t="str"/>
      <x:c r="D148" s="81" t="str"/>
      <x:c r="E148" s="81" t="str"/>
      <x:c r="F148" s="81" t="str"/>
      <x:c r="G148" s="81" t="str"/>
      <x:c r="H148" s="81" t="str"/>
      <x:c r="I148" s="81" t="str"/>
      <x:c r="J148" s="81" t="str"/>
      <x:c r="K148" s="81" t="str"/>
      <x:c r="L148" s="81" t="str"/>
      <x:c r="M148" s="81" t="str"/>
      <x:c r="N148" s="81" t="str"/>
      <x:c r="O148" s="81" t="str"/>
      <x:c r="P148" s="81" t="str"/>
      <x:c r="Q148" s="81" t="str"/>
      <x:c r="R148" s="81" t="str"/>
      <x:c r="S148" s="82" t="str"/>
      <x:c r="T148" s="82" t="str"/>
      <x:c r="U148" s="82" t="str"/>
      <x:c r="V148" s="82" t="str"/>
      <x:c r="W148" s="82" t="str"/>
      <x:c r="X148" s="82" t="str"/>
      <x:c r="Y148" s="82" t="str"/>
      <x:c r="Z148" s="82" t="str"/>
      <x:c r="AA148" s="82" t="str"/>
      <x:c r="AB148" s="82" t="str"/>
      <x:c r="AC148" s="82" t="str"/>
      <x:c r="AD148" s="82" t="str"/>
      <x:c r="AE148" s="82" t="str"/>
      <x:c r="AF148" s="82" t="str"/>
      <x:c r="AG148" s="82" t="str"/>
      <x:c r="AH148" s="82" t="str"/>
      <x:c r="AI148" s="81" t="str"/>
      <x:c r="AJ148" s="81" t="str"/>
      <x:c r="AK148" s="81" t="str">
        <x:f>IF($E148="","",IF(AND($M148="yes",OR($N148="yes",$N148="review"),OR($O148="yes",$O148="review"),$P148="fit",OR($Q148="unique",$Q148="alias_review"),$R148&lt;&gt;"context_only"),"pass","review/block"))</x:f>
      </x:c>
      <x:c r="AL148" s="81" t="str">
        <x:f>IF($E148="","",IF($AK148="pass","eligible",IF(OR($M148="no",$O148="no",$P148="too_macro",$P148="too_micro",$P148="context_only",$Q148="duplicate_confirmed",$R148="context_only"),"not_eligible","review")))</x:f>
      </x:c>
      <x:c r="AM148" s="81" t="str">
        <x:f>IF($E148="","",IF($C148=0,"reentry_required",IF($C148&lt;=8,"non_competitive_inclusion","competitive_selection")))</x:f>
      </x:c>
      <x:c r="AN148" s="82" t="str">
        <x:f>IF($E148="","",AVERAGE($U148:$X148))</x:f>
      </x:c>
      <x:c r="AO148" s="82" t="str">
        <x:f>IF($E148="","",AVERAGE($S148:$T148))</x:f>
      </x:c>
      <x:c r="AP148" s="82" t="str">
        <x:f>IF($E148="","",($AF148*0.08)+($AG148*0.08)+($AH148*0.10))</x:f>
      </x:c>
      <x:c r="AQ148" s="82" t="str">
        <x:f>IF($E148="","",MAX(0,($AN148*0.30)+($Y148*0.20)+($Z148*0.15)+($AA148*0.15)+($AB148*0.10)+($AC148*0.10)+($AE148*0.05)-$AP148))</x:f>
      </x:c>
      <x:c r="AR148" s="81" t="str">
        <x:f>IF($E148="","",IF($AM148="competitive_selection",RANK.EQ($AQ148,$AQ$2:$AQ$201,0),""))</x:f>
      </x:c>
      <x:c r="AS148" s="81" t="str">
        <x:f>IF($E148="","",IF(AND($AM148="non_competitive_inclusion",$AL148="eligible"),"selected",""))</x:f>
      </x:c>
      <x:c r="AT148" s="81" t="str">
        <x:f>IF($E148="","",IF($AM148&lt;&gt;"competitive_selection","",IF(AND($AL148="eligible",$AR148&lt;=8),"selected","context/backlog")))</x:f>
      </x:c>
      <x:c r="AU148" s="81" t="str">
        <x:f>IF($E148="","",IF($AM148="reentry_required","not_selected_reentry",IF($AS148="selected","selected_for_runtime",IF($AT148="selected","selected_for_runtime",IF($AL148="review","manual_review","context_or_not_selected")))))</x:f>
      </x:c>
      <x:c r="AV148" s="81" t="str">
        <x:f>IF($E148="","",IF($AU148="selected_for_runtime",IF($AM148="competitive_selection",$AR148,COUNTIF($AU$2:AU148,"selected_for_runtime")),""))</x:f>
      </x:c>
      <x:c r="AW148" s="81" t="str">
        <x:f>IF($E148="","",IF($AU148="selected_for_runtime",IF($AD148&gt;=2,"base_40_plus_uncertainty_probes",IF($AE148&gt;=2,"base_40_plus_exploratory_probes","base_40_standard")),"no_runtime"))</x:f>
      </x:c>
      <x:c r="AX148" s="81" t="str">
        <x:f>IF($E148="","",IF($AU148&lt;&gt;"selected_for_runtime","none",IF($AE148&gt;=2,"exploratoria",IF($AQ148&gt;=2.2,"alta",IF($AQ148&gt;=1.2,"media","baja")))))</x:f>
      </x:c>
      <x:c r="AY148" s="81" t="str">
        <x:f>IF($E148="","",IF($AJ148=TRUE,"context_with_coverage_gap",IF($AI148="review","context_requires_confirmation","context_ready")))</x:f>
      </x:c>
      <x:c r="AZ148" s="81" t="str">
        <x:f>IF($E148="","",IF($AU148&lt;&gt;"selected_for_runtime","no",IF(OR($AY148="context_with_coverage_gap",$AX148="exploratoria"),"ready_with_flags","ready")))</x:f>
      </x:c>
      <x:c r="BA148" s="81" t="str"/>
      <x:c r="BB148" s="81" t="str"/>
      <x:c r="BC148" s="81" t="str"/>
      <x:c r="BD148" s="81" t="str"/>
      <x:c r="BE148" s="81" t="str"/>
    </x:row>
    <x:row r="149">
      <x:c r="A149" s="81" t="str"/>
      <x:c r="B149" s="81" t="str"/>
      <x:c r="C149" s="81" t="str"/>
      <x:c r="D149" s="81" t="str"/>
      <x:c r="E149" s="81" t="str"/>
      <x:c r="F149" s="81" t="str"/>
      <x:c r="G149" s="81" t="str"/>
      <x:c r="H149" s="81" t="str"/>
      <x:c r="I149" s="81" t="str"/>
      <x:c r="J149" s="81" t="str"/>
      <x:c r="K149" s="81" t="str"/>
      <x:c r="L149" s="81" t="str"/>
      <x:c r="M149" s="81" t="str"/>
      <x:c r="N149" s="81" t="str"/>
      <x:c r="O149" s="81" t="str"/>
      <x:c r="P149" s="81" t="str"/>
      <x:c r="Q149" s="81" t="str"/>
      <x:c r="R149" s="81" t="str"/>
      <x:c r="S149" s="82" t="str"/>
      <x:c r="T149" s="82" t="str"/>
      <x:c r="U149" s="82" t="str"/>
      <x:c r="V149" s="82" t="str"/>
      <x:c r="W149" s="82" t="str"/>
      <x:c r="X149" s="82" t="str"/>
      <x:c r="Y149" s="82" t="str"/>
      <x:c r="Z149" s="82" t="str"/>
      <x:c r="AA149" s="82" t="str"/>
      <x:c r="AB149" s="82" t="str"/>
      <x:c r="AC149" s="82" t="str"/>
      <x:c r="AD149" s="82" t="str"/>
      <x:c r="AE149" s="82" t="str"/>
      <x:c r="AF149" s="82" t="str"/>
      <x:c r="AG149" s="82" t="str"/>
      <x:c r="AH149" s="82" t="str"/>
      <x:c r="AI149" s="81" t="str"/>
      <x:c r="AJ149" s="81" t="str"/>
      <x:c r="AK149" s="81" t="str">
        <x:f>IF($E149="","",IF(AND($M149="yes",OR($N149="yes",$N149="review"),OR($O149="yes",$O149="review"),$P149="fit",OR($Q149="unique",$Q149="alias_review"),$R149&lt;&gt;"context_only"),"pass","review/block"))</x:f>
      </x:c>
      <x:c r="AL149" s="81" t="str">
        <x:f>IF($E149="","",IF($AK149="pass","eligible",IF(OR($M149="no",$O149="no",$P149="too_macro",$P149="too_micro",$P149="context_only",$Q149="duplicate_confirmed",$R149="context_only"),"not_eligible","review")))</x:f>
      </x:c>
      <x:c r="AM149" s="81" t="str">
        <x:f>IF($E149="","",IF($C149=0,"reentry_required",IF($C149&lt;=8,"non_competitive_inclusion","competitive_selection")))</x:f>
      </x:c>
      <x:c r="AN149" s="82" t="str">
        <x:f>IF($E149="","",AVERAGE($U149:$X149))</x:f>
      </x:c>
      <x:c r="AO149" s="82" t="str">
        <x:f>IF($E149="","",AVERAGE($S149:$T149))</x:f>
      </x:c>
      <x:c r="AP149" s="82" t="str">
        <x:f>IF($E149="","",($AF149*0.08)+($AG149*0.08)+($AH149*0.10))</x:f>
      </x:c>
      <x:c r="AQ149" s="82" t="str">
        <x:f>IF($E149="","",MAX(0,($AN149*0.30)+($Y149*0.20)+($Z149*0.15)+($AA149*0.15)+($AB149*0.10)+($AC149*0.10)+($AE149*0.05)-$AP149))</x:f>
      </x:c>
      <x:c r="AR149" s="81" t="str">
        <x:f>IF($E149="","",IF($AM149="competitive_selection",RANK.EQ($AQ149,$AQ$2:$AQ$201,0),""))</x:f>
      </x:c>
      <x:c r="AS149" s="81" t="str">
        <x:f>IF($E149="","",IF(AND($AM149="non_competitive_inclusion",$AL149="eligible"),"selected",""))</x:f>
      </x:c>
      <x:c r="AT149" s="81" t="str">
        <x:f>IF($E149="","",IF($AM149&lt;&gt;"competitive_selection","",IF(AND($AL149="eligible",$AR149&lt;=8),"selected","context/backlog")))</x:f>
      </x:c>
      <x:c r="AU149" s="81" t="str">
        <x:f>IF($E149="","",IF($AM149="reentry_required","not_selected_reentry",IF($AS149="selected","selected_for_runtime",IF($AT149="selected","selected_for_runtime",IF($AL149="review","manual_review","context_or_not_selected")))))</x:f>
      </x:c>
      <x:c r="AV149" s="81" t="str">
        <x:f>IF($E149="","",IF($AU149="selected_for_runtime",IF($AM149="competitive_selection",$AR149,COUNTIF($AU$2:AU149,"selected_for_runtime")),""))</x:f>
      </x:c>
      <x:c r="AW149" s="81" t="str">
        <x:f>IF($E149="","",IF($AU149="selected_for_runtime",IF($AD149&gt;=2,"base_40_plus_uncertainty_probes",IF($AE149&gt;=2,"base_40_plus_exploratory_probes","base_40_standard")),"no_runtime"))</x:f>
      </x:c>
      <x:c r="AX149" s="81" t="str">
        <x:f>IF($E149="","",IF($AU149&lt;&gt;"selected_for_runtime","none",IF($AE149&gt;=2,"exploratoria",IF($AQ149&gt;=2.2,"alta",IF($AQ149&gt;=1.2,"media","baja")))))</x:f>
      </x:c>
      <x:c r="AY149" s="81" t="str">
        <x:f>IF($E149="","",IF($AJ149=TRUE,"context_with_coverage_gap",IF($AI149="review","context_requires_confirmation","context_ready")))</x:f>
      </x:c>
      <x:c r="AZ149" s="81" t="str">
        <x:f>IF($E149="","",IF($AU149&lt;&gt;"selected_for_runtime","no",IF(OR($AY149="context_with_coverage_gap",$AX149="exploratoria"),"ready_with_flags","ready")))</x:f>
      </x:c>
      <x:c r="BA149" s="81" t="str"/>
      <x:c r="BB149" s="81" t="str"/>
      <x:c r="BC149" s="81" t="str"/>
      <x:c r="BD149" s="81" t="str"/>
      <x:c r="BE149" s="81" t="str"/>
    </x:row>
    <x:row r="150">
      <x:c r="A150" s="81" t="str"/>
      <x:c r="B150" s="81" t="str"/>
      <x:c r="C150" s="81" t="str"/>
      <x:c r="D150" s="81" t="str"/>
      <x:c r="E150" s="81" t="str"/>
      <x:c r="F150" s="81" t="str"/>
      <x:c r="G150" s="81" t="str"/>
      <x:c r="H150" s="81" t="str"/>
      <x:c r="I150" s="81" t="str"/>
      <x:c r="J150" s="81" t="str"/>
      <x:c r="K150" s="81" t="str"/>
      <x:c r="L150" s="81" t="str"/>
      <x:c r="M150" s="81" t="str"/>
      <x:c r="N150" s="81" t="str"/>
      <x:c r="O150" s="81" t="str"/>
      <x:c r="P150" s="81" t="str"/>
      <x:c r="Q150" s="81" t="str"/>
      <x:c r="R150" s="81" t="str"/>
      <x:c r="S150" s="82" t="str"/>
      <x:c r="T150" s="82" t="str"/>
      <x:c r="U150" s="82" t="str"/>
      <x:c r="V150" s="82" t="str"/>
      <x:c r="W150" s="82" t="str"/>
      <x:c r="X150" s="82" t="str"/>
      <x:c r="Y150" s="82" t="str"/>
      <x:c r="Z150" s="82" t="str"/>
      <x:c r="AA150" s="82" t="str"/>
      <x:c r="AB150" s="82" t="str"/>
      <x:c r="AC150" s="82" t="str"/>
      <x:c r="AD150" s="82" t="str"/>
      <x:c r="AE150" s="82" t="str"/>
      <x:c r="AF150" s="82" t="str"/>
      <x:c r="AG150" s="82" t="str"/>
      <x:c r="AH150" s="82" t="str"/>
      <x:c r="AI150" s="81" t="str"/>
      <x:c r="AJ150" s="81" t="str"/>
      <x:c r="AK150" s="81" t="str">
        <x:f>IF($E150="","",IF(AND($M150="yes",OR($N150="yes",$N150="review"),OR($O150="yes",$O150="review"),$P150="fit",OR($Q150="unique",$Q150="alias_review"),$R150&lt;&gt;"context_only"),"pass","review/block"))</x:f>
      </x:c>
      <x:c r="AL150" s="81" t="str">
        <x:f>IF($E150="","",IF($AK150="pass","eligible",IF(OR($M150="no",$O150="no",$P150="too_macro",$P150="too_micro",$P150="context_only",$Q150="duplicate_confirmed",$R150="context_only"),"not_eligible","review")))</x:f>
      </x:c>
      <x:c r="AM150" s="81" t="str">
        <x:f>IF($E150="","",IF($C150=0,"reentry_required",IF($C150&lt;=8,"non_competitive_inclusion","competitive_selection")))</x:f>
      </x:c>
      <x:c r="AN150" s="82" t="str">
        <x:f>IF($E150="","",AVERAGE($U150:$X150))</x:f>
      </x:c>
      <x:c r="AO150" s="82" t="str">
        <x:f>IF($E150="","",AVERAGE($S150:$T150))</x:f>
      </x:c>
      <x:c r="AP150" s="82" t="str">
        <x:f>IF($E150="","",($AF150*0.08)+($AG150*0.08)+($AH150*0.10))</x:f>
      </x:c>
      <x:c r="AQ150" s="82" t="str">
        <x:f>IF($E150="","",MAX(0,($AN150*0.30)+($Y150*0.20)+($Z150*0.15)+($AA150*0.15)+($AB150*0.10)+($AC150*0.10)+($AE150*0.05)-$AP150))</x:f>
      </x:c>
      <x:c r="AR150" s="81" t="str">
        <x:f>IF($E150="","",IF($AM150="competitive_selection",RANK.EQ($AQ150,$AQ$2:$AQ$201,0),""))</x:f>
      </x:c>
      <x:c r="AS150" s="81" t="str">
        <x:f>IF($E150="","",IF(AND($AM150="non_competitive_inclusion",$AL150="eligible"),"selected",""))</x:f>
      </x:c>
      <x:c r="AT150" s="81" t="str">
        <x:f>IF($E150="","",IF($AM150&lt;&gt;"competitive_selection","",IF(AND($AL150="eligible",$AR150&lt;=8),"selected","context/backlog")))</x:f>
      </x:c>
      <x:c r="AU150" s="81" t="str">
        <x:f>IF($E150="","",IF($AM150="reentry_required","not_selected_reentry",IF($AS150="selected","selected_for_runtime",IF($AT150="selected","selected_for_runtime",IF($AL150="review","manual_review","context_or_not_selected")))))</x:f>
      </x:c>
      <x:c r="AV150" s="81" t="str">
        <x:f>IF($E150="","",IF($AU150="selected_for_runtime",IF($AM150="competitive_selection",$AR150,COUNTIF($AU$2:AU150,"selected_for_runtime")),""))</x:f>
      </x:c>
      <x:c r="AW150" s="81" t="str">
        <x:f>IF($E150="","",IF($AU150="selected_for_runtime",IF($AD150&gt;=2,"base_40_plus_uncertainty_probes",IF($AE150&gt;=2,"base_40_plus_exploratory_probes","base_40_standard")),"no_runtime"))</x:f>
      </x:c>
      <x:c r="AX150" s="81" t="str">
        <x:f>IF($E150="","",IF($AU150&lt;&gt;"selected_for_runtime","none",IF($AE150&gt;=2,"exploratoria",IF($AQ150&gt;=2.2,"alta",IF($AQ150&gt;=1.2,"media","baja")))))</x:f>
      </x:c>
      <x:c r="AY150" s="81" t="str">
        <x:f>IF($E150="","",IF($AJ150=TRUE,"context_with_coverage_gap",IF($AI150="review","context_requires_confirmation","context_ready")))</x:f>
      </x:c>
      <x:c r="AZ150" s="81" t="str">
        <x:f>IF($E150="","",IF($AU150&lt;&gt;"selected_for_runtime","no",IF(OR($AY150="context_with_coverage_gap",$AX150="exploratoria"),"ready_with_flags","ready")))</x:f>
      </x:c>
      <x:c r="BA150" s="81" t="str"/>
      <x:c r="BB150" s="81" t="str"/>
      <x:c r="BC150" s="81" t="str"/>
      <x:c r="BD150" s="81" t="str"/>
      <x:c r="BE150" s="81" t="str"/>
    </x:row>
    <x:row r="151">
      <x:c r="A151" s="81" t="str"/>
      <x:c r="B151" s="81" t="str"/>
      <x:c r="C151" s="81" t="str"/>
      <x:c r="D151" s="81" t="str"/>
      <x:c r="E151" s="81" t="str"/>
      <x:c r="F151" s="81" t="str"/>
      <x:c r="G151" s="81" t="str"/>
      <x:c r="H151" s="81" t="str"/>
      <x:c r="I151" s="81" t="str"/>
      <x:c r="J151" s="81" t="str"/>
      <x:c r="K151" s="81" t="str"/>
      <x:c r="L151" s="81" t="str"/>
      <x:c r="M151" s="81" t="str"/>
      <x:c r="N151" s="81" t="str"/>
      <x:c r="O151" s="81" t="str"/>
      <x:c r="P151" s="81" t="str"/>
      <x:c r="Q151" s="81" t="str"/>
      <x:c r="R151" s="81" t="str"/>
      <x:c r="S151" s="82" t="str"/>
      <x:c r="T151" s="82" t="str"/>
      <x:c r="U151" s="82" t="str"/>
      <x:c r="V151" s="82" t="str"/>
      <x:c r="W151" s="82" t="str"/>
      <x:c r="X151" s="82" t="str"/>
      <x:c r="Y151" s="82" t="str"/>
      <x:c r="Z151" s="82" t="str"/>
      <x:c r="AA151" s="82" t="str"/>
      <x:c r="AB151" s="82" t="str"/>
      <x:c r="AC151" s="82" t="str"/>
      <x:c r="AD151" s="82" t="str"/>
      <x:c r="AE151" s="82" t="str"/>
      <x:c r="AF151" s="82" t="str"/>
      <x:c r="AG151" s="82" t="str"/>
      <x:c r="AH151" s="82" t="str"/>
      <x:c r="AI151" s="81" t="str"/>
      <x:c r="AJ151" s="81" t="str"/>
      <x:c r="AK151" s="81" t="str">
        <x:f>IF($E151="","",IF(AND($M151="yes",OR($N151="yes",$N151="review"),OR($O151="yes",$O151="review"),$P151="fit",OR($Q151="unique",$Q151="alias_review"),$R151&lt;&gt;"context_only"),"pass","review/block"))</x:f>
      </x:c>
      <x:c r="AL151" s="81" t="str">
        <x:f>IF($E151="","",IF($AK151="pass","eligible",IF(OR($M151="no",$O151="no",$P151="too_macro",$P151="too_micro",$P151="context_only",$Q151="duplicate_confirmed",$R151="context_only"),"not_eligible","review")))</x:f>
      </x:c>
      <x:c r="AM151" s="81" t="str">
        <x:f>IF($E151="","",IF($C151=0,"reentry_required",IF($C151&lt;=8,"non_competitive_inclusion","competitive_selection")))</x:f>
      </x:c>
      <x:c r="AN151" s="82" t="str">
        <x:f>IF($E151="","",AVERAGE($U151:$X151))</x:f>
      </x:c>
      <x:c r="AO151" s="82" t="str">
        <x:f>IF($E151="","",AVERAGE($S151:$T151))</x:f>
      </x:c>
      <x:c r="AP151" s="82" t="str">
        <x:f>IF($E151="","",($AF151*0.08)+($AG151*0.08)+($AH151*0.10))</x:f>
      </x:c>
      <x:c r="AQ151" s="82" t="str">
        <x:f>IF($E151="","",MAX(0,($AN151*0.30)+($Y151*0.20)+($Z151*0.15)+($AA151*0.15)+($AB151*0.10)+($AC151*0.10)+($AE151*0.05)-$AP151))</x:f>
      </x:c>
      <x:c r="AR151" s="81" t="str">
        <x:f>IF($E151="","",IF($AM151="competitive_selection",RANK.EQ($AQ151,$AQ$2:$AQ$201,0),""))</x:f>
      </x:c>
      <x:c r="AS151" s="81" t="str">
        <x:f>IF($E151="","",IF(AND($AM151="non_competitive_inclusion",$AL151="eligible"),"selected",""))</x:f>
      </x:c>
      <x:c r="AT151" s="81" t="str">
        <x:f>IF($E151="","",IF($AM151&lt;&gt;"competitive_selection","",IF(AND($AL151="eligible",$AR151&lt;=8),"selected","context/backlog")))</x:f>
      </x:c>
      <x:c r="AU151" s="81" t="str">
        <x:f>IF($E151="","",IF($AM151="reentry_required","not_selected_reentry",IF($AS151="selected","selected_for_runtime",IF($AT151="selected","selected_for_runtime",IF($AL151="review","manual_review","context_or_not_selected")))))</x:f>
      </x:c>
      <x:c r="AV151" s="81" t="str">
        <x:f>IF($E151="","",IF($AU151="selected_for_runtime",IF($AM151="competitive_selection",$AR151,COUNTIF($AU$2:AU151,"selected_for_runtime")),""))</x:f>
      </x:c>
      <x:c r="AW151" s="81" t="str">
        <x:f>IF($E151="","",IF($AU151="selected_for_runtime",IF($AD151&gt;=2,"base_40_plus_uncertainty_probes",IF($AE151&gt;=2,"base_40_plus_exploratory_probes","base_40_standard")),"no_runtime"))</x:f>
      </x:c>
      <x:c r="AX151" s="81" t="str">
        <x:f>IF($E151="","",IF($AU151&lt;&gt;"selected_for_runtime","none",IF($AE151&gt;=2,"exploratoria",IF($AQ151&gt;=2.2,"alta",IF($AQ151&gt;=1.2,"media","baja")))))</x:f>
      </x:c>
      <x:c r="AY151" s="81" t="str">
        <x:f>IF($E151="","",IF($AJ151=TRUE,"context_with_coverage_gap",IF($AI151="review","context_requires_confirmation","context_ready")))</x:f>
      </x:c>
      <x:c r="AZ151" s="81" t="str">
        <x:f>IF($E151="","",IF($AU151&lt;&gt;"selected_for_runtime","no",IF(OR($AY151="context_with_coverage_gap",$AX151="exploratoria"),"ready_with_flags","ready")))</x:f>
      </x:c>
      <x:c r="BA151" s="81" t="str"/>
      <x:c r="BB151" s="81" t="str"/>
      <x:c r="BC151" s="81" t="str"/>
      <x:c r="BD151" s="81" t="str"/>
      <x:c r="BE151" s="81" t="str"/>
    </x:row>
    <x:row r="152">
      <x:c r="A152" s="81" t="str"/>
      <x:c r="B152" s="81" t="str"/>
      <x:c r="C152" s="81" t="str"/>
      <x:c r="D152" s="81" t="str"/>
      <x:c r="E152" s="81" t="str"/>
      <x:c r="F152" s="81" t="str"/>
      <x:c r="G152" s="81" t="str"/>
      <x:c r="H152" s="81" t="str"/>
      <x:c r="I152" s="81" t="str"/>
      <x:c r="J152" s="81" t="str"/>
      <x:c r="K152" s="81" t="str"/>
      <x:c r="L152" s="81" t="str"/>
      <x:c r="M152" s="81" t="str"/>
      <x:c r="N152" s="81" t="str"/>
      <x:c r="O152" s="81" t="str"/>
      <x:c r="P152" s="81" t="str"/>
      <x:c r="Q152" s="81" t="str"/>
      <x:c r="R152" s="81" t="str"/>
      <x:c r="S152" s="82" t="str"/>
      <x:c r="T152" s="82" t="str"/>
      <x:c r="U152" s="82" t="str"/>
      <x:c r="V152" s="82" t="str"/>
      <x:c r="W152" s="82" t="str"/>
      <x:c r="X152" s="82" t="str"/>
      <x:c r="Y152" s="82" t="str"/>
      <x:c r="Z152" s="82" t="str"/>
      <x:c r="AA152" s="82" t="str"/>
      <x:c r="AB152" s="82" t="str"/>
      <x:c r="AC152" s="82" t="str"/>
      <x:c r="AD152" s="82" t="str"/>
      <x:c r="AE152" s="82" t="str"/>
      <x:c r="AF152" s="82" t="str"/>
      <x:c r="AG152" s="82" t="str"/>
      <x:c r="AH152" s="82" t="str"/>
      <x:c r="AI152" s="81" t="str"/>
      <x:c r="AJ152" s="81" t="str"/>
      <x:c r="AK152" s="81" t="str">
        <x:f>IF($E152="","",IF(AND($M152="yes",OR($N152="yes",$N152="review"),OR($O152="yes",$O152="review"),$P152="fit",OR($Q152="unique",$Q152="alias_review"),$R152&lt;&gt;"context_only"),"pass","review/block"))</x:f>
      </x:c>
      <x:c r="AL152" s="81" t="str">
        <x:f>IF($E152="","",IF($AK152="pass","eligible",IF(OR($M152="no",$O152="no",$P152="too_macro",$P152="too_micro",$P152="context_only",$Q152="duplicate_confirmed",$R152="context_only"),"not_eligible","review")))</x:f>
      </x:c>
      <x:c r="AM152" s="81" t="str">
        <x:f>IF($E152="","",IF($C152=0,"reentry_required",IF($C152&lt;=8,"non_competitive_inclusion","competitive_selection")))</x:f>
      </x:c>
      <x:c r="AN152" s="82" t="str">
        <x:f>IF($E152="","",AVERAGE($U152:$X152))</x:f>
      </x:c>
      <x:c r="AO152" s="82" t="str">
        <x:f>IF($E152="","",AVERAGE($S152:$T152))</x:f>
      </x:c>
      <x:c r="AP152" s="82" t="str">
        <x:f>IF($E152="","",($AF152*0.08)+($AG152*0.08)+($AH152*0.10))</x:f>
      </x:c>
      <x:c r="AQ152" s="82" t="str">
        <x:f>IF($E152="","",MAX(0,($AN152*0.30)+($Y152*0.20)+($Z152*0.15)+($AA152*0.15)+($AB152*0.10)+($AC152*0.10)+($AE152*0.05)-$AP152))</x:f>
      </x:c>
      <x:c r="AR152" s="81" t="str">
        <x:f>IF($E152="","",IF($AM152="competitive_selection",RANK.EQ($AQ152,$AQ$2:$AQ$201,0),""))</x:f>
      </x:c>
      <x:c r="AS152" s="81" t="str">
        <x:f>IF($E152="","",IF(AND($AM152="non_competitive_inclusion",$AL152="eligible"),"selected",""))</x:f>
      </x:c>
      <x:c r="AT152" s="81" t="str">
        <x:f>IF($E152="","",IF($AM152&lt;&gt;"competitive_selection","",IF(AND($AL152="eligible",$AR152&lt;=8),"selected","context/backlog")))</x:f>
      </x:c>
      <x:c r="AU152" s="81" t="str">
        <x:f>IF($E152="","",IF($AM152="reentry_required","not_selected_reentry",IF($AS152="selected","selected_for_runtime",IF($AT152="selected","selected_for_runtime",IF($AL152="review","manual_review","context_or_not_selected")))))</x:f>
      </x:c>
      <x:c r="AV152" s="81" t="str">
        <x:f>IF($E152="","",IF($AU152="selected_for_runtime",IF($AM152="competitive_selection",$AR152,COUNTIF($AU$2:AU152,"selected_for_runtime")),""))</x:f>
      </x:c>
      <x:c r="AW152" s="81" t="str">
        <x:f>IF($E152="","",IF($AU152="selected_for_runtime",IF($AD152&gt;=2,"base_40_plus_uncertainty_probes",IF($AE152&gt;=2,"base_40_plus_exploratory_probes","base_40_standard")),"no_runtime"))</x:f>
      </x:c>
      <x:c r="AX152" s="81" t="str">
        <x:f>IF($E152="","",IF($AU152&lt;&gt;"selected_for_runtime","none",IF($AE152&gt;=2,"exploratoria",IF($AQ152&gt;=2.2,"alta",IF($AQ152&gt;=1.2,"media","baja")))))</x:f>
      </x:c>
      <x:c r="AY152" s="81" t="str">
        <x:f>IF($E152="","",IF($AJ152=TRUE,"context_with_coverage_gap",IF($AI152="review","context_requires_confirmation","context_ready")))</x:f>
      </x:c>
      <x:c r="AZ152" s="81" t="str">
        <x:f>IF($E152="","",IF($AU152&lt;&gt;"selected_for_runtime","no",IF(OR($AY152="context_with_coverage_gap",$AX152="exploratoria"),"ready_with_flags","ready")))</x:f>
      </x:c>
      <x:c r="BA152" s="81" t="str"/>
      <x:c r="BB152" s="81" t="str"/>
      <x:c r="BC152" s="81" t="str"/>
      <x:c r="BD152" s="81" t="str"/>
      <x:c r="BE152" s="81" t="str"/>
    </x:row>
    <x:row r="153">
      <x:c r="A153" s="81" t="str"/>
      <x:c r="B153" s="81" t="str"/>
      <x:c r="C153" s="81" t="str"/>
      <x:c r="D153" s="81" t="str"/>
      <x:c r="E153" s="81" t="str"/>
      <x:c r="F153" s="81" t="str"/>
      <x:c r="G153" s="81" t="str"/>
      <x:c r="H153" s="81" t="str"/>
      <x:c r="I153" s="81" t="str"/>
      <x:c r="J153" s="81" t="str"/>
      <x:c r="K153" s="81" t="str"/>
      <x:c r="L153" s="81" t="str"/>
      <x:c r="M153" s="81" t="str"/>
      <x:c r="N153" s="81" t="str"/>
      <x:c r="O153" s="81" t="str"/>
      <x:c r="P153" s="81" t="str"/>
      <x:c r="Q153" s="81" t="str"/>
      <x:c r="R153" s="81" t="str"/>
      <x:c r="S153" s="82" t="str"/>
      <x:c r="T153" s="82" t="str"/>
      <x:c r="U153" s="82" t="str"/>
      <x:c r="V153" s="82" t="str"/>
      <x:c r="W153" s="82" t="str"/>
      <x:c r="X153" s="82" t="str"/>
      <x:c r="Y153" s="82" t="str"/>
      <x:c r="Z153" s="82" t="str"/>
      <x:c r="AA153" s="82" t="str"/>
      <x:c r="AB153" s="82" t="str"/>
      <x:c r="AC153" s="82" t="str"/>
      <x:c r="AD153" s="82" t="str"/>
      <x:c r="AE153" s="82" t="str"/>
      <x:c r="AF153" s="82" t="str"/>
      <x:c r="AG153" s="82" t="str"/>
      <x:c r="AH153" s="82" t="str"/>
      <x:c r="AI153" s="81" t="str"/>
      <x:c r="AJ153" s="81" t="str"/>
      <x:c r="AK153" s="81" t="str">
        <x:f>IF($E153="","",IF(AND($M153="yes",OR($N153="yes",$N153="review"),OR($O153="yes",$O153="review"),$P153="fit",OR($Q153="unique",$Q153="alias_review"),$R153&lt;&gt;"context_only"),"pass","review/block"))</x:f>
      </x:c>
      <x:c r="AL153" s="81" t="str">
        <x:f>IF($E153="","",IF($AK153="pass","eligible",IF(OR($M153="no",$O153="no",$P153="too_macro",$P153="too_micro",$P153="context_only",$Q153="duplicate_confirmed",$R153="context_only"),"not_eligible","review")))</x:f>
      </x:c>
      <x:c r="AM153" s="81" t="str">
        <x:f>IF($E153="","",IF($C153=0,"reentry_required",IF($C153&lt;=8,"non_competitive_inclusion","competitive_selection")))</x:f>
      </x:c>
      <x:c r="AN153" s="82" t="str">
        <x:f>IF($E153="","",AVERAGE($U153:$X153))</x:f>
      </x:c>
      <x:c r="AO153" s="82" t="str">
        <x:f>IF($E153="","",AVERAGE($S153:$T153))</x:f>
      </x:c>
      <x:c r="AP153" s="82" t="str">
        <x:f>IF($E153="","",($AF153*0.08)+($AG153*0.08)+($AH153*0.10))</x:f>
      </x:c>
      <x:c r="AQ153" s="82" t="str">
        <x:f>IF($E153="","",MAX(0,($AN153*0.30)+($Y153*0.20)+($Z153*0.15)+($AA153*0.15)+($AB153*0.10)+($AC153*0.10)+($AE153*0.05)-$AP153))</x:f>
      </x:c>
      <x:c r="AR153" s="81" t="str">
        <x:f>IF($E153="","",IF($AM153="competitive_selection",RANK.EQ($AQ153,$AQ$2:$AQ$201,0),""))</x:f>
      </x:c>
      <x:c r="AS153" s="81" t="str">
        <x:f>IF($E153="","",IF(AND($AM153="non_competitive_inclusion",$AL153="eligible"),"selected",""))</x:f>
      </x:c>
      <x:c r="AT153" s="81" t="str">
        <x:f>IF($E153="","",IF($AM153&lt;&gt;"competitive_selection","",IF(AND($AL153="eligible",$AR153&lt;=8),"selected","context/backlog")))</x:f>
      </x:c>
      <x:c r="AU153" s="81" t="str">
        <x:f>IF($E153="","",IF($AM153="reentry_required","not_selected_reentry",IF($AS153="selected","selected_for_runtime",IF($AT153="selected","selected_for_runtime",IF($AL153="review","manual_review","context_or_not_selected")))))</x:f>
      </x:c>
      <x:c r="AV153" s="81" t="str">
        <x:f>IF($E153="","",IF($AU153="selected_for_runtime",IF($AM153="competitive_selection",$AR153,COUNTIF($AU$2:AU153,"selected_for_runtime")),""))</x:f>
      </x:c>
      <x:c r="AW153" s="81" t="str">
        <x:f>IF($E153="","",IF($AU153="selected_for_runtime",IF($AD153&gt;=2,"base_40_plus_uncertainty_probes",IF($AE153&gt;=2,"base_40_plus_exploratory_probes","base_40_standard")),"no_runtime"))</x:f>
      </x:c>
      <x:c r="AX153" s="81" t="str">
        <x:f>IF($E153="","",IF($AU153&lt;&gt;"selected_for_runtime","none",IF($AE153&gt;=2,"exploratoria",IF($AQ153&gt;=2.2,"alta",IF($AQ153&gt;=1.2,"media","baja")))))</x:f>
      </x:c>
      <x:c r="AY153" s="81" t="str">
        <x:f>IF($E153="","",IF($AJ153=TRUE,"context_with_coverage_gap",IF($AI153="review","context_requires_confirmation","context_ready")))</x:f>
      </x:c>
      <x:c r="AZ153" s="81" t="str">
        <x:f>IF($E153="","",IF($AU153&lt;&gt;"selected_for_runtime","no",IF(OR($AY153="context_with_coverage_gap",$AX153="exploratoria"),"ready_with_flags","ready")))</x:f>
      </x:c>
      <x:c r="BA153" s="81" t="str"/>
      <x:c r="BB153" s="81" t="str"/>
      <x:c r="BC153" s="81" t="str"/>
      <x:c r="BD153" s="81" t="str"/>
      <x:c r="BE153" s="81" t="str"/>
    </x:row>
    <x:row r="154">
      <x:c r="A154" s="81" t="str"/>
      <x:c r="B154" s="81" t="str"/>
      <x:c r="C154" s="81" t="str"/>
      <x:c r="D154" s="81" t="str"/>
      <x:c r="E154" s="81" t="str"/>
      <x:c r="F154" s="81" t="str"/>
      <x:c r="G154" s="81" t="str"/>
      <x:c r="H154" s="81" t="str"/>
      <x:c r="I154" s="81" t="str"/>
      <x:c r="J154" s="81" t="str"/>
      <x:c r="K154" s="81" t="str"/>
      <x:c r="L154" s="81" t="str"/>
      <x:c r="M154" s="81" t="str"/>
      <x:c r="N154" s="81" t="str"/>
      <x:c r="O154" s="81" t="str"/>
      <x:c r="P154" s="81" t="str"/>
      <x:c r="Q154" s="81" t="str"/>
      <x:c r="R154" s="81" t="str"/>
      <x:c r="S154" s="82" t="str"/>
      <x:c r="T154" s="82" t="str"/>
      <x:c r="U154" s="82" t="str"/>
      <x:c r="V154" s="82" t="str"/>
      <x:c r="W154" s="82" t="str"/>
      <x:c r="X154" s="82" t="str"/>
      <x:c r="Y154" s="82" t="str"/>
      <x:c r="Z154" s="82" t="str"/>
      <x:c r="AA154" s="82" t="str"/>
      <x:c r="AB154" s="82" t="str"/>
      <x:c r="AC154" s="82" t="str"/>
      <x:c r="AD154" s="82" t="str"/>
      <x:c r="AE154" s="82" t="str"/>
      <x:c r="AF154" s="82" t="str"/>
      <x:c r="AG154" s="82" t="str"/>
      <x:c r="AH154" s="82" t="str"/>
      <x:c r="AI154" s="81" t="str"/>
      <x:c r="AJ154" s="81" t="str"/>
      <x:c r="AK154" s="81" t="str">
        <x:f>IF($E154="","",IF(AND($M154="yes",OR($N154="yes",$N154="review"),OR($O154="yes",$O154="review"),$P154="fit",OR($Q154="unique",$Q154="alias_review"),$R154&lt;&gt;"context_only"),"pass","review/block"))</x:f>
      </x:c>
      <x:c r="AL154" s="81" t="str">
        <x:f>IF($E154="","",IF($AK154="pass","eligible",IF(OR($M154="no",$O154="no",$P154="too_macro",$P154="too_micro",$P154="context_only",$Q154="duplicate_confirmed",$R154="context_only"),"not_eligible","review")))</x:f>
      </x:c>
      <x:c r="AM154" s="81" t="str">
        <x:f>IF($E154="","",IF($C154=0,"reentry_required",IF($C154&lt;=8,"non_competitive_inclusion","competitive_selection")))</x:f>
      </x:c>
      <x:c r="AN154" s="82" t="str">
        <x:f>IF($E154="","",AVERAGE($U154:$X154))</x:f>
      </x:c>
      <x:c r="AO154" s="82" t="str">
        <x:f>IF($E154="","",AVERAGE($S154:$T154))</x:f>
      </x:c>
      <x:c r="AP154" s="82" t="str">
        <x:f>IF($E154="","",($AF154*0.08)+($AG154*0.08)+($AH154*0.10))</x:f>
      </x:c>
      <x:c r="AQ154" s="82" t="str">
        <x:f>IF($E154="","",MAX(0,($AN154*0.30)+($Y154*0.20)+($Z154*0.15)+($AA154*0.15)+($AB154*0.10)+($AC154*0.10)+($AE154*0.05)-$AP154))</x:f>
      </x:c>
      <x:c r="AR154" s="81" t="str">
        <x:f>IF($E154="","",IF($AM154="competitive_selection",RANK.EQ($AQ154,$AQ$2:$AQ$201,0),""))</x:f>
      </x:c>
      <x:c r="AS154" s="81" t="str">
        <x:f>IF($E154="","",IF(AND($AM154="non_competitive_inclusion",$AL154="eligible"),"selected",""))</x:f>
      </x:c>
      <x:c r="AT154" s="81" t="str">
        <x:f>IF($E154="","",IF($AM154&lt;&gt;"competitive_selection","",IF(AND($AL154="eligible",$AR154&lt;=8),"selected","context/backlog")))</x:f>
      </x:c>
      <x:c r="AU154" s="81" t="str">
        <x:f>IF($E154="","",IF($AM154="reentry_required","not_selected_reentry",IF($AS154="selected","selected_for_runtime",IF($AT154="selected","selected_for_runtime",IF($AL154="review","manual_review","context_or_not_selected")))))</x:f>
      </x:c>
      <x:c r="AV154" s="81" t="str">
        <x:f>IF($E154="","",IF($AU154="selected_for_runtime",IF($AM154="competitive_selection",$AR154,COUNTIF($AU$2:AU154,"selected_for_runtime")),""))</x:f>
      </x:c>
      <x:c r="AW154" s="81" t="str">
        <x:f>IF($E154="","",IF($AU154="selected_for_runtime",IF($AD154&gt;=2,"base_40_plus_uncertainty_probes",IF($AE154&gt;=2,"base_40_plus_exploratory_probes","base_40_standard")),"no_runtime"))</x:f>
      </x:c>
      <x:c r="AX154" s="81" t="str">
        <x:f>IF($E154="","",IF($AU154&lt;&gt;"selected_for_runtime","none",IF($AE154&gt;=2,"exploratoria",IF($AQ154&gt;=2.2,"alta",IF($AQ154&gt;=1.2,"media","baja")))))</x:f>
      </x:c>
      <x:c r="AY154" s="81" t="str">
        <x:f>IF($E154="","",IF($AJ154=TRUE,"context_with_coverage_gap",IF($AI154="review","context_requires_confirmation","context_ready")))</x:f>
      </x:c>
      <x:c r="AZ154" s="81" t="str">
        <x:f>IF($E154="","",IF($AU154&lt;&gt;"selected_for_runtime","no",IF(OR($AY154="context_with_coverage_gap",$AX154="exploratoria"),"ready_with_flags","ready")))</x:f>
      </x:c>
      <x:c r="BA154" s="81" t="str"/>
      <x:c r="BB154" s="81" t="str"/>
      <x:c r="BC154" s="81" t="str"/>
      <x:c r="BD154" s="81" t="str"/>
      <x:c r="BE154" s="81" t="str"/>
    </x:row>
    <x:row r="155">
      <x:c r="A155" s="81" t="str"/>
      <x:c r="B155" s="81" t="str"/>
      <x:c r="C155" s="81" t="str"/>
      <x:c r="D155" s="81" t="str"/>
      <x:c r="E155" s="81" t="str"/>
      <x:c r="F155" s="81" t="str"/>
      <x:c r="G155" s="81" t="str"/>
      <x:c r="H155" s="81" t="str"/>
      <x:c r="I155" s="81" t="str"/>
      <x:c r="J155" s="81" t="str"/>
      <x:c r="K155" s="81" t="str"/>
      <x:c r="L155" s="81" t="str"/>
      <x:c r="M155" s="81" t="str"/>
      <x:c r="N155" s="81" t="str"/>
      <x:c r="O155" s="81" t="str"/>
      <x:c r="P155" s="81" t="str"/>
      <x:c r="Q155" s="81" t="str"/>
      <x:c r="R155" s="81" t="str"/>
      <x:c r="S155" s="82" t="str"/>
      <x:c r="T155" s="82" t="str"/>
      <x:c r="U155" s="82" t="str"/>
      <x:c r="V155" s="82" t="str"/>
      <x:c r="W155" s="82" t="str"/>
      <x:c r="X155" s="82" t="str"/>
      <x:c r="Y155" s="82" t="str"/>
      <x:c r="Z155" s="82" t="str"/>
      <x:c r="AA155" s="82" t="str"/>
      <x:c r="AB155" s="82" t="str"/>
      <x:c r="AC155" s="82" t="str"/>
      <x:c r="AD155" s="82" t="str"/>
      <x:c r="AE155" s="82" t="str"/>
      <x:c r="AF155" s="82" t="str"/>
      <x:c r="AG155" s="82" t="str"/>
      <x:c r="AH155" s="82" t="str"/>
      <x:c r="AI155" s="81" t="str"/>
      <x:c r="AJ155" s="81" t="str"/>
      <x:c r="AK155" s="81" t="str">
        <x:f>IF($E155="","",IF(AND($M155="yes",OR($N155="yes",$N155="review"),OR($O155="yes",$O155="review"),$P155="fit",OR($Q155="unique",$Q155="alias_review"),$R155&lt;&gt;"context_only"),"pass","review/block"))</x:f>
      </x:c>
      <x:c r="AL155" s="81" t="str">
        <x:f>IF($E155="","",IF($AK155="pass","eligible",IF(OR($M155="no",$O155="no",$P155="too_macro",$P155="too_micro",$P155="context_only",$Q155="duplicate_confirmed",$R155="context_only"),"not_eligible","review")))</x:f>
      </x:c>
      <x:c r="AM155" s="81" t="str">
        <x:f>IF($E155="","",IF($C155=0,"reentry_required",IF($C155&lt;=8,"non_competitive_inclusion","competitive_selection")))</x:f>
      </x:c>
      <x:c r="AN155" s="82" t="str">
        <x:f>IF($E155="","",AVERAGE($U155:$X155))</x:f>
      </x:c>
      <x:c r="AO155" s="82" t="str">
        <x:f>IF($E155="","",AVERAGE($S155:$T155))</x:f>
      </x:c>
      <x:c r="AP155" s="82" t="str">
        <x:f>IF($E155="","",($AF155*0.08)+($AG155*0.08)+($AH155*0.10))</x:f>
      </x:c>
      <x:c r="AQ155" s="82" t="str">
        <x:f>IF($E155="","",MAX(0,($AN155*0.30)+($Y155*0.20)+($Z155*0.15)+($AA155*0.15)+($AB155*0.10)+($AC155*0.10)+($AE155*0.05)-$AP155))</x:f>
      </x:c>
      <x:c r="AR155" s="81" t="str">
        <x:f>IF($E155="","",IF($AM155="competitive_selection",RANK.EQ($AQ155,$AQ$2:$AQ$201,0),""))</x:f>
      </x:c>
      <x:c r="AS155" s="81" t="str">
        <x:f>IF($E155="","",IF(AND($AM155="non_competitive_inclusion",$AL155="eligible"),"selected",""))</x:f>
      </x:c>
      <x:c r="AT155" s="81" t="str">
        <x:f>IF($E155="","",IF($AM155&lt;&gt;"competitive_selection","",IF(AND($AL155="eligible",$AR155&lt;=8),"selected","context/backlog")))</x:f>
      </x:c>
      <x:c r="AU155" s="81" t="str">
        <x:f>IF($E155="","",IF($AM155="reentry_required","not_selected_reentry",IF($AS155="selected","selected_for_runtime",IF($AT155="selected","selected_for_runtime",IF($AL155="review","manual_review","context_or_not_selected")))))</x:f>
      </x:c>
      <x:c r="AV155" s="81" t="str">
        <x:f>IF($E155="","",IF($AU155="selected_for_runtime",IF($AM155="competitive_selection",$AR155,COUNTIF($AU$2:AU155,"selected_for_runtime")),""))</x:f>
      </x:c>
      <x:c r="AW155" s="81" t="str">
        <x:f>IF($E155="","",IF($AU155="selected_for_runtime",IF($AD155&gt;=2,"base_40_plus_uncertainty_probes",IF($AE155&gt;=2,"base_40_plus_exploratory_probes","base_40_standard")),"no_runtime"))</x:f>
      </x:c>
      <x:c r="AX155" s="81" t="str">
        <x:f>IF($E155="","",IF($AU155&lt;&gt;"selected_for_runtime","none",IF($AE155&gt;=2,"exploratoria",IF($AQ155&gt;=2.2,"alta",IF($AQ155&gt;=1.2,"media","baja")))))</x:f>
      </x:c>
      <x:c r="AY155" s="81" t="str">
        <x:f>IF($E155="","",IF($AJ155=TRUE,"context_with_coverage_gap",IF($AI155="review","context_requires_confirmation","context_ready")))</x:f>
      </x:c>
      <x:c r="AZ155" s="81" t="str">
        <x:f>IF($E155="","",IF($AU155&lt;&gt;"selected_for_runtime","no",IF(OR($AY155="context_with_coverage_gap",$AX155="exploratoria"),"ready_with_flags","ready")))</x:f>
      </x:c>
      <x:c r="BA155" s="81" t="str"/>
      <x:c r="BB155" s="81" t="str"/>
      <x:c r="BC155" s="81" t="str"/>
      <x:c r="BD155" s="81" t="str"/>
      <x:c r="BE155" s="81" t="str"/>
    </x:row>
    <x:row r="156">
      <x:c r="A156" s="81" t="str"/>
      <x:c r="B156" s="81" t="str"/>
      <x:c r="C156" s="81" t="str"/>
      <x:c r="D156" s="81" t="str"/>
      <x:c r="E156" s="81" t="str"/>
      <x:c r="F156" s="81" t="str"/>
      <x:c r="G156" s="81" t="str"/>
      <x:c r="H156" s="81" t="str"/>
      <x:c r="I156" s="81" t="str"/>
      <x:c r="J156" s="81" t="str"/>
      <x:c r="K156" s="81" t="str"/>
      <x:c r="L156" s="81" t="str"/>
      <x:c r="M156" s="81" t="str"/>
      <x:c r="N156" s="81" t="str"/>
      <x:c r="O156" s="81" t="str"/>
      <x:c r="P156" s="81" t="str"/>
      <x:c r="Q156" s="81" t="str"/>
      <x:c r="R156" s="81" t="str"/>
      <x:c r="S156" s="82" t="str"/>
      <x:c r="T156" s="82" t="str"/>
      <x:c r="U156" s="82" t="str"/>
      <x:c r="V156" s="82" t="str"/>
      <x:c r="W156" s="82" t="str"/>
      <x:c r="X156" s="82" t="str"/>
      <x:c r="Y156" s="82" t="str"/>
      <x:c r="Z156" s="82" t="str"/>
      <x:c r="AA156" s="82" t="str"/>
      <x:c r="AB156" s="82" t="str"/>
      <x:c r="AC156" s="82" t="str"/>
      <x:c r="AD156" s="82" t="str"/>
      <x:c r="AE156" s="82" t="str"/>
      <x:c r="AF156" s="82" t="str"/>
      <x:c r="AG156" s="82" t="str"/>
      <x:c r="AH156" s="82" t="str"/>
      <x:c r="AI156" s="81" t="str"/>
      <x:c r="AJ156" s="81" t="str"/>
      <x:c r="AK156" s="81" t="str">
        <x:f>IF($E156="","",IF(AND($M156="yes",OR($N156="yes",$N156="review"),OR($O156="yes",$O156="review"),$P156="fit",OR($Q156="unique",$Q156="alias_review"),$R156&lt;&gt;"context_only"),"pass","review/block"))</x:f>
      </x:c>
      <x:c r="AL156" s="81" t="str">
        <x:f>IF($E156="","",IF($AK156="pass","eligible",IF(OR($M156="no",$O156="no",$P156="too_macro",$P156="too_micro",$P156="context_only",$Q156="duplicate_confirmed",$R156="context_only"),"not_eligible","review")))</x:f>
      </x:c>
      <x:c r="AM156" s="81" t="str">
        <x:f>IF($E156="","",IF($C156=0,"reentry_required",IF($C156&lt;=8,"non_competitive_inclusion","competitive_selection")))</x:f>
      </x:c>
      <x:c r="AN156" s="82" t="str">
        <x:f>IF($E156="","",AVERAGE($U156:$X156))</x:f>
      </x:c>
      <x:c r="AO156" s="82" t="str">
        <x:f>IF($E156="","",AVERAGE($S156:$T156))</x:f>
      </x:c>
      <x:c r="AP156" s="82" t="str">
        <x:f>IF($E156="","",($AF156*0.08)+($AG156*0.08)+($AH156*0.10))</x:f>
      </x:c>
      <x:c r="AQ156" s="82" t="str">
        <x:f>IF($E156="","",MAX(0,($AN156*0.30)+($Y156*0.20)+($Z156*0.15)+($AA156*0.15)+($AB156*0.10)+($AC156*0.10)+($AE156*0.05)-$AP156))</x:f>
      </x:c>
      <x:c r="AR156" s="81" t="str">
        <x:f>IF($E156="","",IF($AM156="competitive_selection",RANK.EQ($AQ156,$AQ$2:$AQ$201,0),""))</x:f>
      </x:c>
      <x:c r="AS156" s="81" t="str">
        <x:f>IF($E156="","",IF(AND($AM156="non_competitive_inclusion",$AL156="eligible"),"selected",""))</x:f>
      </x:c>
      <x:c r="AT156" s="81" t="str">
        <x:f>IF($E156="","",IF($AM156&lt;&gt;"competitive_selection","",IF(AND($AL156="eligible",$AR156&lt;=8),"selected","context/backlog")))</x:f>
      </x:c>
      <x:c r="AU156" s="81" t="str">
        <x:f>IF($E156="","",IF($AM156="reentry_required","not_selected_reentry",IF($AS156="selected","selected_for_runtime",IF($AT156="selected","selected_for_runtime",IF($AL156="review","manual_review","context_or_not_selected")))))</x:f>
      </x:c>
      <x:c r="AV156" s="81" t="str">
        <x:f>IF($E156="","",IF($AU156="selected_for_runtime",IF($AM156="competitive_selection",$AR156,COUNTIF($AU$2:AU156,"selected_for_runtime")),""))</x:f>
      </x:c>
      <x:c r="AW156" s="81" t="str">
        <x:f>IF($E156="","",IF($AU156="selected_for_runtime",IF($AD156&gt;=2,"base_40_plus_uncertainty_probes",IF($AE156&gt;=2,"base_40_plus_exploratory_probes","base_40_standard")),"no_runtime"))</x:f>
      </x:c>
      <x:c r="AX156" s="81" t="str">
        <x:f>IF($E156="","",IF($AU156&lt;&gt;"selected_for_runtime","none",IF($AE156&gt;=2,"exploratoria",IF($AQ156&gt;=2.2,"alta",IF($AQ156&gt;=1.2,"media","baja")))))</x:f>
      </x:c>
      <x:c r="AY156" s="81" t="str">
        <x:f>IF($E156="","",IF($AJ156=TRUE,"context_with_coverage_gap",IF($AI156="review","context_requires_confirmation","context_ready")))</x:f>
      </x:c>
      <x:c r="AZ156" s="81" t="str">
        <x:f>IF($E156="","",IF($AU156&lt;&gt;"selected_for_runtime","no",IF(OR($AY156="context_with_coverage_gap",$AX156="exploratoria"),"ready_with_flags","ready")))</x:f>
      </x:c>
      <x:c r="BA156" s="81" t="str"/>
      <x:c r="BB156" s="81" t="str"/>
      <x:c r="BC156" s="81" t="str"/>
      <x:c r="BD156" s="81" t="str"/>
      <x:c r="BE156" s="81" t="str"/>
    </x:row>
    <x:row r="157">
      <x:c r="A157" s="81" t="str"/>
      <x:c r="B157" s="81" t="str"/>
      <x:c r="C157" s="81" t="str"/>
      <x:c r="D157" s="81" t="str"/>
      <x:c r="E157" s="81" t="str"/>
      <x:c r="F157" s="81" t="str"/>
      <x:c r="G157" s="81" t="str"/>
      <x:c r="H157" s="81" t="str"/>
      <x:c r="I157" s="81" t="str"/>
      <x:c r="J157" s="81" t="str"/>
      <x:c r="K157" s="81" t="str"/>
      <x:c r="L157" s="81" t="str"/>
      <x:c r="M157" s="81" t="str"/>
      <x:c r="N157" s="81" t="str"/>
      <x:c r="O157" s="81" t="str"/>
      <x:c r="P157" s="81" t="str"/>
      <x:c r="Q157" s="81" t="str"/>
      <x:c r="R157" s="81" t="str"/>
      <x:c r="S157" s="82" t="str"/>
      <x:c r="T157" s="82" t="str"/>
      <x:c r="U157" s="82" t="str"/>
      <x:c r="V157" s="82" t="str"/>
      <x:c r="W157" s="82" t="str"/>
      <x:c r="X157" s="82" t="str"/>
      <x:c r="Y157" s="82" t="str"/>
      <x:c r="Z157" s="82" t="str"/>
      <x:c r="AA157" s="82" t="str"/>
      <x:c r="AB157" s="82" t="str"/>
      <x:c r="AC157" s="82" t="str"/>
      <x:c r="AD157" s="82" t="str"/>
      <x:c r="AE157" s="82" t="str"/>
      <x:c r="AF157" s="82" t="str"/>
      <x:c r="AG157" s="82" t="str"/>
      <x:c r="AH157" s="82" t="str"/>
      <x:c r="AI157" s="81" t="str"/>
      <x:c r="AJ157" s="81" t="str"/>
      <x:c r="AK157" s="81" t="str">
        <x:f>IF($E157="","",IF(AND($M157="yes",OR($N157="yes",$N157="review"),OR($O157="yes",$O157="review"),$P157="fit",OR($Q157="unique",$Q157="alias_review"),$R157&lt;&gt;"context_only"),"pass","review/block"))</x:f>
      </x:c>
      <x:c r="AL157" s="81" t="str">
        <x:f>IF($E157="","",IF($AK157="pass","eligible",IF(OR($M157="no",$O157="no",$P157="too_macro",$P157="too_micro",$P157="context_only",$Q157="duplicate_confirmed",$R157="context_only"),"not_eligible","review")))</x:f>
      </x:c>
      <x:c r="AM157" s="81" t="str">
        <x:f>IF($E157="","",IF($C157=0,"reentry_required",IF($C157&lt;=8,"non_competitive_inclusion","competitive_selection")))</x:f>
      </x:c>
      <x:c r="AN157" s="82" t="str">
        <x:f>IF($E157="","",AVERAGE($U157:$X157))</x:f>
      </x:c>
      <x:c r="AO157" s="82" t="str">
        <x:f>IF($E157="","",AVERAGE($S157:$T157))</x:f>
      </x:c>
      <x:c r="AP157" s="82" t="str">
        <x:f>IF($E157="","",($AF157*0.08)+($AG157*0.08)+($AH157*0.10))</x:f>
      </x:c>
      <x:c r="AQ157" s="82" t="str">
        <x:f>IF($E157="","",MAX(0,($AN157*0.30)+($Y157*0.20)+($Z157*0.15)+($AA157*0.15)+($AB157*0.10)+($AC157*0.10)+($AE157*0.05)-$AP157))</x:f>
      </x:c>
      <x:c r="AR157" s="81" t="str">
        <x:f>IF($E157="","",IF($AM157="competitive_selection",RANK.EQ($AQ157,$AQ$2:$AQ$201,0),""))</x:f>
      </x:c>
      <x:c r="AS157" s="81" t="str">
        <x:f>IF($E157="","",IF(AND($AM157="non_competitive_inclusion",$AL157="eligible"),"selected",""))</x:f>
      </x:c>
      <x:c r="AT157" s="81" t="str">
        <x:f>IF($E157="","",IF($AM157&lt;&gt;"competitive_selection","",IF(AND($AL157="eligible",$AR157&lt;=8),"selected","context/backlog")))</x:f>
      </x:c>
      <x:c r="AU157" s="81" t="str">
        <x:f>IF($E157="","",IF($AM157="reentry_required","not_selected_reentry",IF($AS157="selected","selected_for_runtime",IF($AT157="selected","selected_for_runtime",IF($AL157="review","manual_review","context_or_not_selected")))))</x:f>
      </x:c>
      <x:c r="AV157" s="81" t="str">
        <x:f>IF($E157="","",IF($AU157="selected_for_runtime",IF($AM157="competitive_selection",$AR157,COUNTIF($AU$2:AU157,"selected_for_runtime")),""))</x:f>
      </x:c>
      <x:c r="AW157" s="81" t="str">
        <x:f>IF($E157="","",IF($AU157="selected_for_runtime",IF($AD157&gt;=2,"base_40_plus_uncertainty_probes",IF($AE157&gt;=2,"base_40_plus_exploratory_probes","base_40_standard")),"no_runtime"))</x:f>
      </x:c>
      <x:c r="AX157" s="81" t="str">
        <x:f>IF($E157="","",IF($AU157&lt;&gt;"selected_for_runtime","none",IF($AE157&gt;=2,"exploratoria",IF($AQ157&gt;=2.2,"alta",IF($AQ157&gt;=1.2,"media","baja")))))</x:f>
      </x:c>
      <x:c r="AY157" s="81" t="str">
        <x:f>IF($E157="","",IF($AJ157=TRUE,"context_with_coverage_gap",IF($AI157="review","context_requires_confirmation","context_ready")))</x:f>
      </x:c>
      <x:c r="AZ157" s="81" t="str">
        <x:f>IF($E157="","",IF($AU157&lt;&gt;"selected_for_runtime","no",IF(OR($AY157="context_with_coverage_gap",$AX157="exploratoria"),"ready_with_flags","ready")))</x:f>
      </x:c>
      <x:c r="BA157" s="81" t="str"/>
      <x:c r="BB157" s="81" t="str"/>
      <x:c r="BC157" s="81" t="str"/>
      <x:c r="BD157" s="81" t="str"/>
      <x:c r="BE157" s="81" t="str"/>
    </x:row>
    <x:row r="158">
      <x:c r="A158" s="81" t="str"/>
      <x:c r="B158" s="81" t="str"/>
      <x:c r="C158" s="81" t="str"/>
      <x:c r="D158" s="81" t="str"/>
      <x:c r="E158" s="81" t="str"/>
      <x:c r="F158" s="81" t="str"/>
      <x:c r="G158" s="81" t="str"/>
      <x:c r="H158" s="81" t="str"/>
      <x:c r="I158" s="81" t="str"/>
      <x:c r="J158" s="81" t="str"/>
      <x:c r="K158" s="81" t="str"/>
      <x:c r="L158" s="81" t="str"/>
      <x:c r="M158" s="81" t="str"/>
      <x:c r="N158" s="81" t="str"/>
      <x:c r="O158" s="81" t="str"/>
      <x:c r="P158" s="81" t="str"/>
      <x:c r="Q158" s="81" t="str"/>
      <x:c r="R158" s="81" t="str"/>
      <x:c r="S158" s="82" t="str"/>
      <x:c r="T158" s="82" t="str"/>
      <x:c r="U158" s="82" t="str"/>
      <x:c r="V158" s="82" t="str"/>
      <x:c r="W158" s="82" t="str"/>
      <x:c r="X158" s="82" t="str"/>
      <x:c r="Y158" s="82" t="str"/>
      <x:c r="Z158" s="82" t="str"/>
      <x:c r="AA158" s="82" t="str"/>
      <x:c r="AB158" s="82" t="str"/>
      <x:c r="AC158" s="82" t="str"/>
      <x:c r="AD158" s="82" t="str"/>
      <x:c r="AE158" s="82" t="str"/>
      <x:c r="AF158" s="82" t="str"/>
      <x:c r="AG158" s="82" t="str"/>
      <x:c r="AH158" s="82" t="str"/>
      <x:c r="AI158" s="81" t="str"/>
      <x:c r="AJ158" s="81" t="str"/>
      <x:c r="AK158" s="81" t="str">
        <x:f>IF($E158="","",IF(AND($M158="yes",OR($N158="yes",$N158="review"),OR($O158="yes",$O158="review"),$P158="fit",OR($Q158="unique",$Q158="alias_review"),$R158&lt;&gt;"context_only"),"pass","review/block"))</x:f>
      </x:c>
      <x:c r="AL158" s="81" t="str">
        <x:f>IF($E158="","",IF($AK158="pass","eligible",IF(OR($M158="no",$O158="no",$P158="too_macro",$P158="too_micro",$P158="context_only",$Q158="duplicate_confirmed",$R158="context_only"),"not_eligible","review")))</x:f>
      </x:c>
      <x:c r="AM158" s="81" t="str">
        <x:f>IF($E158="","",IF($C158=0,"reentry_required",IF($C158&lt;=8,"non_competitive_inclusion","competitive_selection")))</x:f>
      </x:c>
      <x:c r="AN158" s="82" t="str">
        <x:f>IF($E158="","",AVERAGE($U158:$X158))</x:f>
      </x:c>
      <x:c r="AO158" s="82" t="str">
        <x:f>IF($E158="","",AVERAGE($S158:$T158))</x:f>
      </x:c>
      <x:c r="AP158" s="82" t="str">
        <x:f>IF($E158="","",($AF158*0.08)+($AG158*0.08)+($AH158*0.10))</x:f>
      </x:c>
      <x:c r="AQ158" s="82" t="str">
        <x:f>IF($E158="","",MAX(0,($AN158*0.30)+($Y158*0.20)+($Z158*0.15)+($AA158*0.15)+($AB158*0.10)+($AC158*0.10)+($AE158*0.05)-$AP158))</x:f>
      </x:c>
      <x:c r="AR158" s="81" t="str">
        <x:f>IF($E158="","",IF($AM158="competitive_selection",RANK.EQ($AQ158,$AQ$2:$AQ$201,0),""))</x:f>
      </x:c>
      <x:c r="AS158" s="81" t="str">
        <x:f>IF($E158="","",IF(AND($AM158="non_competitive_inclusion",$AL158="eligible"),"selected",""))</x:f>
      </x:c>
      <x:c r="AT158" s="81" t="str">
        <x:f>IF($E158="","",IF($AM158&lt;&gt;"competitive_selection","",IF(AND($AL158="eligible",$AR158&lt;=8),"selected","context/backlog")))</x:f>
      </x:c>
      <x:c r="AU158" s="81" t="str">
        <x:f>IF($E158="","",IF($AM158="reentry_required","not_selected_reentry",IF($AS158="selected","selected_for_runtime",IF($AT158="selected","selected_for_runtime",IF($AL158="review","manual_review","context_or_not_selected")))))</x:f>
      </x:c>
      <x:c r="AV158" s="81" t="str">
        <x:f>IF($E158="","",IF($AU158="selected_for_runtime",IF($AM158="competitive_selection",$AR158,COUNTIF($AU$2:AU158,"selected_for_runtime")),""))</x:f>
      </x:c>
      <x:c r="AW158" s="81" t="str">
        <x:f>IF($E158="","",IF($AU158="selected_for_runtime",IF($AD158&gt;=2,"base_40_plus_uncertainty_probes",IF($AE158&gt;=2,"base_40_plus_exploratory_probes","base_40_standard")),"no_runtime"))</x:f>
      </x:c>
      <x:c r="AX158" s="81" t="str">
        <x:f>IF($E158="","",IF($AU158&lt;&gt;"selected_for_runtime","none",IF($AE158&gt;=2,"exploratoria",IF($AQ158&gt;=2.2,"alta",IF($AQ158&gt;=1.2,"media","baja")))))</x:f>
      </x:c>
      <x:c r="AY158" s="81" t="str">
        <x:f>IF($E158="","",IF($AJ158=TRUE,"context_with_coverage_gap",IF($AI158="review","context_requires_confirmation","context_ready")))</x:f>
      </x:c>
      <x:c r="AZ158" s="81" t="str">
        <x:f>IF($E158="","",IF($AU158&lt;&gt;"selected_for_runtime","no",IF(OR($AY158="context_with_coverage_gap",$AX158="exploratoria"),"ready_with_flags","ready")))</x:f>
      </x:c>
      <x:c r="BA158" s="81" t="str"/>
      <x:c r="BB158" s="81" t="str"/>
      <x:c r="BC158" s="81" t="str"/>
      <x:c r="BD158" s="81" t="str"/>
      <x:c r="BE158" s="81" t="str"/>
    </x:row>
    <x:row r="159">
      <x:c r="A159" s="81" t="str"/>
      <x:c r="B159" s="81" t="str"/>
      <x:c r="C159" s="81" t="str"/>
      <x:c r="D159" s="81" t="str"/>
      <x:c r="E159" s="81" t="str"/>
      <x:c r="F159" s="81" t="str"/>
      <x:c r="G159" s="81" t="str"/>
      <x:c r="H159" s="81" t="str"/>
      <x:c r="I159" s="81" t="str"/>
      <x:c r="J159" s="81" t="str"/>
      <x:c r="K159" s="81" t="str"/>
      <x:c r="L159" s="81" t="str"/>
      <x:c r="M159" s="81" t="str"/>
      <x:c r="N159" s="81" t="str"/>
      <x:c r="O159" s="81" t="str"/>
      <x:c r="P159" s="81" t="str"/>
      <x:c r="Q159" s="81" t="str"/>
      <x:c r="R159" s="81" t="str"/>
      <x:c r="S159" s="82" t="str"/>
      <x:c r="T159" s="82" t="str"/>
      <x:c r="U159" s="82" t="str"/>
      <x:c r="V159" s="82" t="str"/>
      <x:c r="W159" s="82" t="str"/>
      <x:c r="X159" s="82" t="str"/>
      <x:c r="Y159" s="82" t="str"/>
      <x:c r="Z159" s="82" t="str"/>
      <x:c r="AA159" s="82" t="str"/>
      <x:c r="AB159" s="82" t="str"/>
      <x:c r="AC159" s="82" t="str"/>
      <x:c r="AD159" s="82" t="str"/>
      <x:c r="AE159" s="82" t="str"/>
      <x:c r="AF159" s="82" t="str"/>
      <x:c r="AG159" s="82" t="str"/>
      <x:c r="AH159" s="82" t="str"/>
      <x:c r="AI159" s="81" t="str"/>
      <x:c r="AJ159" s="81" t="str"/>
      <x:c r="AK159" s="81" t="str">
        <x:f>IF($E159="","",IF(AND($M159="yes",OR($N159="yes",$N159="review"),OR($O159="yes",$O159="review"),$P159="fit",OR($Q159="unique",$Q159="alias_review"),$R159&lt;&gt;"context_only"),"pass","review/block"))</x:f>
      </x:c>
      <x:c r="AL159" s="81" t="str">
        <x:f>IF($E159="","",IF($AK159="pass","eligible",IF(OR($M159="no",$O159="no",$P159="too_macro",$P159="too_micro",$P159="context_only",$Q159="duplicate_confirmed",$R159="context_only"),"not_eligible","review")))</x:f>
      </x:c>
      <x:c r="AM159" s="81" t="str">
        <x:f>IF($E159="","",IF($C159=0,"reentry_required",IF($C159&lt;=8,"non_competitive_inclusion","competitive_selection")))</x:f>
      </x:c>
      <x:c r="AN159" s="82" t="str">
        <x:f>IF($E159="","",AVERAGE($U159:$X159))</x:f>
      </x:c>
      <x:c r="AO159" s="82" t="str">
        <x:f>IF($E159="","",AVERAGE($S159:$T159))</x:f>
      </x:c>
      <x:c r="AP159" s="82" t="str">
        <x:f>IF($E159="","",($AF159*0.08)+($AG159*0.08)+($AH159*0.10))</x:f>
      </x:c>
      <x:c r="AQ159" s="82" t="str">
        <x:f>IF($E159="","",MAX(0,($AN159*0.30)+($Y159*0.20)+($Z159*0.15)+($AA159*0.15)+($AB159*0.10)+($AC159*0.10)+($AE159*0.05)-$AP159))</x:f>
      </x:c>
      <x:c r="AR159" s="81" t="str">
        <x:f>IF($E159="","",IF($AM159="competitive_selection",RANK.EQ($AQ159,$AQ$2:$AQ$201,0),""))</x:f>
      </x:c>
      <x:c r="AS159" s="81" t="str">
        <x:f>IF($E159="","",IF(AND($AM159="non_competitive_inclusion",$AL159="eligible"),"selected",""))</x:f>
      </x:c>
      <x:c r="AT159" s="81" t="str">
        <x:f>IF($E159="","",IF($AM159&lt;&gt;"competitive_selection","",IF(AND($AL159="eligible",$AR159&lt;=8),"selected","context/backlog")))</x:f>
      </x:c>
      <x:c r="AU159" s="81" t="str">
        <x:f>IF($E159="","",IF($AM159="reentry_required","not_selected_reentry",IF($AS159="selected","selected_for_runtime",IF($AT159="selected","selected_for_runtime",IF($AL159="review","manual_review","context_or_not_selected")))))</x:f>
      </x:c>
      <x:c r="AV159" s="81" t="str">
        <x:f>IF($E159="","",IF($AU159="selected_for_runtime",IF($AM159="competitive_selection",$AR159,COUNTIF($AU$2:AU159,"selected_for_runtime")),""))</x:f>
      </x:c>
      <x:c r="AW159" s="81" t="str">
        <x:f>IF($E159="","",IF($AU159="selected_for_runtime",IF($AD159&gt;=2,"base_40_plus_uncertainty_probes",IF($AE159&gt;=2,"base_40_plus_exploratory_probes","base_40_standard")),"no_runtime"))</x:f>
      </x:c>
      <x:c r="AX159" s="81" t="str">
        <x:f>IF($E159="","",IF($AU159&lt;&gt;"selected_for_runtime","none",IF($AE159&gt;=2,"exploratoria",IF($AQ159&gt;=2.2,"alta",IF($AQ159&gt;=1.2,"media","baja")))))</x:f>
      </x:c>
      <x:c r="AY159" s="81" t="str">
        <x:f>IF($E159="","",IF($AJ159=TRUE,"context_with_coverage_gap",IF($AI159="review","context_requires_confirmation","context_ready")))</x:f>
      </x:c>
      <x:c r="AZ159" s="81" t="str">
        <x:f>IF($E159="","",IF($AU159&lt;&gt;"selected_for_runtime","no",IF(OR($AY159="context_with_coverage_gap",$AX159="exploratoria"),"ready_with_flags","ready")))</x:f>
      </x:c>
      <x:c r="BA159" s="81" t="str"/>
      <x:c r="BB159" s="81" t="str"/>
      <x:c r="BC159" s="81" t="str"/>
      <x:c r="BD159" s="81" t="str"/>
      <x:c r="BE159" s="81" t="str"/>
    </x:row>
    <x:row r="160">
      <x:c r="A160" s="81" t="str"/>
      <x:c r="B160" s="81" t="str"/>
      <x:c r="C160" s="81" t="str"/>
      <x:c r="D160" s="81" t="str"/>
      <x:c r="E160" s="81" t="str"/>
      <x:c r="F160" s="81" t="str"/>
      <x:c r="G160" s="81" t="str"/>
      <x:c r="H160" s="81" t="str"/>
      <x:c r="I160" s="81" t="str"/>
      <x:c r="J160" s="81" t="str"/>
      <x:c r="K160" s="81" t="str"/>
      <x:c r="L160" s="81" t="str"/>
      <x:c r="M160" s="81" t="str"/>
      <x:c r="N160" s="81" t="str"/>
      <x:c r="O160" s="81" t="str"/>
      <x:c r="P160" s="81" t="str"/>
      <x:c r="Q160" s="81" t="str"/>
      <x:c r="R160" s="81" t="str"/>
      <x:c r="S160" s="82" t="str"/>
      <x:c r="T160" s="82" t="str"/>
      <x:c r="U160" s="82" t="str"/>
      <x:c r="V160" s="82" t="str"/>
      <x:c r="W160" s="82" t="str"/>
      <x:c r="X160" s="82" t="str"/>
      <x:c r="Y160" s="82" t="str"/>
      <x:c r="Z160" s="82" t="str"/>
      <x:c r="AA160" s="82" t="str"/>
      <x:c r="AB160" s="82" t="str"/>
      <x:c r="AC160" s="82" t="str"/>
      <x:c r="AD160" s="82" t="str"/>
      <x:c r="AE160" s="82" t="str"/>
      <x:c r="AF160" s="82" t="str"/>
      <x:c r="AG160" s="82" t="str"/>
      <x:c r="AH160" s="82" t="str"/>
      <x:c r="AI160" s="81" t="str"/>
      <x:c r="AJ160" s="81" t="str"/>
      <x:c r="AK160" s="81" t="str">
        <x:f>IF($E160="","",IF(AND($M160="yes",OR($N160="yes",$N160="review"),OR($O160="yes",$O160="review"),$P160="fit",OR($Q160="unique",$Q160="alias_review"),$R160&lt;&gt;"context_only"),"pass","review/block"))</x:f>
      </x:c>
      <x:c r="AL160" s="81" t="str">
        <x:f>IF($E160="","",IF($AK160="pass","eligible",IF(OR($M160="no",$O160="no",$P160="too_macro",$P160="too_micro",$P160="context_only",$Q160="duplicate_confirmed",$R160="context_only"),"not_eligible","review")))</x:f>
      </x:c>
      <x:c r="AM160" s="81" t="str">
        <x:f>IF($E160="","",IF($C160=0,"reentry_required",IF($C160&lt;=8,"non_competitive_inclusion","competitive_selection")))</x:f>
      </x:c>
      <x:c r="AN160" s="82" t="str">
        <x:f>IF($E160="","",AVERAGE($U160:$X160))</x:f>
      </x:c>
      <x:c r="AO160" s="82" t="str">
        <x:f>IF($E160="","",AVERAGE($S160:$T160))</x:f>
      </x:c>
      <x:c r="AP160" s="82" t="str">
        <x:f>IF($E160="","",($AF160*0.08)+($AG160*0.08)+($AH160*0.10))</x:f>
      </x:c>
      <x:c r="AQ160" s="82" t="str">
        <x:f>IF($E160="","",MAX(0,($AN160*0.30)+($Y160*0.20)+($Z160*0.15)+($AA160*0.15)+($AB160*0.10)+($AC160*0.10)+($AE160*0.05)-$AP160))</x:f>
      </x:c>
      <x:c r="AR160" s="81" t="str">
        <x:f>IF($E160="","",IF($AM160="competitive_selection",RANK.EQ($AQ160,$AQ$2:$AQ$201,0),""))</x:f>
      </x:c>
      <x:c r="AS160" s="81" t="str">
        <x:f>IF($E160="","",IF(AND($AM160="non_competitive_inclusion",$AL160="eligible"),"selected",""))</x:f>
      </x:c>
      <x:c r="AT160" s="81" t="str">
        <x:f>IF($E160="","",IF($AM160&lt;&gt;"competitive_selection","",IF(AND($AL160="eligible",$AR160&lt;=8),"selected","context/backlog")))</x:f>
      </x:c>
      <x:c r="AU160" s="81" t="str">
        <x:f>IF($E160="","",IF($AM160="reentry_required","not_selected_reentry",IF($AS160="selected","selected_for_runtime",IF($AT160="selected","selected_for_runtime",IF($AL160="review","manual_review","context_or_not_selected")))))</x:f>
      </x:c>
      <x:c r="AV160" s="81" t="str">
        <x:f>IF($E160="","",IF($AU160="selected_for_runtime",IF($AM160="competitive_selection",$AR160,COUNTIF($AU$2:AU160,"selected_for_runtime")),""))</x:f>
      </x:c>
      <x:c r="AW160" s="81" t="str">
        <x:f>IF($E160="","",IF($AU160="selected_for_runtime",IF($AD160&gt;=2,"base_40_plus_uncertainty_probes",IF($AE160&gt;=2,"base_40_plus_exploratory_probes","base_40_standard")),"no_runtime"))</x:f>
      </x:c>
      <x:c r="AX160" s="81" t="str">
        <x:f>IF($E160="","",IF($AU160&lt;&gt;"selected_for_runtime","none",IF($AE160&gt;=2,"exploratoria",IF($AQ160&gt;=2.2,"alta",IF($AQ160&gt;=1.2,"media","baja")))))</x:f>
      </x:c>
      <x:c r="AY160" s="81" t="str">
        <x:f>IF($E160="","",IF($AJ160=TRUE,"context_with_coverage_gap",IF($AI160="review","context_requires_confirmation","context_ready")))</x:f>
      </x:c>
      <x:c r="AZ160" s="81" t="str">
        <x:f>IF($E160="","",IF($AU160&lt;&gt;"selected_for_runtime","no",IF(OR($AY160="context_with_coverage_gap",$AX160="exploratoria"),"ready_with_flags","ready")))</x:f>
      </x:c>
      <x:c r="BA160" s="81" t="str"/>
      <x:c r="BB160" s="81" t="str"/>
      <x:c r="BC160" s="81" t="str"/>
      <x:c r="BD160" s="81" t="str"/>
      <x:c r="BE160" s="81" t="str"/>
    </x:row>
    <x:row r="161">
      <x:c r="A161" s="81" t="str"/>
      <x:c r="B161" s="81" t="str"/>
      <x:c r="C161" s="81" t="str"/>
      <x:c r="D161" s="81" t="str"/>
      <x:c r="E161" s="81" t="str"/>
      <x:c r="F161" s="81" t="str"/>
      <x:c r="G161" s="81" t="str"/>
      <x:c r="H161" s="81" t="str"/>
      <x:c r="I161" s="81" t="str"/>
      <x:c r="J161" s="81" t="str"/>
      <x:c r="K161" s="81" t="str"/>
      <x:c r="L161" s="81" t="str"/>
      <x:c r="M161" s="81" t="str"/>
      <x:c r="N161" s="81" t="str"/>
      <x:c r="O161" s="81" t="str"/>
      <x:c r="P161" s="81" t="str"/>
      <x:c r="Q161" s="81" t="str"/>
      <x:c r="R161" s="81" t="str"/>
      <x:c r="S161" s="82" t="str"/>
      <x:c r="T161" s="82" t="str"/>
      <x:c r="U161" s="82" t="str"/>
      <x:c r="V161" s="82" t="str"/>
      <x:c r="W161" s="82" t="str"/>
      <x:c r="X161" s="82" t="str"/>
      <x:c r="Y161" s="82" t="str"/>
      <x:c r="Z161" s="82" t="str"/>
      <x:c r="AA161" s="82" t="str"/>
      <x:c r="AB161" s="82" t="str"/>
      <x:c r="AC161" s="82" t="str"/>
      <x:c r="AD161" s="82" t="str"/>
      <x:c r="AE161" s="82" t="str"/>
      <x:c r="AF161" s="82" t="str"/>
      <x:c r="AG161" s="82" t="str"/>
      <x:c r="AH161" s="82" t="str"/>
      <x:c r="AI161" s="81" t="str"/>
      <x:c r="AJ161" s="81" t="str"/>
      <x:c r="AK161" s="81" t="str">
        <x:f>IF($E161="","",IF(AND($M161="yes",OR($N161="yes",$N161="review"),OR($O161="yes",$O161="review"),$P161="fit",OR($Q161="unique",$Q161="alias_review"),$R161&lt;&gt;"context_only"),"pass","review/block"))</x:f>
      </x:c>
      <x:c r="AL161" s="81" t="str">
        <x:f>IF($E161="","",IF($AK161="pass","eligible",IF(OR($M161="no",$O161="no",$P161="too_macro",$P161="too_micro",$P161="context_only",$Q161="duplicate_confirmed",$R161="context_only"),"not_eligible","review")))</x:f>
      </x:c>
      <x:c r="AM161" s="81" t="str">
        <x:f>IF($E161="","",IF($C161=0,"reentry_required",IF($C161&lt;=8,"non_competitive_inclusion","competitive_selection")))</x:f>
      </x:c>
      <x:c r="AN161" s="82" t="str">
        <x:f>IF($E161="","",AVERAGE($U161:$X161))</x:f>
      </x:c>
      <x:c r="AO161" s="82" t="str">
        <x:f>IF($E161="","",AVERAGE($S161:$T161))</x:f>
      </x:c>
      <x:c r="AP161" s="82" t="str">
        <x:f>IF($E161="","",($AF161*0.08)+($AG161*0.08)+($AH161*0.10))</x:f>
      </x:c>
      <x:c r="AQ161" s="82" t="str">
        <x:f>IF($E161="","",MAX(0,($AN161*0.30)+($Y161*0.20)+($Z161*0.15)+($AA161*0.15)+($AB161*0.10)+($AC161*0.10)+($AE161*0.05)-$AP161))</x:f>
      </x:c>
      <x:c r="AR161" s="81" t="str">
        <x:f>IF($E161="","",IF($AM161="competitive_selection",RANK.EQ($AQ161,$AQ$2:$AQ$201,0),""))</x:f>
      </x:c>
      <x:c r="AS161" s="81" t="str">
        <x:f>IF($E161="","",IF(AND($AM161="non_competitive_inclusion",$AL161="eligible"),"selected",""))</x:f>
      </x:c>
      <x:c r="AT161" s="81" t="str">
        <x:f>IF($E161="","",IF($AM161&lt;&gt;"competitive_selection","",IF(AND($AL161="eligible",$AR161&lt;=8),"selected","context/backlog")))</x:f>
      </x:c>
      <x:c r="AU161" s="81" t="str">
        <x:f>IF($E161="","",IF($AM161="reentry_required","not_selected_reentry",IF($AS161="selected","selected_for_runtime",IF($AT161="selected","selected_for_runtime",IF($AL161="review","manual_review","context_or_not_selected")))))</x:f>
      </x:c>
      <x:c r="AV161" s="81" t="str">
        <x:f>IF($E161="","",IF($AU161="selected_for_runtime",IF($AM161="competitive_selection",$AR161,COUNTIF($AU$2:AU161,"selected_for_runtime")),""))</x:f>
      </x:c>
      <x:c r="AW161" s="81" t="str">
        <x:f>IF($E161="","",IF($AU161="selected_for_runtime",IF($AD161&gt;=2,"base_40_plus_uncertainty_probes",IF($AE161&gt;=2,"base_40_plus_exploratory_probes","base_40_standard")),"no_runtime"))</x:f>
      </x:c>
      <x:c r="AX161" s="81" t="str">
        <x:f>IF($E161="","",IF($AU161&lt;&gt;"selected_for_runtime","none",IF($AE161&gt;=2,"exploratoria",IF($AQ161&gt;=2.2,"alta",IF($AQ161&gt;=1.2,"media","baja")))))</x:f>
      </x:c>
      <x:c r="AY161" s="81" t="str">
        <x:f>IF($E161="","",IF($AJ161=TRUE,"context_with_coverage_gap",IF($AI161="review","context_requires_confirmation","context_ready")))</x:f>
      </x:c>
      <x:c r="AZ161" s="81" t="str">
        <x:f>IF($E161="","",IF($AU161&lt;&gt;"selected_for_runtime","no",IF(OR($AY161="context_with_coverage_gap",$AX161="exploratoria"),"ready_with_flags","ready")))</x:f>
      </x:c>
      <x:c r="BA161" s="81" t="str"/>
      <x:c r="BB161" s="81" t="str"/>
      <x:c r="BC161" s="81" t="str"/>
      <x:c r="BD161" s="81" t="str"/>
      <x:c r="BE161" s="81" t="str"/>
    </x:row>
    <x:row r="162">
      <x:c r="A162" s="81" t="str"/>
      <x:c r="B162" s="81" t="str"/>
      <x:c r="C162" s="81" t="str"/>
      <x:c r="D162" s="81" t="str"/>
      <x:c r="E162" s="81" t="str"/>
      <x:c r="F162" s="81" t="str"/>
      <x:c r="G162" s="81" t="str"/>
      <x:c r="H162" s="81" t="str"/>
      <x:c r="I162" s="81" t="str"/>
      <x:c r="J162" s="81" t="str"/>
      <x:c r="K162" s="81" t="str"/>
      <x:c r="L162" s="81" t="str"/>
      <x:c r="M162" s="81" t="str"/>
      <x:c r="N162" s="81" t="str"/>
      <x:c r="O162" s="81" t="str"/>
      <x:c r="P162" s="81" t="str"/>
      <x:c r="Q162" s="81" t="str"/>
      <x:c r="R162" s="81" t="str"/>
      <x:c r="S162" s="82" t="str"/>
      <x:c r="T162" s="82" t="str"/>
      <x:c r="U162" s="82" t="str"/>
      <x:c r="V162" s="82" t="str"/>
      <x:c r="W162" s="82" t="str"/>
      <x:c r="X162" s="82" t="str"/>
      <x:c r="Y162" s="82" t="str"/>
      <x:c r="Z162" s="82" t="str"/>
      <x:c r="AA162" s="82" t="str"/>
      <x:c r="AB162" s="82" t="str"/>
      <x:c r="AC162" s="82" t="str"/>
      <x:c r="AD162" s="82" t="str"/>
      <x:c r="AE162" s="82" t="str"/>
      <x:c r="AF162" s="82" t="str"/>
      <x:c r="AG162" s="82" t="str"/>
      <x:c r="AH162" s="82" t="str"/>
      <x:c r="AI162" s="81" t="str"/>
      <x:c r="AJ162" s="81" t="str"/>
      <x:c r="AK162" s="81" t="str">
        <x:f>IF($E162="","",IF(AND($M162="yes",OR($N162="yes",$N162="review"),OR($O162="yes",$O162="review"),$P162="fit",OR($Q162="unique",$Q162="alias_review"),$R162&lt;&gt;"context_only"),"pass","review/block"))</x:f>
      </x:c>
      <x:c r="AL162" s="81" t="str">
        <x:f>IF($E162="","",IF($AK162="pass","eligible",IF(OR($M162="no",$O162="no",$P162="too_macro",$P162="too_micro",$P162="context_only",$Q162="duplicate_confirmed",$R162="context_only"),"not_eligible","review")))</x:f>
      </x:c>
      <x:c r="AM162" s="81" t="str">
        <x:f>IF($E162="","",IF($C162=0,"reentry_required",IF($C162&lt;=8,"non_competitive_inclusion","competitive_selection")))</x:f>
      </x:c>
      <x:c r="AN162" s="82" t="str">
        <x:f>IF($E162="","",AVERAGE($U162:$X162))</x:f>
      </x:c>
      <x:c r="AO162" s="82" t="str">
        <x:f>IF($E162="","",AVERAGE($S162:$T162))</x:f>
      </x:c>
      <x:c r="AP162" s="82" t="str">
        <x:f>IF($E162="","",($AF162*0.08)+($AG162*0.08)+($AH162*0.10))</x:f>
      </x:c>
      <x:c r="AQ162" s="82" t="str">
        <x:f>IF($E162="","",MAX(0,($AN162*0.30)+($Y162*0.20)+($Z162*0.15)+($AA162*0.15)+($AB162*0.10)+($AC162*0.10)+($AE162*0.05)-$AP162))</x:f>
      </x:c>
      <x:c r="AR162" s="81" t="str">
        <x:f>IF($E162="","",IF($AM162="competitive_selection",RANK.EQ($AQ162,$AQ$2:$AQ$201,0),""))</x:f>
      </x:c>
      <x:c r="AS162" s="81" t="str">
        <x:f>IF($E162="","",IF(AND($AM162="non_competitive_inclusion",$AL162="eligible"),"selected",""))</x:f>
      </x:c>
      <x:c r="AT162" s="81" t="str">
        <x:f>IF($E162="","",IF($AM162&lt;&gt;"competitive_selection","",IF(AND($AL162="eligible",$AR162&lt;=8),"selected","context/backlog")))</x:f>
      </x:c>
      <x:c r="AU162" s="81" t="str">
        <x:f>IF($E162="","",IF($AM162="reentry_required","not_selected_reentry",IF($AS162="selected","selected_for_runtime",IF($AT162="selected","selected_for_runtime",IF($AL162="review","manual_review","context_or_not_selected")))))</x:f>
      </x:c>
      <x:c r="AV162" s="81" t="str">
        <x:f>IF($E162="","",IF($AU162="selected_for_runtime",IF($AM162="competitive_selection",$AR162,COUNTIF($AU$2:AU162,"selected_for_runtime")),""))</x:f>
      </x:c>
      <x:c r="AW162" s="81" t="str">
        <x:f>IF($E162="","",IF($AU162="selected_for_runtime",IF($AD162&gt;=2,"base_40_plus_uncertainty_probes",IF($AE162&gt;=2,"base_40_plus_exploratory_probes","base_40_standard")),"no_runtime"))</x:f>
      </x:c>
      <x:c r="AX162" s="81" t="str">
        <x:f>IF($E162="","",IF($AU162&lt;&gt;"selected_for_runtime","none",IF($AE162&gt;=2,"exploratoria",IF($AQ162&gt;=2.2,"alta",IF($AQ162&gt;=1.2,"media","baja")))))</x:f>
      </x:c>
      <x:c r="AY162" s="81" t="str">
        <x:f>IF($E162="","",IF($AJ162=TRUE,"context_with_coverage_gap",IF($AI162="review","context_requires_confirmation","context_ready")))</x:f>
      </x:c>
      <x:c r="AZ162" s="81" t="str">
        <x:f>IF($E162="","",IF($AU162&lt;&gt;"selected_for_runtime","no",IF(OR($AY162="context_with_coverage_gap",$AX162="exploratoria"),"ready_with_flags","ready")))</x:f>
      </x:c>
      <x:c r="BA162" s="81" t="str"/>
      <x:c r="BB162" s="81" t="str"/>
      <x:c r="BC162" s="81" t="str"/>
      <x:c r="BD162" s="81" t="str"/>
      <x:c r="BE162" s="81" t="str"/>
    </x:row>
    <x:row r="163">
      <x:c r="A163" s="81" t="str"/>
      <x:c r="B163" s="81" t="str"/>
      <x:c r="C163" s="81" t="str"/>
      <x:c r="D163" s="81" t="str"/>
      <x:c r="E163" s="81" t="str"/>
      <x:c r="F163" s="81" t="str"/>
      <x:c r="G163" s="81" t="str"/>
      <x:c r="H163" s="81" t="str"/>
      <x:c r="I163" s="81" t="str"/>
      <x:c r="J163" s="81" t="str"/>
      <x:c r="K163" s="81" t="str"/>
      <x:c r="L163" s="81" t="str"/>
      <x:c r="M163" s="81" t="str"/>
      <x:c r="N163" s="81" t="str"/>
      <x:c r="O163" s="81" t="str"/>
      <x:c r="P163" s="81" t="str"/>
      <x:c r="Q163" s="81" t="str"/>
      <x:c r="R163" s="81" t="str"/>
      <x:c r="S163" s="82" t="str"/>
      <x:c r="T163" s="82" t="str"/>
      <x:c r="U163" s="82" t="str"/>
      <x:c r="V163" s="82" t="str"/>
      <x:c r="W163" s="82" t="str"/>
      <x:c r="X163" s="82" t="str"/>
      <x:c r="Y163" s="82" t="str"/>
      <x:c r="Z163" s="82" t="str"/>
      <x:c r="AA163" s="82" t="str"/>
      <x:c r="AB163" s="82" t="str"/>
      <x:c r="AC163" s="82" t="str"/>
      <x:c r="AD163" s="82" t="str"/>
      <x:c r="AE163" s="82" t="str"/>
      <x:c r="AF163" s="82" t="str"/>
      <x:c r="AG163" s="82" t="str"/>
      <x:c r="AH163" s="82" t="str"/>
      <x:c r="AI163" s="81" t="str"/>
      <x:c r="AJ163" s="81" t="str"/>
      <x:c r="AK163" s="81" t="str">
        <x:f>IF($E163="","",IF(AND($M163="yes",OR($N163="yes",$N163="review"),OR($O163="yes",$O163="review"),$P163="fit",OR($Q163="unique",$Q163="alias_review"),$R163&lt;&gt;"context_only"),"pass","review/block"))</x:f>
      </x:c>
      <x:c r="AL163" s="81" t="str">
        <x:f>IF($E163="","",IF($AK163="pass","eligible",IF(OR($M163="no",$O163="no",$P163="too_macro",$P163="too_micro",$P163="context_only",$Q163="duplicate_confirmed",$R163="context_only"),"not_eligible","review")))</x:f>
      </x:c>
      <x:c r="AM163" s="81" t="str">
        <x:f>IF($E163="","",IF($C163=0,"reentry_required",IF($C163&lt;=8,"non_competitive_inclusion","competitive_selection")))</x:f>
      </x:c>
      <x:c r="AN163" s="82" t="str">
        <x:f>IF($E163="","",AVERAGE($U163:$X163))</x:f>
      </x:c>
      <x:c r="AO163" s="82" t="str">
        <x:f>IF($E163="","",AVERAGE($S163:$T163))</x:f>
      </x:c>
      <x:c r="AP163" s="82" t="str">
        <x:f>IF($E163="","",($AF163*0.08)+($AG163*0.08)+($AH163*0.10))</x:f>
      </x:c>
      <x:c r="AQ163" s="82" t="str">
        <x:f>IF($E163="","",MAX(0,($AN163*0.30)+($Y163*0.20)+($Z163*0.15)+($AA163*0.15)+($AB163*0.10)+($AC163*0.10)+($AE163*0.05)-$AP163))</x:f>
      </x:c>
      <x:c r="AR163" s="81" t="str">
        <x:f>IF($E163="","",IF($AM163="competitive_selection",RANK.EQ($AQ163,$AQ$2:$AQ$201,0),""))</x:f>
      </x:c>
      <x:c r="AS163" s="81" t="str">
        <x:f>IF($E163="","",IF(AND($AM163="non_competitive_inclusion",$AL163="eligible"),"selected",""))</x:f>
      </x:c>
      <x:c r="AT163" s="81" t="str">
        <x:f>IF($E163="","",IF($AM163&lt;&gt;"competitive_selection","",IF(AND($AL163="eligible",$AR163&lt;=8),"selected","context/backlog")))</x:f>
      </x:c>
      <x:c r="AU163" s="81" t="str">
        <x:f>IF($E163="","",IF($AM163="reentry_required","not_selected_reentry",IF($AS163="selected","selected_for_runtime",IF($AT163="selected","selected_for_runtime",IF($AL163="review","manual_review","context_or_not_selected")))))</x:f>
      </x:c>
      <x:c r="AV163" s="81" t="str">
        <x:f>IF($E163="","",IF($AU163="selected_for_runtime",IF($AM163="competitive_selection",$AR163,COUNTIF($AU$2:AU163,"selected_for_runtime")),""))</x:f>
      </x:c>
      <x:c r="AW163" s="81" t="str">
        <x:f>IF($E163="","",IF($AU163="selected_for_runtime",IF($AD163&gt;=2,"base_40_plus_uncertainty_probes",IF($AE163&gt;=2,"base_40_plus_exploratory_probes","base_40_standard")),"no_runtime"))</x:f>
      </x:c>
      <x:c r="AX163" s="81" t="str">
        <x:f>IF($E163="","",IF($AU163&lt;&gt;"selected_for_runtime","none",IF($AE163&gt;=2,"exploratoria",IF($AQ163&gt;=2.2,"alta",IF($AQ163&gt;=1.2,"media","baja")))))</x:f>
      </x:c>
      <x:c r="AY163" s="81" t="str">
        <x:f>IF($E163="","",IF($AJ163=TRUE,"context_with_coverage_gap",IF($AI163="review","context_requires_confirmation","context_ready")))</x:f>
      </x:c>
      <x:c r="AZ163" s="81" t="str">
        <x:f>IF($E163="","",IF($AU163&lt;&gt;"selected_for_runtime","no",IF(OR($AY163="context_with_coverage_gap",$AX163="exploratoria"),"ready_with_flags","ready")))</x:f>
      </x:c>
      <x:c r="BA163" s="81" t="str"/>
      <x:c r="BB163" s="81" t="str"/>
      <x:c r="BC163" s="81" t="str"/>
      <x:c r="BD163" s="81" t="str"/>
      <x:c r="BE163" s="81" t="str"/>
    </x:row>
    <x:row r="164">
      <x:c r="A164" s="81" t="str"/>
      <x:c r="B164" s="81" t="str"/>
      <x:c r="C164" s="81" t="str"/>
      <x:c r="D164" s="81" t="str"/>
      <x:c r="E164" s="81" t="str"/>
      <x:c r="F164" s="81" t="str"/>
      <x:c r="G164" s="81" t="str"/>
      <x:c r="H164" s="81" t="str"/>
      <x:c r="I164" s="81" t="str"/>
      <x:c r="J164" s="81" t="str"/>
      <x:c r="K164" s="81" t="str"/>
      <x:c r="L164" s="81" t="str"/>
      <x:c r="M164" s="81" t="str"/>
      <x:c r="N164" s="81" t="str"/>
      <x:c r="O164" s="81" t="str"/>
      <x:c r="P164" s="81" t="str"/>
      <x:c r="Q164" s="81" t="str"/>
      <x:c r="R164" s="81" t="str"/>
      <x:c r="S164" s="82" t="str"/>
      <x:c r="T164" s="82" t="str"/>
      <x:c r="U164" s="82" t="str"/>
      <x:c r="V164" s="82" t="str"/>
      <x:c r="W164" s="82" t="str"/>
      <x:c r="X164" s="82" t="str"/>
      <x:c r="Y164" s="82" t="str"/>
      <x:c r="Z164" s="82" t="str"/>
      <x:c r="AA164" s="82" t="str"/>
      <x:c r="AB164" s="82" t="str"/>
      <x:c r="AC164" s="82" t="str"/>
      <x:c r="AD164" s="82" t="str"/>
      <x:c r="AE164" s="82" t="str"/>
      <x:c r="AF164" s="82" t="str"/>
      <x:c r="AG164" s="82" t="str"/>
      <x:c r="AH164" s="82" t="str"/>
      <x:c r="AI164" s="81" t="str"/>
      <x:c r="AJ164" s="81" t="str"/>
      <x:c r="AK164" s="81" t="str">
        <x:f>IF($E164="","",IF(AND($M164="yes",OR($N164="yes",$N164="review"),OR($O164="yes",$O164="review"),$P164="fit",OR($Q164="unique",$Q164="alias_review"),$R164&lt;&gt;"context_only"),"pass","review/block"))</x:f>
      </x:c>
      <x:c r="AL164" s="81" t="str">
        <x:f>IF($E164="","",IF($AK164="pass","eligible",IF(OR($M164="no",$O164="no",$P164="too_macro",$P164="too_micro",$P164="context_only",$Q164="duplicate_confirmed",$R164="context_only"),"not_eligible","review")))</x:f>
      </x:c>
      <x:c r="AM164" s="81" t="str">
        <x:f>IF($E164="","",IF($C164=0,"reentry_required",IF($C164&lt;=8,"non_competitive_inclusion","competitive_selection")))</x:f>
      </x:c>
      <x:c r="AN164" s="82" t="str">
        <x:f>IF($E164="","",AVERAGE($U164:$X164))</x:f>
      </x:c>
      <x:c r="AO164" s="82" t="str">
        <x:f>IF($E164="","",AVERAGE($S164:$T164))</x:f>
      </x:c>
      <x:c r="AP164" s="82" t="str">
        <x:f>IF($E164="","",($AF164*0.08)+($AG164*0.08)+($AH164*0.10))</x:f>
      </x:c>
      <x:c r="AQ164" s="82" t="str">
        <x:f>IF($E164="","",MAX(0,($AN164*0.30)+($Y164*0.20)+($Z164*0.15)+($AA164*0.15)+($AB164*0.10)+($AC164*0.10)+($AE164*0.05)-$AP164))</x:f>
      </x:c>
      <x:c r="AR164" s="81" t="str">
        <x:f>IF($E164="","",IF($AM164="competitive_selection",RANK.EQ($AQ164,$AQ$2:$AQ$201,0),""))</x:f>
      </x:c>
      <x:c r="AS164" s="81" t="str">
        <x:f>IF($E164="","",IF(AND($AM164="non_competitive_inclusion",$AL164="eligible"),"selected",""))</x:f>
      </x:c>
      <x:c r="AT164" s="81" t="str">
        <x:f>IF($E164="","",IF($AM164&lt;&gt;"competitive_selection","",IF(AND($AL164="eligible",$AR164&lt;=8),"selected","context/backlog")))</x:f>
      </x:c>
      <x:c r="AU164" s="81" t="str">
        <x:f>IF($E164="","",IF($AM164="reentry_required","not_selected_reentry",IF($AS164="selected","selected_for_runtime",IF($AT164="selected","selected_for_runtime",IF($AL164="review","manual_review","context_or_not_selected")))))</x:f>
      </x:c>
      <x:c r="AV164" s="81" t="str">
        <x:f>IF($E164="","",IF($AU164="selected_for_runtime",IF($AM164="competitive_selection",$AR164,COUNTIF($AU$2:AU164,"selected_for_runtime")),""))</x:f>
      </x:c>
      <x:c r="AW164" s="81" t="str">
        <x:f>IF($E164="","",IF($AU164="selected_for_runtime",IF($AD164&gt;=2,"base_40_plus_uncertainty_probes",IF($AE164&gt;=2,"base_40_plus_exploratory_probes","base_40_standard")),"no_runtime"))</x:f>
      </x:c>
      <x:c r="AX164" s="81" t="str">
        <x:f>IF($E164="","",IF($AU164&lt;&gt;"selected_for_runtime","none",IF($AE164&gt;=2,"exploratoria",IF($AQ164&gt;=2.2,"alta",IF($AQ164&gt;=1.2,"media","baja")))))</x:f>
      </x:c>
      <x:c r="AY164" s="81" t="str">
        <x:f>IF($E164="","",IF($AJ164=TRUE,"context_with_coverage_gap",IF($AI164="review","context_requires_confirmation","context_ready")))</x:f>
      </x:c>
      <x:c r="AZ164" s="81" t="str">
        <x:f>IF($E164="","",IF($AU164&lt;&gt;"selected_for_runtime","no",IF(OR($AY164="context_with_coverage_gap",$AX164="exploratoria"),"ready_with_flags","ready")))</x:f>
      </x:c>
      <x:c r="BA164" s="81" t="str"/>
      <x:c r="BB164" s="81" t="str"/>
      <x:c r="BC164" s="81" t="str"/>
      <x:c r="BD164" s="81" t="str"/>
      <x:c r="BE164" s="81" t="str"/>
    </x:row>
    <x:row r="165">
      <x:c r="A165" s="81" t="str"/>
      <x:c r="B165" s="81" t="str"/>
      <x:c r="C165" s="81" t="str"/>
      <x:c r="D165" s="81" t="str"/>
      <x:c r="E165" s="81" t="str"/>
      <x:c r="F165" s="81" t="str"/>
      <x:c r="G165" s="81" t="str"/>
      <x:c r="H165" s="81" t="str"/>
      <x:c r="I165" s="81" t="str"/>
      <x:c r="J165" s="81" t="str"/>
      <x:c r="K165" s="81" t="str"/>
      <x:c r="L165" s="81" t="str"/>
      <x:c r="M165" s="81" t="str"/>
      <x:c r="N165" s="81" t="str"/>
      <x:c r="O165" s="81" t="str"/>
      <x:c r="P165" s="81" t="str"/>
      <x:c r="Q165" s="81" t="str"/>
      <x:c r="R165" s="81" t="str"/>
      <x:c r="S165" s="82" t="str"/>
      <x:c r="T165" s="82" t="str"/>
      <x:c r="U165" s="82" t="str"/>
      <x:c r="V165" s="82" t="str"/>
      <x:c r="W165" s="82" t="str"/>
      <x:c r="X165" s="82" t="str"/>
      <x:c r="Y165" s="82" t="str"/>
      <x:c r="Z165" s="82" t="str"/>
      <x:c r="AA165" s="82" t="str"/>
      <x:c r="AB165" s="82" t="str"/>
      <x:c r="AC165" s="82" t="str"/>
      <x:c r="AD165" s="82" t="str"/>
      <x:c r="AE165" s="82" t="str"/>
      <x:c r="AF165" s="82" t="str"/>
      <x:c r="AG165" s="82" t="str"/>
      <x:c r="AH165" s="82" t="str"/>
      <x:c r="AI165" s="81" t="str"/>
      <x:c r="AJ165" s="81" t="str"/>
      <x:c r="AK165" s="81" t="str">
        <x:f>IF($E165="","",IF(AND($M165="yes",OR($N165="yes",$N165="review"),OR($O165="yes",$O165="review"),$P165="fit",OR($Q165="unique",$Q165="alias_review"),$R165&lt;&gt;"context_only"),"pass","review/block"))</x:f>
      </x:c>
      <x:c r="AL165" s="81" t="str">
        <x:f>IF($E165="","",IF($AK165="pass","eligible",IF(OR($M165="no",$O165="no",$P165="too_macro",$P165="too_micro",$P165="context_only",$Q165="duplicate_confirmed",$R165="context_only"),"not_eligible","review")))</x:f>
      </x:c>
      <x:c r="AM165" s="81" t="str">
        <x:f>IF($E165="","",IF($C165=0,"reentry_required",IF($C165&lt;=8,"non_competitive_inclusion","competitive_selection")))</x:f>
      </x:c>
      <x:c r="AN165" s="82" t="str">
        <x:f>IF($E165="","",AVERAGE($U165:$X165))</x:f>
      </x:c>
      <x:c r="AO165" s="82" t="str">
        <x:f>IF($E165="","",AVERAGE($S165:$T165))</x:f>
      </x:c>
      <x:c r="AP165" s="82" t="str">
        <x:f>IF($E165="","",($AF165*0.08)+($AG165*0.08)+($AH165*0.10))</x:f>
      </x:c>
      <x:c r="AQ165" s="82" t="str">
        <x:f>IF($E165="","",MAX(0,($AN165*0.30)+($Y165*0.20)+($Z165*0.15)+($AA165*0.15)+($AB165*0.10)+($AC165*0.10)+($AE165*0.05)-$AP165))</x:f>
      </x:c>
      <x:c r="AR165" s="81" t="str">
        <x:f>IF($E165="","",IF($AM165="competitive_selection",RANK.EQ($AQ165,$AQ$2:$AQ$201,0),""))</x:f>
      </x:c>
      <x:c r="AS165" s="81" t="str">
        <x:f>IF($E165="","",IF(AND($AM165="non_competitive_inclusion",$AL165="eligible"),"selected",""))</x:f>
      </x:c>
      <x:c r="AT165" s="81" t="str">
        <x:f>IF($E165="","",IF($AM165&lt;&gt;"competitive_selection","",IF(AND($AL165="eligible",$AR165&lt;=8),"selected","context/backlog")))</x:f>
      </x:c>
      <x:c r="AU165" s="81" t="str">
        <x:f>IF($E165="","",IF($AM165="reentry_required","not_selected_reentry",IF($AS165="selected","selected_for_runtime",IF($AT165="selected","selected_for_runtime",IF($AL165="review","manual_review","context_or_not_selected")))))</x:f>
      </x:c>
      <x:c r="AV165" s="81" t="str">
        <x:f>IF($E165="","",IF($AU165="selected_for_runtime",IF($AM165="competitive_selection",$AR165,COUNTIF($AU$2:AU165,"selected_for_runtime")),""))</x:f>
      </x:c>
      <x:c r="AW165" s="81" t="str">
        <x:f>IF($E165="","",IF($AU165="selected_for_runtime",IF($AD165&gt;=2,"base_40_plus_uncertainty_probes",IF($AE165&gt;=2,"base_40_plus_exploratory_probes","base_40_standard")),"no_runtime"))</x:f>
      </x:c>
      <x:c r="AX165" s="81" t="str">
        <x:f>IF($E165="","",IF($AU165&lt;&gt;"selected_for_runtime","none",IF($AE165&gt;=2,"exploratoria",IF($AQ165&gt;=2.2,"alta",IF($AQ165&gt;=1.2,"media","baja")))))</x:f>
      </x:c>
      <x:c r="AY165" s="81" t="str">
        <x:f>IF($E165="","",IF($AJ165=TRUE,"context_with_coverage_gap",IF($AI165="review","context_requires_confirmation","context_ready")))</x:f>
      </x:c>
      <x:c r="AZ165" s="81" t="str">
        <x:f>IF($E165="","",IF($AU165&lt;&gt;"selected_for_runtime","no",IF(OR($AY165="context_with_coverage_gap",$AX165="exploratoria"),"ready_with_flags","ready")))</x:f>
      </x:c>
      <x:c r="BA165" s="81" t="str"/>
      <x:c r="BB165" s="81" t="str"/>
      <x:c r="BC165" s="81" t="str"/>
      <x:c r="BD165" s="81" t="str"/>
      <x:c r="BE165" s="81" t="str"/>
    </x:row>
    <x:row r="166">
      <x:c r="A166" s="81" t="str"/>
      <x:c r="B166" s="81" t="str"/>
      <x:c r="C166" s="81" t="str"/>
      <x:c r="D166" s="81" t="str"/>
      <x:c r="E166" s="81" t="str"/>
      <x:c r="F166" s="81" t="str"/>
      <x:c r="G166" s="81" t="str"/>
      <x:c r="H166" s="81" t="str"/>
      <x:c r="I166" s="81" t="str"/>
      <x:c r="J166" s="81" t="str"/>
      <x:c r="K166" s="81" t="str"/>
      <x:c r="L166" s="81" t="str"/>
      <x:c r="M166" s="81" t="str"/>
      <x:c r="N166" s="81" t="str"/>
      <x:c r="O166" s="81" t="str"/>
      <x:c r="P166" s="81" t="str"/>
      <x:c r="Q166" s="81" t="str"/>
      <x:c r="R166" s="81" t="str"/>
      <x:c r="S166" s="82" t="str"/>
      <x:c r="T166" s="82" t="str"/>
      <x:c r="U166" s="82" t="str"/>
      <x:c r="V166" s="82" t="str"/>
      <x:c r="W166" s="82" t="str"/>
      <x:c r="X166" s="82" t="str"/>
      <x:c r="Y166" s="82" t="str"/>
      <x:c r="Z166" s="82" t="str"/>
      <x:c r="AA166" s="82" t="str"/>
      <x:c r="AB166" s="82" t="str"/>
      <x:c r="AC166" s="82" t="str"/>
      <x:c r="AD166" s="82" t="str"/>
      <x:c r="AE166" s="82" t="str"/>
      <x:c r="AF166" s="82" t="str"/>
      <x:c r="AG166" s="82" t="str"/>
      <x:c r="AH166" s="82" t="str"/>
      <x:c r="AI166" s="81" t="str"/>
      <x:c r="AJ166" s="81" t="str"/>
      <x:c r="AK166" s="81" t="str">
        <x:f>IF($E166="","",IF(AND($M166="yes",OR($N166="yes",$N166="review"),OR($O166="yes",$O166="review"),$P166="fit",OR($Q166="unique",$Q166="alias_review"),$R166&lt;&gt;"context_only"),"pass","review/block"))</x:f>
      </x:c>
      <x:c r="AL166" s="81" t="str">
        <x:f>IF($E166="","",IF($AK166="pass","eligible",IF(OR($M166="no",$O166="no",$P166="too_macro",$P166="too_micro",$P166="context_only",$Q166="duplicate_confirmed",$R166="context_only"),"not_eligible","review")))</x:f>
      </x:c>
      <x:c r="AM166" s="81" t="str">
        <x:f>IF($E166="","",IF($C166=0,"reentry_required",IF($C166&lt;=8,"non_competitive_inclusion","competitive_selection")))</x:f>
      </x:c>
      <x:c r="AN166" s="82" t="str">
        <x:f>IF($E166="","",AVERAGE($U166:$X166))</x:f>
      </x:c>
      <x:c r="AO166" s="82" t="str">
        <x:f>IF($E166="","",AVERAGE($S166:$T166))</x:f>
      </x:c>
      <x:c r="AP166" s="82" t="str">
        <x:f>IF($E166="","",($AF166*0.08)+($AG166*0.08)+($AH166*0.10))</x:f>
      </x:c>
      <x:c r="AQ166" s="82" t="str">
        <x:f>IF($E166="","",MAX(0,($AN166*0.30)+($Y166*0.20)+($Z166*0.15)+($AA166*0.15)+($AB166*0.10)+($AC166*0.10)+($AE166*0.05)-$AP166))</x:f>
      </x:c>
      <x:c r="AR166" s="81" t="str">
        <x:f>IF($E166="","",IF($AM166="competitive_selection",RANK.EQ($AQ166,$AQ$2:$AQ$201,0),""))</x:f>
      </x:c>
      <x:c r="AS166" s="81" t="str">
        <x:f>IF($E166="","",IF(AND($AM166="non_competitive_inclusion",$AL166="eligible"),"selected",""))</x:f>
      </x:c>
      <x:c r="AT166" s="81" t="str">
        <x:f>IF($E166="","",IF($AM166&lt;&gt;"competitive_selection","",IF(AND($AL166="eligible",$AR166&lt;=8),"selected","context/backlog")))</x:f>
      </x:c>
      <x:c r="AU166" s="81" t="str">
        <x:f>IF($E166="","",IF($AM166="reentry_required","not_selected_reentry",IF($AS166="selected","selected_for_runtime",IF($AT166="selected","selected_for_runtime",IF($AL166="review","manual_review","context_or_not_selected")))))</x:f>
      </x:c>
      <x:c r="AV166" s="81" t="str">
        <x:f>IF($E166="","",IF($AU166="selected_for_runtime",IF($AM166="competitive_selection",$AR166,COUNTIF($AU$2:AU166,"selected_for_runtime")),""))</x:f>
      </x:c>
      <x:c r="AW166" s="81" t="str">
        <x:f>IF($E166="","",IF($AU166="selected_for_runtime",IF($AD166&gt;=2,"base_40_plus_uncertainty_probes",IF($AE166&gt;=2,"base_40_plus_exploratory_probes","base_40_standard")),"no_runtime"))</x:f>
      </x:c>
      <x:c r="AX166" s="81" t="str">
        <x:f>IF($E166="","",IF($AU166&lt;&gt;"selected_for_runtime","none",IF($AE166&gt;=2,"exploratoria",IF($AQ166&gt;=2.2,"alta",IF($AQ166&gt;=1.2,"media","baja")))))</x:f>
      </x:c>
      <x:c r="AY166" s="81" t="str">
        <x:f>IF($E166="","",IF($AJ166=TRUE,"context_with_coverage_gap",IF($AI166="review","context_requires_confirmation","context_ready")))</x:f>
      </x:c>
      <x:c r="AZ166" s="81" t="str">
        <x:f>IF($E166="","",IF($AU166&lt;&gt;"selected_for_runtime","no",IF(OR($AY166="context_with_coverage_gap",$AX166="exploratoria"),"ready_with_flags","ready")))</x:f>
      </x:c>
      <x:c r="BA166" s="81" t="str"/>
      <x:c r="BB166" s="81" t="str"/>
      <x:c r="BC166" s="81" t="str"/>
      <x:c r="BD166" s="81" t="str"/>
      <x:c r="BE166" s="81" t="str"/>
    </x:row>
    <x:row r="167">
      <x:c r="A167" s="81" t="str"/>
      <x:c r="B167" s="81" t="str"/>
      <x:c r="C167" s="81" t="str"/>
      <x:c r="D167" s="81" t="str"/>
      <x:c r="E167" s="81" t="str"/>
      <x:c r="F167" s="81" t="str"/>
      <x:c r="G167" s="81" t="str"/>
      <x:c r="H167" s="81" t="str"/>
      <x:c r="I167" s="81" t="str"/>
      <x:c r="J167" s="81" t="str"/>
      <x:c r="K167" s="81" t="str"/>
      <x:c r="L167" s="81" t="str"/>
      <x:c r="M167" s="81" t="str"/>
      <x:c r="N167" s="81" t="str"/>
      <x:c r="O167" s="81" t="str"/>
      <x:c r="P167" s="81" t="str"/>
      <x:c r="Q167" s="81" t="str"/>
      <x:c r="R167" s="81" t="str"/>
      <x:c r="S167" s="82" t="str"/>
      <x:c r="T167" s="82" t="str"/>
      <x:c r="U167" s="82" t="str"/>
      <x:c r="V167" s="82" t="str"/>
      <x:c r="W167" s="82" t="str"/>
      <x:c r="X167" s="82" t="str"/>
      <x:c r="Y167" s="82" t="str"/>
      <x:c r="Z167" s="82" t="str"/>
      <x:c r="AA167" s="82" t="str"/>
      <x:c r="AB167" s="82" t="str"/>
      <x:c r="AC167" s="82" t="str"/>
      <x:c r="AD167" s="82" t="str"/>
      <x:c r="AE167" s="82" t="str"/>
      <x:c r="AF167" s="82" t="str"/>
      <x:c r="AG167" s="82" t="str"/>
      <x:c r="AH167" s="82" t="str"/>
      <x:c r="AI167" s="81" t="str"/>
      <x:c r="AJ167" s="81" t="str"/>
      <x:c r="AK167" s="81" t="str">
        <x:f>IF($E167="","",IF(AND($M167="yes",OR($N167="yes",$N167="review"),OR($O167="yes",$O167="review"),$P167="fit",OR($Q167="unique",$Q167="alias_review"),$R167&lt;&gt;"context_only"),"pass","review/block"))</x:f>
      </x:c>
      <x:c r="AL167" s="81" t="str">
        <x:f>IF($E167="","",IF($AK167="pass","eligible",IF(OR($M167="no",$O167="no",$P167="too_macro",$P167="too_micro",$P167="context_only",$Q167="duplicate_confirmed",$R167="context_only"),"not_eligible","review")))</x:f>
      </x:c>
      <x:c r="AM167" s="81" t="str">
        <x:f>IF($E167="","",IF($C167=0,"reentry_required",IF($C167&lt;=8,"non_competitive_inclusion","competitive_selection")))</x:f>
      </x:c>
      <x:c r="AN167" s="82" t="str">
        <x:f>IF($E167="","",AVERAGE($U167:$X167))</x:f>
      </x:c>
      <x:c r="AO167" s="82" t="str">
        <x:f>IF($E167="","",AVERAGE($S167:$T167))</x:f>
      </x:c>
      <x:c r="AP167" s="82" t="str">
        <x:f>IF($E167="","",($AF167*0.08)+($AG167*0.08)+($AH167*0.10))</x:f>
      </x:c>
      <x:c r="AQ167" s="82" t="str">
        <x:f>IF($E167="","",MAX(0,($AN167*0.30)+($Y167*0.20)+($Z167*0.15)+($AA167*0.15)+($AB167*0.10)+($AC167*0.10)+($AE167*0.05)-$AP167))</x:f>
      </x:c>
      <x:c r="AR167" s="81" t="str">
        <x:f>IF($E167="","",IF($AM167="competitive_selection",RANK.EQ($AQ167,$AQ$2:$AQ$201,0),""))</x:f>
      </x:c>
      <x:c r="AS167" s="81" t="str">
        <x:f>IF($E167="","",IF(AND($AM167="non_competitive_inclusion",$AL167="eligible"),"selected",""))</x:f>
      </x:c>
      <x:c r="AT167" s="81" t="str">
        <x:f>IF($E167="","",IF($AM167&lt;&gt;"competitive_selection","",IF(AND($AL167="eligible",$AR167&lt;=8),"selected","context/backlog")))</x:f>
      </x:c>
      <x:c r="AU167" s="81" t="str">
        <x:f>IF($E167="","",IF($AM167="reentry_required","not_selected_reentry",IF($AS167="selected","selected_for_runtime",IF($AT167="selected","selected_for_runtime",IF($AL167="review","manual_review","context_or_not_selected")))))</x:f>
      </x:c>
      <x:c r="AV167" s="81" t="str">
        <x:f>IF($E167="","",IF($AU167="selected_for_runtime",IF($AM167="competitive_selection",$AR167,COUNTIF($AU$2:AU167,"selected_for_runtime")),""))</x:f>
      </x:c>
      <x:c r="AW167" s="81" t="str">
        <x:f>IF($E167="","",IF($AU167="selected_for_runtime",IF($AD167&gt;=2,"base_40_plus_uncertainty_probes",IF($AE167&gt;=2,"base_40_plus_exploratory_probes","base_40_standard")),"no_runtime"))</x:f>
      </x:c>
      <x:c r="AX167" s="81" t="str">
        <x:f>IF($E167="","",IF($AU167&lt;&gt;"selected_for_runtime","none",IF($AE167&gt;=2,"exploratoria",IF($AQ167&gt;=2.2,"alta",IF($AQ167&gt;=1.2,"media","baja")))))</x:f>
      </x:c>
      <x:c r="AY167" s="81" t="str">
        <x:f>IF($E167="","",IF($AJ167=TRUE,"context_with_coverage_gap",IF($AI167="review","context_requires_confirmation","context_ready")))</x:f>
      </x:c>
      <x:c r="AZ167" s="81" t="str">
        <x:f>IF($E167="","",IF($AU167&lt;&gt;"selected_for_runtime","no",IF(OR($AY167="context_with_coverage_gap",$AX167="exploratoria"),"ready_with_flags","ready")))</x:f>
      </x:c>
      <x:c r="BA167" s="81" t="str"/>
      <x:c r="BB167" s="81" t="str"/>
      <x:c r="BC167" s="81" t="str"/>
      <x:c r="BD167" s="81" t="str"/>
      <x:c r="BE167" s="81" t="str"/>
    </x:row>
    <x:row r="168">
      <x:c r="A168" s="81" t="str"/>
      <x:c r="B168" s="81" t="str"/>
      <x:c r="C168" s="81" t="str"/>
      <x:c r="D168" s="81" t="str"/>
      <x:c r="E168" s="81" t="str"/>
      <x:c r="F168" s="81" t="str"/>
      <x:c r="G168" s="81" t="str"/>
      <x:c r="H168" s="81" t="str"/>
      <x:c r="I168" s="81" t="str"/>
      <x:c r="J168" s="81" t="str"/>
      <x:c r="K168" s="81" t="str"/>
      <x:c r="L168" s="81" t="str"/>
      <x:c r="M168" s="81" t="str"/>
      <x:c r="N168" s="81" t="str"/>
      <x:c r="O168" s="81" t="str"/>
      <x:c r="P168" s="81" t="str"/>
      <x:c r="Q168" s="81" t="str"/>
      <x:c r="R168" s="81" t="str"/>
      <x:c r="S168" s="82" t="str"/>
      <x:c r="T168" s="82" t="str"/>
      <x:c r="U168" s="82" t="str"/>
      <x:c r="V168" s="82" t="str"/>
      <x:c r="W168" s="82" t="str"/>
      <x:c r="X168" s="82" t="str"/>
      <x:c r="Y168" s="82" t="str"/>
      <x:c r="Z168" s="82" t="str"/>
      <x:c r="AA168" s="82" t="str"/>
      <x:c r="AB168" s="82" t="str"/>
      <x:c r="AC168" s="82" t="str"/>
      <x:c r="AD168" s="82" t="str"/>
      <x:c r="AE168" s="82" t="str"/>
      <x:c r="AF168" s="82" t="str"/>
      <x:c r="AG168" s="82" t="str"/>
      <x:c r="AH168" s="82" t="str"/>
      <x:c r="AI168" s="81" t="str"/>
      <x:c r="AJ168" s="81" t="str"/>
      <x:c r="AK168" s="81" t="str">
        <x:f>IF($E168="","",IF(AND($M168="yes",OR($N168="yes",$N168="review"),OR($O168="yes",$O168="review"),$P168="fit",OR($Q168="unique",$Q168="alias_review"),$R168&lt;&gt;"context_only"),"pass","review/block"))</x:f>
      </x:c>
      <x:c r="AL168" s="81" t="str">
        <x:f>IF($E168="","",IF($AK168="pass","eligible",IF(OR($M168="no",$O168="no",$P168="too_macro",$P168="too_micro",$P168="context_only",$Q168="duplicate_confirmed",$R168="context_only"),"not_eligible","review")))</x:f>
      </x:c>
      <x:c r="AM168" s="81" t="str">
        <x:f>IF($E168="","",IF($C168=0,"reentry_required",IF($C168&lt;=8,"non_competitive_inclusion","competitive_selection")))</x:f>
      </x:c>
      <x:c r="AN168" s="82" t="str">
        <x:f>IF($E168="","",AVERAGE($U168:$X168))</x:f>
      </x:c>
      <x:c r="AO168" s="82" t="str">
        <x:f>IF($E168="","",AVERAGE($S168:$T168))</x:f>
      </x:c>
      <x:c r="AP168" s="82" t="str">
        <x:f>IF($E168="","",($AF168*0.08)+($AG168*0.08)+($AH168*0.10))</x:f>
      </x:c>
      <x:c r="AQ168" s="82" t="str">
        <x:f>IF($E168="","",MAX(0,($AN168*0.30)+($Y168*0.20)+($Z168*0.15)+($AA168*0.15)+($AB168*0.10)+($AC168*0.10)+($AE168*0.05)-$AP168))</x:f>
      </x:c>
      <x:c r="AR168" s="81" t="str">
        <x:f>IF($E168="","",IF($AM168="competitive_selection",RANK.EQ($AQ168,$AQ$2:$AQ$201,0),""))</x:f>
      </x:c>
      <x:c r="AS168" s="81" t="str">
        <x:f>IF($E168="","",IF(AND($AM168="non_competitive_inclusion",$AL168="eligible"),"selected",""))</x:f>
      </x:c>
      <x:c r="AT168" s="81" t="str">
        <x:f>IF($E168="","",IF($AM168&lt;&gt;"competitive_selection","",IF(AND($AL168="eligible",$AR168&lt;=8),"selected","context/backlog")))</x:f>
      </x:c>
      <x:c r="AU168" s="81" t="str">
        <x:f>IF($E168="","",IF($AM168="reentry_required","not_selected_reentry",IF($AS168="selected","selected_for_runtime",IF($AT168="selected","selected_for_runtime",IF($AL168="review","manual_review","context_or_not_selected")))))</x:f>
      </x:c>
      <x:c r="AV168" s="81" t="str">
        <x:f>IF($E168="","",IF($AU168="selected_for_runtime",IF($AM168="competitive_selection",$AR168,COUNTIF($AU$2:AU168,"selected_for_runtime")),""))</x:f>
      </x:c>
      <x:c r="AW168" s="81" t="str">
        <x:f>IF($E168="","",IF($AU168="selected_for_runtime",IF($AD168&gt;=2,"base_40_plus_uncertainty_probes",IF($AE168&gt;=2,"base_40_plus_exploratory_probes","base_40_standard")),"no_runtime"))</x:f>
      </x:c>
      <x:c r="AX168" s="81" t="str">
        <x:f>IF($E168="","",IF($AU168&lt;&gt;"selected_for_runtime","none",IF($AE168&gt;=2,"exploratoria",IF($AQ168&gt;=2.2,"alta",IF($AQ168&gt;=1.2,"media","baja")))))</x:f>
      </x:c>
      <x:c r="AY168" s="81" t="str">
        <x:f>IF($E168="","",IF($AJ168=TRUE,"context_with_coverage_gap",IF($AI168="review","context_requires_confirmation","context_ready")))</x:f>
      </x:c>
      <x:c r="AZ168" s="81" t="str">
        <x:f>IF($E168="","",IF($AU168&lt;&gt;"selected_for_runtime","no",IF(OR($AY168="context_with_coverage_gap",$AX168="exploratoria"),"ready_with_flags","ready")))</x:f>
      </x:c>
      <x:c r="BA168" s="81" t="str"/>
      <x:c r="BB168" s="81" t="str"/>
      <x:c r="BC168" s="81" t="str"/>
      <x:c r="BD168" s="81" t="str"/>
      <x:c r="BE168" s="81" t="str"/>
    </x:row>
    <x:row r="169">
      <x:c r="A169" s="81" t="str"/>
      <x:c r="B169" s="81" t="str"/>
      <x:c r="C169" s="81" t="str"/>
      <x:c r="D169" s="81" t="str"/>
      <x:c r="E169" s="81" t="str"/>
      <x:c r="F169" s="81" t="str"/>
      <x:c r="G169" s="81" t="str"/>
      <x:c r="H169" s="81" t="str"/>
      <x:c r="I169" s="81" t="str"/>
      <x:c r="J169" s="81" t="str"/>
      <x:c r="K169" s="81" t="str"/>
      <x:c r="L169" s="81" t="str"/>
      <x:c r="M169" s="81" t="str"/>
      <x:c r="N169" s="81" t="str"/>
      <x:c r="O169" s="81" t="str"/>
      <x:c r="P169" s="81" t="str"/>
      <x:c r="Q169" s="81" t="str"/>
      <x:c r="R169" s="81" t="str"/>
      <x:c r="S169" s="82" t="str"/>
      <x:c r="T169" s="82" t="str"/>
      <x:c r="U169" s="82" t="str"/>
      <x:c r="V169" s="82" t="str"/>
      <x:c r="W169" s="82" t="str"/>
      <x:c r="X169" s="82" t="str"/>
      <x:c r="Y169" s="82" t="str"/>
      <x:c r="Z169" s="82" t="str"/>
      <x:c r="AA169" s="82" t="str"/>
      <x:c r="AB169" s="82" t="str"/>
      <x:c r="AC169" s="82" t="str"/>
      <x:c r="AD169" s="82" t="str"/>
      <x:c r="AE169" s="82" t="str"/>
      <x:c r="AF169" s="82" t="str"/>
      <x:c r="AG169" s="82" t="str"/>
      <x:c r="AH169" s="82" t="str"/>
      <x:c r="AI169" s="81" t="str"/>
      <x:c r="AJ169" s="81" t="str"/>
      <x:c r="AK169" s="81" t="str">
        <x:f>IF($E169="","",IF(AND($M169="yes",OR($N169="yes",$N169="review"),OR($O169="yes",$O169="review"),$P169="fit",OR($Q169="unique",$Q169="alias_review"),$R169&lt;&gt;"context_only"),"pass","review/block"))</x:f>
      </x:c>
      <x:c r="AL169" s="81" t="str">
        <x:f>IF($E169="","",IF($AK169="pass","eligible",IF(OR($M169="no",$O169="no",$P169="too_macro",$P169="too_micro",$P169="context_only",$Q169="duplicate_confirmed",$R169="context_only"),"not_eligible","review")))</x:f>
      </x:c>
      <x:c r="AM169" s="81" t="str">
        <x:f>IF($E169="","",IF($C169=0,"reentry_required",IF($C169&lt;=8,"non_competitive_inclusion","competitive_selection")))</x:f>
      </x:c>
      <x:c r="AN169" s="82" t="str">
        <x:f>IF($E169="","",AVERAGE($U169:$X169))</x:f>
      </x:c>
      <x:c r="AO169" s="82" t="str">
        <x:f>IF($E169="","",AVERAGE($S169:$T169))</x:f>
      </x:c>
      <x:c r="AP169" s="82" t="str">
        <x:f>IF($E169="","",($AF169*0.08)+($AG169*0.08)+($AH169*0.10))</x:f>
      </x:c>
      <x:c r="AQ169" s="82" t="str">
        <x:f>IF($E169="","",MAX(0,($AN169*0.30)+($Y169*0.20)+($Z169*0.15)+($AA169*0.15)+($AB169*0.10)+($AC169*0.10)+($AE169*0.05)-$AP169))</x:f>
      </x:c>
      <x:c r="AR169" s="81" t="str">
        <x:f>IF($E169="","",IF($AM169="competitive_selection",RANK.EQ($AQ169,$AQ$2:$AQ$201,0),""))</x:f>
      </x:c>
      <x:c r="AS169" s="81" t="str">
        <x:f>IF($E169="","",IF(AND($AM169="non_competitive_inclusion",$AL169="eligible"),"selected",""))</x:f>
      </x:c>
      <x:c r="AT169" s="81" t="str">
        <x:f>IF($E169="","",IF($AM169&lt;&gt;"competitive_selection","",IF(AND($AL169="eligible",$AR169&lt;=8),"selected","context/backlog")))</x:f>
      </x:c>
      <x:c r="AU169" s="81" t="str">
        <x:f>IF($E169="","",IF($AM169="reentry_required","not_selected_reentry",IF($AS169="selected","selected_for_runtime",IF($AT169="selected","selected_for_runtime",IF($AL169="review","manual_review","context_or_not_selected")))))</x:f>
      </x:c>
      <x:c r="AV169" s="81" t="str">
        <x:f>IF($E169="","",IF($AU169="selected_for_runtime",IF($AM169="competitive_selection",$AR169,COUNTIF($AU$2:AU169,"selected_for_runtime")),""))</x:f>
      </x:c>
      <x:c r="AW169" s="81" t="str">
        <x:f>IF($E169="","",IF($AU169="selected_for_runtime",IF($AD169&gt;=2,"base_40_plus_uncertainty_probes",IF($AE169&gt;=2,"base_40_plus_exploratory_probes","base_40_standard")),"no_runtime"))</x:f>
      </x:c>
      <x:c r="AX169" s="81" t="str">
        <x:f>IF($E169="","",IF($AU169&lt;&gt;"selected_for_runtime","none",IF($AE169&gt;=2,"exploratoria",IF($AQ169&gt;=2.2,"alta",IF($AQ169&gt;=1.2,"media","baja")))))</x:f>
      </x:c>
      <x:c r="AY169" s="81" t="str">
        <x:f>IF($E169="","",IF($AJ169=TRUE,"context_with_coverage_gap",IF($AI169="review","context_requires_confirmation","context_ready")))</x:f>
      </x:c>
      <x:c r="AZ169" s="81" t="str">
        <x:f>IF($E169="","",IF($AU169&lt;&gt;"selected_for_runtime","no",IF(OR($AY169="context_with_coverage_gap",$AX169="exploratoria"),"ready_with_flags","ready")))</x:f>
      </x:c>
      <x:c r="BA169" s="81" t="str"/>
      <x:c r="BB169" s="81" t="str"/>
      <x:c r="BC169" s="81" t="str"/>
      <x:c r="BD169" s="81" t="str"/>
      <x:c r="BE169" s="81" t="str"/>
    </x:row>
    <x:row r="170">
      <x:c r="A170" s="81" t="str"/>
      <x:c r="B170" s="81" t="str"/>
      <x:c r="C170" s="81" t="str"/>
      <x:c r="D170" s="81" t="str"/>
      <x:c r="E170" s="81" t="str"/>
      <x:c r="F170" s="81" t="str"/>
      <x:c r="G170" s="81" t="str"/>
      <x:c r="H170" s="81" t="str"/>
      <x:c r="I170" s="81" t="str"/>
      <x:c r="J170" s="81" t="str"/>
      <x:c r="K170" s="81" t="str"/>
      <x:c r="L170" s="81" t="str"/>
      <x:c r="M170" s="81" t="str"/>
      <x:c r="N170" s="81" t="str"/>
      <x:c r="O170" s="81" t="str"/>
      <x:c r="P170" s="81" t="str"/>
      <x:c r="Q170" s="81" t="str"/>
      <x:c r="R170" s="81" t="str"/>
      <x:c r="S170" s="82" t="str"/>
      <x:c r="T170" s="82" t="str"/>
      <x:c r="U170" s="82" t="str"/>
      <x:c r="V170" s="82" t="str"/>
      <x:c r="W170" s="82" t="str"/>
      <x:c r="X170" s="82" t="str"/>
      <x:c r="Y170" s="82" t="str"/>
      <x:c r="Z170" s="82" t="str"/>
      <x:c r="AA170" s="82" t="str"/>
      <x:c r="AB170" s="82" t="str"/>
      <x:c r="AC170" s="82" t="str"/>
      <x:c r="AD170" s="82" t="str"/>
      <x:c r="AE170" s="82" t="str"/>
      <x:c r="AF170" s="82" t="str"/>
      <x:c r="AG170" s="82" t="str"/>
      <x:c r="AH170" s="82" t="str"/>
      <x:c r="AI170" s="81" t="str"/>
      <x:c r="AJ170" s="81" t="str"/>
      <x:c r="AK170" s="81" t="str">
        <x:f>IF($E170="","",IF(AND($M170="yes",OR($N170="yes",$N170="review"),OR($O170="yes",$O170="review"),$P170="fit",OR($Q170="unique",$Q170="alias_review"),$R170&lt;&gt;"context_only"),"pass","review/block"))</x:f>
      </x:c>
      <x:c r="AL170" s="81" t="str">
        <x:f>IF($E170="","",IF($AK170="pass","eligible",IF(OR($M170="no",$O170="no",$P170="too_macro",$P170="too_micro",$P170="context_only",$Q170="duplicate_confirmed",$R170="context_only"),"not_eligible","review")))</x:f>
      </x:c>
      <x:c r="AM170" s="81" t="str">
        <x:f>IF($E170="","",IF($C170=0,"reentry_required",IF($C170&lt;=8,"non_competitive_inclusion","competitive_selection")))</x:f>
      </x:c>
      <x:c r="AN170" s="82" t="str">
        <x:f>IF($E170="","",AVERAGE($U170:$X170))</x:f>
      </x:c>
      <x:c r="AO170" s="82" t="str">
        <x:f>IF($E170="","",AVERAGE($S170:$T170))</x:f>
      </x:c>
      <x:c r="AP170" s="82" t="str">
        <x:f>IF($E170="","",($AF170*0.08)+($AG170*0.08)+($AH170*0.10))</x:f>
      </x:c>
      <x:c r="AQ170" s="82" t="str">
        <x:f>IF($E170="","",MAX(0,($AN170*0.30)+($Y170*0.20)+($Z170*0.15)+($AA170*0.15)+($AB170*0.10)+($AC170*0.10)+($AE170*0.05)-$AP170))</x:f>
      </x:c>
      <x:c r="AR170" s="81" t="str">
        <x:f>IF($E170="","",IF($AM170="competitive_selection",RANK.EQ($AQ170,$AQ$2:$AQ$201,0),""))</x:f>
      </x:c>
      <x:c r="AS170" s="81" t="str">
        <x:f>IF($E170="","",IF(AND($AM170="non_competitive_inclusion",$AL170="eligible"),"selected",""))</x:f>
      </x:c>
      <x:c r="AT170" s="81" t="str">
        <x:f>IF($E170="","",IF($AM170&lt;&gt;"competitive_selection","",IF(AND($AL170="eligible",$AR170&lt;=8),"selected","context/backlog")))</x:f>
      </x:c>
      <x:c r="AU170" s="81" t="str">
        <x:f>IF($E170="","",IF($AM170="reentry_required","not_selected_reentry",IF($AS170="selected","selected_for_runtime",IF($AT170="selected","selected_for_runtime",IF($AL170="review","manual_review","context_or_not_selected")))))</x:f>
      </x:c>
      <x:c r="AV170" s="81" t="str">
        <x:f>IF($E170="","",IF($AU170="selected_for_runtime",IF($AM170="competitive_selection",$AR170,COUNTIF($AU$2:AU170,"selected_for_runtime")),""))</x:f>
      </x:c>
      <x:c r="AW170" s="81" t="str">
        <x:f>IF($E170="","",IF($AU170="selected_for_runtime",IF($AD170&gt;=2,"base_40_plus_uncertainty_probes",IF($AE170&gt;=2,"base_40_plus_exploratory_probes","base_40_standard")),"no_runtime"))</x:f>
      </x:c>
      <x:c r="AX170" s="81" t="str">
        <x:f>IF($E170="","",IF($AU170&lt;&gt;"selected_for_runtime","none",IF($AE170&gt;=2,"exploratoria",IF($AQ170&gt;=2.2,"alta",IF($AQ170&gt;=1.2,"media","baja")))))</x:f>
      </x:c>
      <x:c r="AY170" s="81" t="str">
        <x:f>IF($E170="","",IF($AJ170=TRUE,"context_with_coverage_gap",IF($AI170="review","context_requires_confirmation","context_ready")))</x:f>
      </x:c>
      <x:c r="AZ170" s="81" t="str">
        <x:f>IF($E170="","",IF($AU170&lt;&gt;"selected_for_runtime","no",IF(OR($AY170="context_with_coverage_gap",$AX170="exploratoria"),"ready_with_flags","ready")))</x:f>
      </x:c>
      <x:c r="BA170" s="81" t="str"/>
      <x:c r="BB170" s="81" t="str"/>
      <x:c r="BC170" s="81" t="str"/>
      <x:c r="BD170" s="81" t="str"/>
      <x:c r="BE170" s="81" t="str"/>
    </x:row>
    <x:row r="171">
      <x:c r="A171" s="81" t="str"/>
      <x:c r="B171" s="81" t="str"/>
      <x:c r="C171" s="81" t="str"/>
      <x:c r="D171" s="81" t="str"/>
      <x:c r="E171" s="81" t="str"/>
      <x:c r="F171" s="81" t="str"/>
      <x:c r="G171" s="81" t="str"/>
      <x:c r="H171" s="81" t="str"/>
      <x:c r="I171" s="81" t="str"/>
      <x:c r="J171" s="81" t="str"/>
      <x:c r="K171" s="81" t="str"/>
      <x:c r="L171" s="81" t="str"/>
      <x:c r="M171" s="81" t="str"/>
      <x:c r="N171" s="81" t="str"/>
      <x:c r="O171" s="81" t="str"/>
      <x:c r="P171" s="81" t="str"/>
      <x:c r="Q171" s="81" t="str"/>
      <x:c r="R171" s="81" t="str"/>
      <x:c r="S171" s="82" t="str"/>
      <x:c r="T171" s="82" t="str"/>
      <x:c r="U171" s="82" t="str"/>
      <x:c r="V171" s="82" t="str"/>
      <x:c r="W171" s="82" t="str"/>
      <x:c r="X171" s="82" t="str"/>
      <x:c r="Y171" s="82" t="str"/>
      <x:c r="Z171" s="82" t="str"/>
      <x:c r="AA171" s="82" t="str"/>
      <x:c r="AB171" s="82" t="str"/>
      <x:c r="AC171" s="82" t="str"/>
      <x:c r="AD171" s="82" t="str"/>
      <x:c r="AE171" s="82" t="str"/>
      <x:c r="AF171" s="82" t="str"/>
      <x:c r="AG171" s="82" t="str"/>
      <x:c r="AH171" s="82" t="str"/>
      <x:c r="AI171" s="81" t="str"/>
      <x:c r="AJ171" s="81" t="str"/>
      <x:c r="AK171" s="81" t="str">
        <x:f>IF($E171="","",IF(AND($M171="yes",OR($N171="yes",$N171="review"),OR($O171="yes",$O171="review"),$P171="fit",OR($Q171="unique",$Q171="alias_review"),$R171&lt;&gt;"context_only"),"pass","review/block"))</x:f>
      </x:c>
      <x:c r="AL171" s="81" t="str">
        <x:f>IF($E171="","",IF($AK171="pass","eligible",IF(OR($M171="no",$O171="no",$P171="too_macro",$P171="too_micro",$P171="context_only",$Q171="duplicate_confirmed",$R171="context_only"),"not_eligible","review")))</x:f>
      </x:c>
      <x:c r="AM171" s="81" t="str">
        <x:f>IF($E171="","",IF($C171=0,"reentry_required",IF($C171&lt;=8,"non_competitive_inclusion","competitive_selection")))</x:f>
      </x:c>
      <x:c r="AN171" s="82" t="str">
        <x:f>IF($E171="","",AVERAGE($U171:$X171))</x:f>
      </x:c>
      <x:c r="AO171" s="82" t="str">
        <x:f>IF($E171="","",AVERAGE($S171:$T171))</x:f>
      </x:c>
      <x:c r="AP171" s="82" t="str">
        <x:f>IF($E171="","",($AF171*0.08)+($AG171*0.08)+($AH171*0.10))</x:f>
      </x:c>
      <x:c r="AQ171" s="82" t="str">
        <x:f>IF($E171="","",MAX(0,($AN171*0.30)+($Y171*0.20)+($Z171*0.15)+($AA171*0.15)+($AB171*0.10)+($AC171*0.10)+($AE171*0.05)-$AP171))</x:f>
      </x:c>
      <x:c r="AR171" s="81" t="str">
        <x:f>IF($E171="","",IF($AM171="competitive_selection",RANK.EQ($AQ171,$AQ$2:$AQ$201,0),""))</x:f>
      </x:c>
      <x:c r="AS171" s="81" t="str">
        <x:f>IF($E171="","",IF(AND($AM171="non_competitive_inclusion",$AL171="eligible"),"selected",""))</x:f>
      </x:c>
      <x:c r="AT171" s="81" t="str">
        <x:f>IF($E171="","",IF($AM171&lt;&gt;"competitive_selection","",IF(AND($AL171="eligible",$AR171&lt;=8),"selected","context/backlog")))</x:f>
      </x:c>
      <x:c r="AU171" s="81" t="str">
        <x:f>IF($E171="","",IF($AM171="reentry_required","not_selected_reentry",IF($AS171="selected","selected_for_runtime",IF($AT171="selected","selected_for_runtime",IF($AL171="review","manual_review","context_or_not_selected")))))</x:f>
      </x:c>
      <x:c r="AV171" s="81" t="str">
        <x:f>IF($E171="","",IF($AU171="selected_for_runtime",IF($AM171="competitive_selection",$AR171,COUNTIF($AU$2:AU171,"selected_for_runtime")),""))</x:f>
      </x:c>
      <x:c r="AW171" s="81" t="str">
        <x:f>IF($E171="","",IF($AU171="selected_for_runtime",IF($AD171&gt;=2,"base_40_plus_uncertainty_probes",IF($AE171&gt;=2,"base_40_plus_exploratory_probes","base_40_standard")),"no_runtime"))</x:f>
      </x:c>
      <x:c r="AX171" s="81" t="str">
        <x:f>IF($E171="","",IF($AU171&lt;&gt;"selected_for_runtime","none",IF($AE171&gt;=2,"exploratoria",IF($AQ171&gt;=2.2,"alta",IF($AQ171&gt;=1.2,"media","baja")))))</x:f>
      </x:c>
      <x:c r="AY171" s="81" t="str">
        <x:f>IF($E171="","",IF($AJ171=TRUE,"context_with_coverage_gap",IF($AI171="review","context_requires_confirmation","context_ready")))</x:f>
      </x:c>
      <x:c r="AZ171" s="81" t="str">
        <x:f>IF($E171="","",IF($AU171&lt;&gt;"selected_for_runtime","no",IF(OR($AY171="context_with_coverage_gap",$AX171="exploratoria"),"ready_with_flags","ready")))</x:f>
      </x:c>
      <x:c r="BA171" s="81" t="str"/>
      <x:c r="BB171" s="81" t="str"/>
      <x:c r="BC171" s="81" t="str"/>
      <x:c r="BD171" s="81" t="str"/>
      <x:c r="BE171" s="81" t="str"/>
    </x:row>
    <x:row r="172">
      <x:c r="A172" s="81" t="str"/>
      <x:c r="B172" s="81" t="str"/>
      <x:c r="C172" s="81" t="str"/>
      <x:c r="D172" s="81" t="str"/>
      <x:c r="E172" s="81" t="str"/>
      <x:c r="F172" s="81" t="str"/>
      <x:c r="G172" s="81" t="str"/>
      <x:c r="H172" s="81" t="str"/>
      <x:c r="I172" s="81" t="str"/>
      <x:c r="J172" s="81" t="str"/>
      <x:c r="K172" s="81" t="str"/>
      <x:c r="L172" s="81" t="str"/>
      <x:c r="M172" s="81" t="str"/>
      <x:c r="N172" s="81" t="str"/>
      <x:c r="O172" s="81" t="str"/>
      <x:c r="P172" s="81" t="str"/>
      <x:c r="Q172" s="81" t="str"/>
      <x:c r="R172" s="81" t="str"/>
      <x:c r="S172" s="82" t="str"/>
      <x:c r="T172" s="82" t="str"/>
      <x:c r="U172" s="82" t="str"/>
      <x:c r="V172" s="82" t="str"/>
      <x:c r="W172" s="82" t="str"/>
      <x:c r="X172" s="82" t="str"/>
      <x:c r="Y172" s="82" t="str"/>
      <x:c r="Z172" s="82" t="str"/>
      <x:c r="AA172" s="82" t="str"/>
      <x:c r="AB172" s="82" t="str"/>
      <x:c r="AC172" s="82" t="str"/>
      <x:c r="AD172" s="82" t="str"/>
      <x:c r="AE172" s="82" t="str"/>
      <x:c r="AF172" s="82" t="str"/>
      <x:c r="AG172" s="82" t="str"/>
      <x:c r="AH172" s="82" t="str"/>
      <x:c r="AI172" s="81" t="str"/>
      <x:c r="AJ172" s="81" t="str"/>
      <x:c r="AK172" s="81" t="str">
        <x:f>IF($E172="","",IF(AND($M172="yes",OR($N172="yes",$N172="review"),OR($O172="yes",$O172="review"),$P172="fit",OR($Q172="unique",$Q172="alias_review"),$R172&lt;&gt;"context_only"),"pass","review/block"))</x:f>
      </x:c>
      <x:c r="AL172" s="81" t="str">
        <x:f>IF($E172="","",IF($AK172="pass","eligible",IF(OR($M172="no",$O172="no",$P172="too_macro",$P172="too_micro",$P172="context_only",$Q172="duplicate_confirmed",$R172="context_only"),"not_eligible","review")))</x:f>
      </x:c>
      <x:c r="AM172" s="81" t="str">
        <x:f>IF($E172="","",IF($C172=0,"reentry_required",IF($C172&lt;=8,"non_competitive_inclusion","competitive_selection")))</x:f>
      </x:c>
      <x:c r="AN172" s="82" t="str">
        <x:f>IF($E172="","",AVERAGE($U172:$X172))</x:f>
      </x:c>
      <x:c r="AO172" s="82" t="str">
        <x:f>IF($E172="","",AVERAGE($S172:$T172))</x:f>
      </x:c>
      <x:c r="AP172" s="82" t="str">
        <x:f>IF($E172="","",($AF172*0.08)+($AG172*0.08)+($AH172*0.10))</x:f>
      </x:c>
      <x:c r="AQ172" s="82" t="str">
        <x:f>IF($E172="","",MAX(0,($AN172*0.30)+($Y172*0.20)+($Z172*0.15)+($AA172*0.15)+($AB172*0.10)+($AC172*0.10)+($AE172*0.05)-$AP172))</x:f>
      </x:c>
      <x:c r="AR172" s="81" t="str">
        <x:f>IF($E172="","",IF($AM172="competitive_selection",RANK.EQ($AQ172,$AQ$2:$AQ$201,0),""))</x:f>
      </x:c>
      <x:c r="AS172" s="81" t="str">
        <x:f>IF($E172="","",IF(AND($AM172="non_competitive_inclusion",$AL172="eligible"),"selected",""))</x:f>
      </x:c>
      <x:c r="AT172" s="81" t="str">
        <x:f>IF($E172="","",IF($AM172&lt;&gt;"competitive_selection","",IF(AND($AL172="eligible",$AR172&lt;=8),"selected","context/backlog")))</x:f>
      </x:c>
      <x:c r="AU172" s="81" t="str">
        <x:f>IF($E172="","",IF($AM172="reentry_required","not_selected_reentry",IF($AS172="selected","selected_for_runtime",IF($AT172="selected","selected_for_runtime",IF($AL172="review","manual_review","context_or_not_selected")))))</x:f>
      </x:c>
      <x:c r="AV172" s="81" t="str">
        <x:f>IF($E172="","",IF($AU172="selected_for_runtime",IF($AM172="competitive_selection",$AR172,COUNTIF($AU$2:AU172,"selected_for_runtime")),""))</x:f>
      </x:c>
      <x:c r="AW172" s="81" t="str">
        <x:f>IF($E172="","",IF($AU172="selected_for_runtime",IF($AD172&gt;=2,"base_40_plus_uncertainty_probes",IF($AE172&gt;=2,"base_40_plus_exploratory_probes","base_40_standard")),"no_runtime"))</x:f>
      </x:c>
      <x:c r="AX172" s="81" t="str">
        <x:f>IF($E172="","",IF($AU172&lt;&gt;"selected_for_runtime","none",IF($AE172&gt;=2,"exploratoria",IF($AQ172&gt;=2.2,"alta",IF($AQ172&gt;=1.2,"media","baja")))))</x:f>
      </x:c>
      <x:c r="AY172" s="81" t="str">
        <x:f>IF($E172="","",IF($AJ172=TRUE,"context_with_coverage_gap",IF($AI172="review","context_requires_confirmation","context_ready")))</x:f>
      </x:c>
      <x:c r="AZ172" s="81" t="str">
        <x:f>IF($E172="","",IF($AU172&lt;&gt;"selected_for_runtime","no",IF(OR($AY172="context_with_coverage_gap",$AX172="exploratoria"),"ready_with_flags","ready")))</x:f>
      </x:c>
      <x:c r="BA172" s="81" t="str"/>
      <x:c r="BB172" s="81" t="str"/>
      <x:c r="BC172" s="81" t="str"/>
      <x:c r="BD172" s="81" t="str"/>
      <x:c r="BE172" s="81" t="str"/>
    </x:row>
    <x:row r="173">
      <x:c r="A173" s="81" t="str"/>
      <x:c r="B173" s="81" t="str"/>
      <x:c r="C173" s="81" t="str"/>
      <x:c r="D173" s="81" t="str"/>
      <x:c r="E173" s="81" t="str"/>
      <x:c r="F173" s="81" t="str"/>
      <x:c r="G173" s="81" t="str"/>
      <x:c r="H173" s="81" t="str"/>
      <x:c r="I173" s="81" t="str"/>
      <x:c r="J173" s="81" t="str"/>
      <x:c r="K173" s="81" t="str"/>
      <x:c r="L173" s="81" t="str"/>
      <x:c r="M173" s="81" t="str"/>
      <x:c r="N173" s="81" t="str"/>
      <x:c r="O173" s="81" t="str"/>
      <x:c r="P173" s="81" t="str"/>
      <x:c r="Q173" s="81" t="str"/>
      <x:c r="R173" s="81" t="str"/>
      <x:c r="S173" s="82" t="str"/>
      <x:c r="T173" s="82" t="str"/>
      <x:c r="U173" s="82" t="str"/>
      <x:c r="V173" s="82" t="str"/>
      <x:c r="W173" s="82" t="str"/>
      <x:c r="X173" s="82" t="str"/>
      <x:c r="Y173" s="82" t="str"/>
      <x:c r="Z173" s="82" t="str"/>
      <x:c r="AA173" s="82" t="str"/>
      <x:c r="AB173" s="82" t="str"/>
      <x:c r="AC173" s="82" t="str"/>
      <x:c r="AD173" s="82" t="str"/>
      <x:c r="AE173" s="82" t="str"/>
      <x:c r="AF173" s="82" t="str"/>
      <x:c r="AG173" s="82" t="str"/>
      <x:c r="AH173" s="82" t="str"/>
      <x:c r="AI173" s="81" t="str"/>
      <x:c r="AJ173" s="81" t="str"/>
      <x:c r="AK173" s="81" t="str">
        <x:f>IF($E173="","",IF(AND($M173="yes",OR($N173="yes",$N173="review"),OR($O173="yes",$O173="review"),$P173="fit",OR($Q173="unique",$Q173="alias_review"),$R173&lt;&gt;"context_only"),"pass","review/block"))</x:f>
      </x:c>
      <x:c r="AL173" s="81" t="str">
        <x:f>IF($E173="","",IF($AK173="pass","eligible",IF(OR($M173="no",$O173="no",$P173="too_macro",$P173="too_micro",$P173="context_only",$Q173="duplicate_confirmed",$R173="context_only"),"not_eligible","review")))</x:f>
      </x:c>
      <x:c r="AM173" s="81" t="str">
        <x:f>IF($E173="","",IF($C173=0,"reentry_required",IF($C173&lt;=8,"non_competitive_inclusion","competitive_selection")))</x:f>
      </x:c>
      <x:c r="AN173" s="82" t="str">
        <x:f>IF($E173="","",AVERAGE($U173:$X173))</x:f>
      </x:c>
      <x:c r="AO173" s="82" t="str">
        <x:f>IF($E173="","",AVERAGE($S173:$T173))</x:f>
      </x:c>
      <x:c r="AP173" s="82" t="str">
        <x:f>IF($E173="","",($AF173*0.08)+($AG173*0.08)+($AH173*0.10))</x:f>
      </x:c>
      <x:c r="AQ173" s="82" t="str">
        <x:f>IF($E173="","",MAX(0,($AN173*0.30)+($Y173*0.20)+($Z173*0.15)+($AA173*0.15)+($AB173*0.10)+($AC173*0.10)+($AE173*0.05)-$AP173))</x:f>
      </x:c>
      <x:c r="AR173" s="81" t="str">
        <x:f>IF($E173="","",IF($AM173="competitive_selection",RANK.EQ($AQ173,$AQ$2:$AQ$201,0),""))</x:f>
      </x:c>
      <x:c r="AS173" s="81" t="str">
        <x:f>IF($E173="","",IF(AND($AM173="non_competitive_inclusion",$AL173="eligible"),"selected",""))</x:f>
      </x:c>
      <x:c r="AT173" s="81" t="str">
        <x:f>IF($E173="","",IF($AM173&lt;&gt;"competitive_selection","",IF(AND($AL173="eligible",$AR173&lt;=8),"selected","context/backlog")))</x:f>
      </x:c>
      <x:c r="AU173" s="81" t="str">
        <x:f>IF($E173="","",IF($AM173="reentry_required","not_selected_reentry",IF($AS173="selected","selected_for_runtime",IF($AT173="selected","selected_for_runtime",IF($AL173="review","manual_review","context_or_not_selected")))))</x:f>
      </x:c>
      <x:c r="AV173" s="81" t="str">
        <x:f>IF($E173="","",IF($AU173="selected_for_runtime",IF($AM173="competitive_selection",$AR173,COUNTIF($AU$2:AU173,"selected_for_runtime")),""))</x:f>
      </x:c>
      <x:c r="AW173" s="81" t="str">
        <x:f>IF($E173="","",IF($AU173="selected_for_runtime",IF($AD173&gt;=2,"base_40_plus_uncertainty_probes",IF($AE173&gt;=2,"base_40_plus_exploratory_probes","base_40_standard")),"no_runtime"))</x:f>
      </x:c>
      <x:c r="AX173" s="81" t="str">
        <x:f>IF($E173="","",IF($AU173&lt;&gt;"selected_for_runtime","none",IF($AE173&gt;=2,"exploratoria",IF($AQ173&gt;=2.2,"alta",IF($AQ173&gt;=1.2,"media","baja")))))</x:f>
      </x:c>
      <x:c r="AY173" s="81" t="str">
        <x:f>IF($E173="","",IF($AJ173=TRUE,"context_with_coverage_gap",IF($AI173="review","context_requires_confirmation","context_ready")))</x:f>
      </x:c>
      <x:c r="AZ173" s="81" t="str">
        <x:f>IF($E173="","",IF($AU173&lt;&gt;"selected_for_runtime","no",IF(OR($AY173="context_with_coverage_gap",$AX173="exploratoria"),"ready_with_flags","ready")))</x:f>
      </x:c>
      <x:c r="BA173" s="81" t="str"/>
      <x:c r="BB173" s="81" t="str"/>
      <x:c r="BC173" s="81" t="str"/>
      <x:c r="BD173" s="81" t="str"/>
      <x:c r="BE173" s="81" t="str"/>
    </x:row>
    <x:row r="174">
      <x:c r="A174" s="81" t="str"/>
      <x:c r="B174" s="81" t="str"/>
      <x:c r="C174" s="81" t="str"/>
      <x:c r="D174" s="81" t="str"/>
      <x:c r="E174" s="81" t="str"/>
      <x:c r="F174" s="81" t="str"/>
      <x:c r="G174" s="81" t="str"/>
      <x:c r="H174" s="81" t="str"/>
      <x:c r="I174" s="81" t="str"/>
      <x:c r="J174" s="81" t="str"/>
      <x:c r="K174" s="81" t="str"/>
      <x:c r="L174" s="81" t="str"/>
      <x:c r="M174" s="81" t="str"/>
      <x:c r="N174" s="81" t="str"/>
      <x:c r="O174" s="81" t="str"/>
      <x:c r="P174" s="81" t="str"/>
      <x:c r="Q174" s="81" t="str"/>
      <x:c r="R174" s="81" t="str"/>
      <x:c r="S174" s="82" t="str"/>
      <x:c r="T174" s="82" t="str"/>
      <x:c r="U174" s="82" t="str"/>
      <x:c r="V174" s="82" t="str"/>
      <x:c r="W174" s="82" t="str"/>
      <x:c r="X174" s="82" t="str"/>
      <x:c r="Y174" s="82" t="str"/>
      <x:c r="Z174" s="82" t="str"/>
      <x:c r="AA174" s="82" t="str"/>
      <x:c r="AB174" s="82" t="str"/>
      <x:c r="AC174" s="82" t="str"/>
      <x:c r="AD174" s="82" t="str"/>
      <x:c r="AE174" s="82" t="str"/>
      <x:c r="AF174" s="82" t="str"/>
      <x:c r="AG174" s="82" t="str"/>
      <x:c r="AH174" s="82" t="str"/>
      <x:c r="AI174" s="81" t="str"/>
      <x:c r="AJ174" s="81" t="str"/>
      <x:c r="AK174" s="81" t="str">
        <x:f>IF($E174="","",IF(AND($M174="yes",OR($N174="yes",$N174="review"),OR($O174="yes",$O174="review"),$P174="fit",OR($Q174="unique",$Q174="alias_review"),$R174&lt;&gt;"context_only"),"pass","review/block"))</x:f>
      </x:c>
      <x:c r="AL174" s="81" t="str">
        <x:f>IF($E174="","",IF($AK174="pass","eligible",IF(OR($M174="no",$O174="no",$P174="too_macro",$P174="too_micro",$P174="context_only",$Q174="duplicate_confirmed",$R174="context_only"),"not_eligible","review")))</x:f>
      </x:c>
      <x:c r="AM174" s="81" t="str">
        <x:f>IF($E174="","",IF($C174=0,"reentry_required",IF($C174&lt;=8,"non_competitive_inclusion","competitive_selection")))</x:f>
      </x:c>
      <x:c r="AN174" s="82" t="str">
        <x:f>IF($E174="","",AVERAGE($U174:$X174))</x:f>
      </x:c>
      <x:c r="AO174" s="82" t="str">
        <x:f>IF($E174="","",AVERAGE($S174:$T174))</x:f>
      </x:c>
      <x:c r="AP174" s="82" t="str">
        <x:f>IF($E174="","",($AF174*0.08)+($AG174*0.08)+($AH174*0.10))</x:f>
      </x:c>
      <x:c r="AQ174" s="82" t="str">
        <x:f>IF($E174="","",MAX(0,($AN174*0.30)+($Y174*0.20)+($Z174*0.15)+($AA174*0.15)+($AB174*0.10)+($AC174*0.10)+($AE174*0.05)-$AP174))</x:f>
      </x:c>
      <x:c r="AR174" s="81" t="str">
        <x:f>IF($E174="","",IF($AM174="competitive_selection",RANK.EQ($AQ174,$AQ$2:$AQ$201,0),""))</x:f>
      </x:c>
      <x:c r="AS174" s="81" t="str">
        <x:f>IF($E174="","",IF(AND($AM174="non_competitive_inclusion",$AL174="eligible"),"selected",""))</x:f>
      </x:c>
      <x:c r="AT174" s="81" t="str">
        <x:f>IF($E174="","",IF($AM174&lt;&gt;"competitive_selection","",IF(AND($AL174="eligible",$AR174&lt;=8),"selected","context/backlog")))</x:f>
      </x:c>
      <x:c r="AU174" s="81" t="str">
        <x:f>IF($E174="","",IF($AM174="reentry_required","not_selected_reentry",IF($AS174="selected","selected_for_runtime",IF($AT174="selected","selected_for_runtime",IF($AL174="review","manual_review","context_or_not_selected")))))</x:f>
      </x:c>
      <x:c r="AV174" s="81" t="str">
        <x:f>IF($E174="","",IF($AU174="selected_for_runtime",IF($AM174="competitive_selection",$AR174,COUNTIF($AU$2:AU174,"selected_for_runtime")),""))</x:f>
      </x:c>
      <x:c r="AW174" s="81" t="str">
        <x:f>IF($E174="","",IF($AU174="selected_for_runtime",IF($AD174&gt;=2,"base_40_plus_uncertainty_probes",IF($AE174&gt;=2,"base_40_plus_exploratory_probes","base_40_standard")),"no_runtime"))</x:f>
      </x:c>
      <x:c r="AX174" s="81" t="str">
        <x:f>IF($E174="","",IF($AU174&lt;&gt;"selected_for_runtime","none",IF($AE174&gt;=2,"exploratoria",IF($AQ174&gt;=2.2,"alta",IF($AQ174&gt;=1.2,"media","baja")))))</x:f>
      </x:c>
      <x:c r="AY174" s="81" t="str">
        <x:f>IF($E174="","",IF($AJ174=TRUE,"context_with_coverage_gap",IF($AI174="review","context_requires_confirmation","context_ready")))</x:f>
      </x:c>
      <x:c r="AZ174" s="81" t="str">
        <x:f>IF($E174="","",IF($AU174&lt;&gt;"selected_for_runtime","no",IF(OR($AY174="context_with_coverage_gap",$AX174="exploratoria"),"ready_with_flags","ready")))</x:f>
      </x:c>
      <x:c r="BA174" s="81" t="str"/>
      <x:c r="BB174" s="81" t="str"/>
      <x:c r="BC174" s="81" t="str"/>
      <x:c r="BD174" s="81" t="str"/>
      <x:c r="BE174" s="81" t="str"/>
    </x:row>
    <x:row r="175">
      <x:c r="A175" s="81" t="str"/>
      <x:c r="B175" s="81" t="str"/>
      <x:c r="C175" s="81" t="str"/>
      <x:c r="D175" s="81" t="str"/>
      <x:c r="E175" s="81" t="str"/>
      <x:c r="F175" s="81" t="str"/>
      <x:c r="G175" s="81" t="str"/>
      <x:c r="H175" s="81" t="str"/>
      <x:c r="I175" s="81" t="str"/>
      <x:c r="J175" s="81" t="str"/>
      <x:c r="K175" s="81" t="str"/>
      <x:c r="L175" s="81" t="str"/>
      <x:c r="M175" s="81" t="str"/>
      <x:c r="N175" s="81" t="str"/>
      <x:c r="O175" s="81" t="str"/>
      <x:c r="P175" s="81" t="str"/>
      <x:c r="Q175" s="81" t="str"/>
      <x:c r="R175" s="81" t="str"/>
      <x:c r="S175" s="82" t="str"/>
      <x:c r="T175" s="82" t="str"/>
      <x:c r="U175" s="82" t="str"/>
      <x:c r="V175" s="82" t="str"/>
      <x:c r="W175" s="82" t="str"/>
      <x:c r="X175" s="82" t="str"/>
      <x:c r="Y175" s="82" t="str"/>
      <x:c r="Z175" s="82" t="str"/>
      <x:c r="AA175" s="82" t="str"/>
      <x:c r="AB175" s="82" t="str"/>
      <x:c r="AC175" s="82" t="str"/>
      <x:c r="AD175" s="82" t="str"/>
      <x:c r="AE175" s="82" t="str"/>
      <x:c r="AF175" s="82" t="str"/>
      <x:c r="AG175" s="82" t="str"/>
      <x:c r="AH175" s="82" t="str"/>
      <x:c r="AI175" s="81" t="str"/>
      <x:c r="AJ175" s="81" t="str"/>
      <x:c r="AK175" s="81" t="str">
        <x:f>IF($E175="","",IF(AND($M175="yes",OR($N175="yes",$N175="review"),OR($O175="yes",$O175="review"),$P175="fit",OR($Q175="unique",$Q175="alias_review"),$R175&lt;&gt;"context_only"),"pass","review/block"))</x:f>
      </x:c>
      <x:c r="AL175" s="81" t="str">
        <x:f>IF($E175="","",IF($AK175="pass","eligible",IF(OR($M175="no",$O175="no",$P175="too_macro",$P175="too_micro",$P175="context_only",$Q175="duplicate_confirmed",$R175="context_only"),"not_eligible","review")))</x:f>
      </x:c>
      <x:c r="AM175" s="81" t="str">
        <x:f>IF($E175="","",IF($C175=0,"reentry_required",IF($C175&lt;=8,"non_competitive_inclusion","competitive_selection")))</x:f>
      </x:c>
      <x:c r="AN175" s="82" t="str">
        <x:f>IF($E175="","",AVERAGE($U175:$X175))</x:f>
      </x:c>
      <x:c r="AO175" s="82" t="str">
        <x:f>IF($E175="","",AVERAGE($S175:$T175))</x:f>
      </x:c>
      <x:c r="AP175" s="82" t="str">
        <x:f>IF($E175="","",($AF175*0.08)+($AG175*0.08)+($AH175*0.10))</x:f>
      </x:c>
      <x:c r="AQ175" s="82" t="str">
        <x:f>IF($E175="","",MAX(0,($AN175*0.30)+($Y175*0.20)+($Z175*0.15)+($AA175*0.15)+($AB175*0.10)+($AC175*0.10)+($AE175*0.05)-$AP175))</x:f>
      </x:c>
      <x:c r="AR175" s="81" t="str">
        <x:f>IF($E175="","",IF($AM175="competitive_selection",RANK.EQ($AQ175,$AQ$2:$AQ$201,0),""))</x:f>
      </x:c>
      <x:c r="AS175" s="81" t="str">
        <x:f>IF($E175="","",IF(AND($AM175="non_competitive_inclusion",$AL175="eligible"),"selected",""))</x:f>
      </x:c>
      <x:c r="AT175" s="81" t="str">
        <x:f>IF($E175="","",IF($AM175&lt;&gt;"competitive_selection","",IF(AND($AL175="eligible",$AR175&lt;=8),"selected","context/backlog")))</x:f>
      </x:c>
      <x:c r="AU175" s="81" t="str">
        <x:f>IF($E175="","",IF($AM175="reentry_required","not_selected_reentry",IF($AS175="selected","selected_for_runtime",IF($AT175="selected","selected_for_runtime",IF($AL175="review","manual_review","context_or_not_selected")))))</x:f>
      </x:c>
      <x:c r="AV175" s="81" t="str">
        <x:f>IF($E175="","",IF($AU175="selected_for_runtime",IF($AM175="competitive_selection",$AR175,COUNTIF($AU$2:AU175,"selected_for_runtime")),""))</x:f>
      </x:c>
      <x:c r="AW175" s="81" t="str">
        <x:f>IF($E175="","",IF($AU175="selected_for_runtime",IF($AD175&gt;=2,"base_40_plus_uncertainty_probes",IF($AE175&gt;=2,"base_40_plus_exploratory_probes","base_40_standard")),"no_runtime"))</x:f>
      </x:c>
      <x:c r="AX175" s="81" t="str">
        <x:f>IF($E175="","",IF($AU175&lt;&gt;"selected_for_runtime","none",IF($AE175&gt;=2,"exploratoria",IF($AQ175&gt;=2.2,"alta",IF($AQ175&gt;=1.2,"media","baja")))))</x:f>
      </x:c>
      <x:c r="AY175" s="81" t="str">
        <x:f>IF($E175="","",IF($AJ175=TRUE,"context_with_coverage_gap",IF($AI175="review","context_requires_confirmation","context_ready")))</x:f>
      </x:c>
      <x:c r="AZ175" s="81" t="str">
        <x:f>IF($E175="","",IF($AU175&lt;&gt;"selected_for_runtime","no",IF(OR($AY175="context_with_coverage_gap",$AX175="exploratoria"),"ready_with_flags","ready")))</x:f>
      </x:c>
      <x:c r="BA175" s="81" t="str"/>
      <x:c r="BB175" s="81" t="str"/>
      <x:c r="BC175" s="81" t="str"/>
      <x:c r="BD175" s="81" t="str"/>
      <x:c r="BE175" s="81" t="str"/>
    </x:row>
    <x:row r="176">
      <x:c r="A176" s="81" t="str"/>
      <x:c r="B176" s="81" t="str"/>
      <x:c r="C176" s="81" t="str"/>
      <x:c r="D176" s="81" t="str"/>
      <x:c r="E176" s="81" t="str"/>
      <x:c r="F176" s="81" t="str"/>
      <x:c r="G176" s="81" t="str"/>
      <x:c r="H176" s="81" t="str"/>
      <x:c r="I176" s="81" t="str"/>
      <x:c r="J176" s="81" t="str"/>
      <x:c r="K176" s="81" t="str"/>
      <x:c r="L176" s="81" t="str"/>
      <x:c r="M176" s="81" t="str"/>
      <x:c r="N176" s="81" t="str"/>
      <x:c r="O176" s="81" t="str"/>
      <x:c r="P176" s="81" t="str"/>
      <x:c r="Q176" s="81" t="str"/>
      <x:c r="R176" s="81" t="str"/>
      <x:c r="S176" s="82" t="str"/>
      <x:c r="T176" s="82" t="str"/>
      <x:c r="U176" s="82" t="str"/>
      <x:c r="V176" s="82" t="str"/>
      <x:c r="W176" s="82" t="str"/>
      <x:c r="X176" s="82" t="str"/>
      <x:c r="Y176" s="82" t="str"/>
      <x:c r="Z176" s="82" t="str"/>
      <x:c r="AA176" s="82" t="str"/>
      <x:c r="AB176" s="82" t="str"/>
      <x:c r="AC176" s="82" t="str"/>
      <x:c r="AD176" s="82" t="str"/>
      <x:c r="AE176" s="82" t="str"/>
      <x:c r="AF176" s="82" t="str"/>
      <x:c r="AG176" s="82" t="str"/>
      <x:c r="AH176" s="82" t="str"/>
      <x:c r="AI176" s="81" t="str"/>
      <x:c r="AJ176" s="81" t="str"/>
      <x:c r="AK176" s="81" t="str">
        <x:f>IF($E176="","",IF(AND($M176="yes",OR($N176="yes",$N176="review"),OR($O176="yes",$O176="review"),$P176="fit",OR($Q176="unique",$Q176="alias_review"),$R176&lt;&gt;"context_only"),"pass","review/block"))</x:f>
      </x:c>
      <x:c r="AL176" s="81" t="str">
        <x:f>IF($E176="","",IF($AK176="pass","eligible",IF(OR($M176="no",$O176="no",$P176="too_macro",$P176="too_micro",$P176="context_only",$Q176="duplicate_confirmed",$R176="context_only"),"not_eligible","review")))</x:f>
      </x:c>
      <x:c r="AM176" s="81" t="str">
        <x:f>IF($E176="","",IF($C176=0,"reentry_required",IF($C176&lt;=8,"non_competitive_inclusion","competitive_selection")))</x:f>
      </x:c>
      <x:c r="AN176" s="82" t="str">
        <x:f>IF($E176="","",AVERAGE($U176:$X176))</x:f>
      </x:c>
      <x:c r="AO176" s="82" t="str">
        <x:f>IF($E176="","",AVERAGE($S176:$T176))</x:f>
      </x:c>
      <x:c r="AP176" s="82" t="str">
        <x:f>IF($E176="","",($AF176*0.08)+($AG176*0.08)+($AH176*0.10))</x:f>
      </x:c>
      <x:c r="AQ176" s="82" t="str">
        <x:f>IF($E176="","",MAX(0,($AN176*0.30)+($Y176*0.20)+($Z176*0.15)+($AA176*0.15)+($AB176*0.10)+($AC176*0.10)+($AE176*0.05)-$AP176))</x:f>
      </x:c>
      <x:c r="AR176" s="81" t="str">
        <x:f>IF($E176="","",IF($AM176="competitive_selection",RANK.EQ($AQ176,$AQ$2:$AQ$201,0),""))</x:f>
      </x:c>
      <x:c r="AS176" s="81" t="str">
        <x:f>IF($E176="","",IF(AND($AM176="non_competitive_inclusion",$AL176="eligible"),"selected",""))</x:f>
      </x:c>
      <x:c r="AT176" s="81" t="str">
        <x:f>IF($E176="","",IF($AM176&lt;&gt;"competitive_selection","",IF(AND($AL176="eligible",$AR176&lt;=8),"selected","context/backlog")))</x:f>
      </x:c>
      <x:c r="AU176" s="81" t="str">
        <x:f>IF($E176="","",IF($AM176="reentry_required","not_selected_reentry",IF($AS176="selected","selected_for_runtime",IF($AT176="selected","selected_for_runtime",IF($AL176="review","manual_review","context_or_not_selected")))))</x:f>
      </x:c>
      <x:c r="AV176" s="81" t="str">
        <x:f>IF($E176="","",IF($AU176="selected_for_runtime",IF($AM176="competitive_selection",$AR176,COUNTIF($AU$2:AU176,"selected_for_runtime")),""))</x:f>
      </x:c>
      <x:c r="AW176" s="81" t="str">
        <x:f>IF($E176="","",IF($AU176="selected_for_runtime",IF($AD176&gt;=2,"base_40_plus_uncertainty_probes",IF($AE176&gt;=2,"base_40_plus_exploratory_probes","base_40_standard")),"no_runtime"))</x:f>
      </x:c>
      <x:c r="AX176" s="81" t="str">
        <x:f>IF($E176="","",IF($AU176&lt;&gt;"selected_for_runtime","none",IF($AE176&gt;=2,"exploratoria",IF($AQ176&gt;=2.2,"alta",IF($AQ176&gt;=1.2,"media","baja")))))</x:f>
      </x:c>
      <x:c r="AY176" s="81" t="str">
        <x:f>IF($E176="","",IF($AJ176=TRUE,"context_with_coverage_gap",IF($AI176="review","context_requires_confirmation","context_ready")))</x:f>
      </x:c>
      <x:c r="AZ176" s="81" t="str">
        <x:f>IF($E176="","",IF($AU176&lt;&gt;"selected_for_runtime","no",IF(OR($AY176="context_with_coverage_gap",$AX176="exploratoria"),"ready_with_flags","ready")))</x:f>
      </x:c>
      <x:c r="BA176" s="81" t="str"/>
      <x:c r="BB176" s="81" t="str"/>
      <x:c r="BC176" s="81" t="str"/>
      <x:c r="BD176" s="81" t="str"/>
      <x:c r="BE176" s="81" t="str"/>
    </x:row>
    <x:row r="177">
      <x:c r="A177" s="81" t="str"/>
      <x:c r="B177" s="81" t="str"/>
      <x:c r="C177" s="81" t="str"/>
      <x:c r="D177" s="81" t="str"/>
      <x:c r="E177" s="81" t="str"/>
      <x:c r="F177" s="81" t="str"/>
      <x:c r="G177" s="81" t="str"/>
      <x:c r="H177" s="81" t="str"/>
      <x:c r="I177" s="81" t="str"/>
      <x:c r="J177" s="81" t="str"/>
      <x:c r="K177" s="81" t="str"/>
      <x:c r="L177" s="81" t="str"/>
      <x:c r="M177" s="81" t="str"/>
      <x:c r="N177" s="81" t="str"/>
      <x:c r="O177" s="81" t="str"/>
      <x:c r="P177" s="81" t="str"/>
      <x:c r="Q177" s="81" t="str"/>
      <x:c r="R177" s="81" t="str"/>
      <x:c r="S177" s="82" t="str"/>
      <x:c r="T177" s="82" t="str"/>
      <x:c r="U177" s="82" t="str"/>
      <x:c r="V177" s="82" t="str"/>
      <x:c r="W177" s="82" t="str"/>
      <x:c r="X177" s="82" t="str"/>
      <x:c r="Y177" s="82" t="str"/>
      <x:c r="Z177" s="82" t="str"/>
      <x:c r="AA177" s="82" t="str"/>
      <x:c r="AB177" s="82" t="str"/>
      <x:c r="AC177" s="82" t="str"/>
      <x:c r="AD177" s="82" t="str"/>
      <x:c r="AE177" s="82" t="str"/>
      <x:c r="AF177" s="82" t="str"/>
      <x:c r="AG177" s="82" t="str"/>
      <x:c r="AH177" s="82" t="str"/>
      <x:c r="AI177" s="81" t="str"/>
      <x:c r="AJ177" s="81" t="str"/>
      <x:c r="AK177" s="81" t="str">
        <x:f>IF($E177="","",IF(AND($M177="yes",OR($N177="yes",$N177="review"),OR($O177="yes",$O177="review"),$P177="fit",OR($Q177="unique",$Q177="alias_review"),$R177&lt;&gt;"context_only"),"pass","review/block"))</x:f>
      </x:c>
      <x:c r="AL177" s="81" t="str">
        <x:f>IF($E177="","",IF($AK177="pass","eligible",IF(OR($M177="no",$O177="no",$P177="too_macro",$P177="too_micro",$P177="context_only",$Q177="duplicate_confirmed",$R177="context_only"),"not_eligible","review")))</x:f>
      </x:c>
      <x:c r="AM177" s="81" t="str">
        <x:f>IF($E177="","",IF($C177=0,"reentry_required",IF($C177&lt;=8,"non_competitive_inclusion","competitive_selection")))</x:f>
      </x:c>
      <x:c r="AN177" s="82" t="str">
        <x:f>IF($E177="","",AVERAGE($U177:$X177))</x:f>
      </x:c>
      <x:c r="AO177" s="82" t="str">
        <x:f>IF($E177="","",AVERAGE($S177:$T177))</x:f>
      </x:c>
      <x:c r="AP177" s="82" t="str">
        <x:f>IF($E177="","",($AF177*0.08)+($AG177*0.08)+($AH177*0.10))</x:f>
      </x:c>
      <x:c r="AQ177" s="82" t="str">
        <x:f>IF($E177="","",MAX(0,($AN177*0.30)+($Y177*0.20)+($Z177*0.15)+($AA177*0.15)+($AB177*0.10)+($AC177*0.10)+($AE177*0.05)-$AP177))</x:f>
      </x:c>
      <x:c r="AR177" s="81" t="str">
        <x:f>IF($E177="","",IF($AM177="competitive_selection",RANK.EQ($AQ177,$AQ$2:$AQ$201,0),""))</x:f>
      </x:c>
      <x:c r="AS177" s="81" t="str">
        <x:f>IF($E177="","",IF(AND($AM177="non_competitive_inclusion",$AL177="eligible"),"selected",""))</x:f>
      </x:c>
      <x:c r="AT177" s="81" t="str">
        <x:f>IF($E177="","",IF($AM177&lt;&gt;"competitive_selection","",IF(AND($AL177="eligible",$AR177&lt;=8),"selected","context/backlog")))</x:f>
      </x:c>
      <x:c r="AU177" s="81" t="str">
        <x:f>IF($E177="","",IF($AM177="reentry_required","not_selected_reentry",IF($AS177="selected","selected_for_runtime",IF($AT177="selected","selected_for_runtime",IF($AL177="review","manual_review","context_or_not_selected")))))</x:f>
      </x:c>
      <x:c r="AV177" s="81" t="str">
        <x:f>IF($E177="","",IF($AU177="selected_for_runtime",IF($AM177="competitive_selection",$AR177,COUNTIF($AU$2:AU177,"selected_for_runtime")),""))</x:f>
      </x:c>
      <x:c r="AW177" s="81" t="str">
        <x:f>IF($E177="","",IF($AU177="selected_for_runtime",IF($AD177&gt;=2,"base_40_plus_uncertainty_probes",IF($AE177&gt;=2,"base_40_plus_exploratory_probes","base_40_standard")),"no_runtime"))</x:f>
      </x:c>
      <x:c r="AX177" s="81" t="str">
        <x:f>IF($E177="","",IF($AU177&lt;&gt;"selected_for_runtime","none",IF($AE177&gt;=2,"exploratoria",IF($AQ177&gt;=2.2,"alta",IF($AQ177&gt;=1.2,"media","baja")))))</x:f>
      </x:c>
      <x:c r="AY177" s="81" t="str">
        <x:f>IF($E177="","",IF($AJ177=TRUE,"context_with_coverage_gap",IF($AI177="review","context_requires_confirmation","context_ready")))</x:f>
      </x:c>
      <x:c r="AZ177" s="81" t="str">
        <x:f>IF($E177="","",IF($AU177&lt;&gt;"selected_for_runtime","no",IF(OR($AY177="context_with_coverage_gap",$AX177="exploratoria"),"ready_with_flags","ready")))</x:f>
      </x:c>
      <x:c r="BA177" s="81" t="str"/>
      <x:c r="BB177" s="81" t="str"/>
      <x:c r="BC177" s="81" t="str"/>
      <x:c r="BD177" s="81" t="str"/>
      <x:c r="BE177" s="81" t="str"/>
    </x:row>
    <x:row r="178">
      <x:c r="A178" s="81" t="str"/>
      <x:c r="B178" s="81" t="str"/>
      <x:c r="C178" s="81" t="str"/>
      <x:c r="D178" s="81" t="str"/>
      <x:c r="E178" s="81" t="str"/>
      <x:c r="F178" s="81" t="str"/>
      <x:c r="G178" s="81" t="str"/>
      <x:c r="H178" s="81" t="str"/>
      <x:c r="I178" s="81" t="str"/>
      <x:c r="J178" s="81" t="str"/>
      <x:c r="K178" s="81" t="str"/>
      <x:c r="L178" s="81" t="str"/>
      <x:c r="M178" s="81" t="str"/>
      <x:c r="N178" s="81" t="str"/>
      <x:c r="O178" s="81" t="str"/>
      <x:c r="P178" s="81" t="str"/>
      <x:c r="Q178" s="81" t="str"/>
      <x:c r="R178" s="81" t="str"/>
      <x:c r="S178" s="82" t="str"/>
      <x:c r="T178" s="82" t="str"/>
      <x:c r="U178" s="82" t="str"/>
      <x:c r="V178" s="82" t="str"/>
      <x:c r="W178" s="82" t="str"/>
      <x:c r="X178" s="82" t="str"/>
      <x:c r="Y178" s="82" t="str"/>
      <x:c r="Z178" s="82" t="str"/>
      <x:c r="AA178" s="82" t="str"/>
      <x:c r="AB178" s="82" t="str"/>
      <x:c r="AC178" s="82" t="str"/>
      <x:c r="AD178" s="82" t="str"/>
      <x:c r="AE178" s="82" t="str"/>
      <x:c r="AF178" s="82" t="str"/>
      <x:c r="AG178" s="82" t="str"/>
      <x:c r="AH178" s="82" t="str"/>
      <x:c r="AI178" s="81" t="str"/>
      <x:c r="AJ178" s="81" t="str"/>
      <x:c r="AK178" s="81" t="str">
        <x:f>IF($E178="","",IF(AND($M178="yes",OR($N178="yes",$N178="review"),OR($O178="yes",$O178="review"),$P178="fit",OR($Q178="unique",$Q178="alias_review"),$R178&lt;&gt;"context_only"),"pass","review/block"))</x:f>
      </x:c>
      <x:c r="AL178" s="81" t="str">
        <x:f>IF($E178="","",IF($AK178="pass","eligible",IF(OR($M178="no",$O178="no",$P178="too_macro",$P178="too_micro",$P178="context_only",$Q178="duplicate_confirmed",$R178="context_only"),"not_eligible","review")))</x:f>
      </x:c>
      <x:c r="AM178" s="81" t="str">
        <x:f>IF($E178="","",IF($C178=0,"reentry_required",IF($C178&lt;=8,"non_competitive_inclusion","competitive_selection")))</x:f>
      </x:c>
      <x:c r="AN178" s="82" t="str">
        <x:f>IF($E178="","",AVERAGE($U178:$X178))</x:f>
      </x:c>
      <x:c r="AO178" s="82" t="str">
        <x:f>IF($E178="","",AVERAGE($S178:$T178))</x:f>
      </x:c>
      <x:c r="AP178" s="82" t="str">
        <x:f>IF($E178="","",($AF178*0.08)+($AG178*0.08)+($AH178*0.10))</x:f>
      </x:c>
      <x:c r="AQ178" s="82" t="str">
        <x:f>IF($E178="","",MAX(0,($AN178*0.30)+($Y178*0.20)+($Z178*0.15)+($AA178*0.15)+($AB178*0.10)+($AC178*0.10)+($AE178*0.05)-$AP178))</x:f>
      </x:c>
      <x:c r="AR178" s="81" t="str">
        <x:f>IF($E178="","",IF($AM178="competitive_selection",RANK.EQ($AQ178,$AQ$2:$AQ$201,0),""))</x:f>
      </x:c>
      <x:c r="AS178" s="81" t="str">
        <x:f>IF($E178="","",IF(AND($AM178="non_competitive_inclusion",$AL178="eligible"),"selected",""))</x:f>
      </x:c>
      <x:c r="AT178" s="81" t="str">
        <x:f>IF($E178="","",IF($AM178&lt;&gt;"competitive_selection","",IF(AND($AL178="eligible",$AR178&lt;=8),"selected","context/backlog")))</x:f>
      </x:c>
      <x:c r="AU178" s="81" t="str">
        <x:f>IF($E178="","",IF($AM178="reentry_required","not_selected_reentry",IF($AS178="selected","selected_for_runtime",IF($AT178="selected","selected_for_runtime",IF($AL178="review","manual_review","context_or_not_selected")))))</x:f>
      </x:c>
      <x:c r="AV178" s="81" t="str">
        <x:f>IF($E178="","",IF($AU178="selected_for_runtime",IF($AM178="competitive_selection",$AR178,COUNTIF($AU$2:AU178,"selected_for_runtime")),""))</x:f>
      </x:c>
      <x:c r="AW178" s="81" t="str">
        <x:f>IF($E178="","",IF($AU178="selected_for_runtime",IF($AD178&gt;=2,"base_40_plus_uncertainty_probes",IF($AE178&gt;=2,"base_40_plus_exploratory_probes","base_40_standard")),"no_runtime"))</x:f>
      </x:c>
      <x:c r="AX178" s="81" t="str">
        <x:f>IF($E178="","",IF($AU178&lt;&gt;"selected_for_runtime","none",IF($AE178&gt;=2,"exploratoria",IF($AQ178&gt;=2.2,"alta",IF($AQ178&gt;=1.2,"media","baja")))))</x:f>
      </x:c>
      <x:c r="AY178" s="81" t="str">
        <x:f>IF($E178="","",IF($AJ178=TRUE,"context_with_coverage_gap",IF($AI178="review","context_requires_confirmation","context_ready")))</x:f>
      </x:c>
      <x:c r="AZ178" s="81" t="str">
        <x:f>IF($E178="","",IF($AU178&lt;&gt;"selected_for_runtime","no",IF(OR($AY178="context_with_coverage_gap",$AX178="exploratoria"),"ready_with_flags","ready")))</x:f>
      </x:c>
      <x:c r="BA178" s="81" t="str"/>
      <x:c r="BB178" s="81" t="str"/>
      <x:c r="BC178" s="81" t="str"/>
      <x:c r="BD178" s="81" t="str"/>
      <x:c r="BE178" s="81" t="str"/>
    </x:row>
    <x:row r="179">
      <x:c r="A179" s="81" t="str"/>
      <x:c r="B179" s="81" t="str"/>
      <x:c r="C179" s="81" t="str"/>
      <x:c r="D179" s="81" t="str"/>
      <x:c r="E179" s="81" t="str"/>
      <x:c r="F179" s="81" t="str"/>
      <x:c r="G179" s="81" t="str"/>
      <x:c r="H179" s="81" t="str"/>
      <x:c r="I179" s="81" t="str"/>
      <x:c r="J179" s="81" t="str"/>
      <x:c r="K179" s="81" t="str"/>
      <x:c r="L179" s="81" t="str"/>
      <x:c r="M179" s="81" t="str"/>
      <x:c r="N179" s="81" t="str"/>
      <x:c r="O179" s="81" t="str"/>
      <x:c r="P179" s="81" t="str"/>
      <x:c r="Q179" s="81" t="str"/>
      <x:c r="R179" s="81" t="str"/>
      <x:c r="S179" s="82" t="str"/>
      <x:c r="T179" s="82" t="str"/>
      <x:c r="U179" s="82" t="str"/>
      <x:c r="V179" s="82" t="str"/>
      <x:c r="W179" s="82" t="str"/>
      <x:c r="X179" s="82" t="str"/>
      <x:c r="Y179" s="82" t="str"/>
      <x:c r="Z179" s="82" t="str"/>
      <x:c r="AA179" s="82" t="str"/>
      <x:c r="AB179" s="82" t="str"/>
      <x:c r="AC179" s="82" t="str"/>
      <x:c r="AD179" s="82" t="str"/>
      <x:c r="AE179" s="82" t="str"/>
      <x:c r="AF179" s="82" t="str"/>
      <x:c r="AG179" s="82" t="str"/>
      <x:c r="AH179" s="82" t="str"/>
      <x:c r="AI179" s="81" t="str"/>
      <x:c r="AJ179" s="81" t="str"/>
      <x:c r="AK179" s="81" t="str">
        <x:f>IF($E179="","",IF(AND($M179="yes",OR($N179="yes",$N179="review"),OR($O179="yes",$O179="review"),$P179="fit",OR($Q179="unique",$Q179="alias_review"),$R179&lt;&gt;"context_only"),"pass","review/block"))</x:f>
      </x:c>
      <x:c r="AL179" s="81" t="str">
        <x:f>IF($E179="","",IF($AK179="pass","eligible",IF(OR($M179="no",$O179="no",$P179="too_macro",$P179="too_micro",$P179="context_only",$Q179="duplicate_confirmed",$R179="context_only"),"not_eligible","review")))</x:f>
      </x:c>
      <x:c r="AM179" s="81" t="str">
        <x:f>IF($E179="","",IF($C179=0,"reentry_required",IF($C179&lt;=8,"non_competitive_inclusion","competitive_selection")))</x:f>
      </x:c>
      <x:c r="AN179" s="82" t="str">
        <x:f>IF($E179="","",AVERAGE($U179:$X179))</x:f>
      </x:c>
      <x:c r="AO179" s="82" t="str">
        <x:f>IF($E179="","",AVERAGE($S179:$T179))</x:f>
      </x:c>
      <x:c r="AP179" s="82" t="str">
        <x:f>IF($E179="","",($AF179*0.08)+($AG179*0.08)+($AH179*0.10))</x:f>
      </x:c>
      <x:c r="AQ179" s="82" t="str">
        <x:f>IF($E179="","",MAX(0,($AN179*0.30)+($Y179*0.20)+($Z179*0.15)+($AA179*0.15)+($AB179*0.10)+($AC179*0.10)+($AE179*0.05)-$AP179))</x:f>
      </x:c>
      <x:c r="AR179" s="81" t="str">
        <x:f>IF($E179="","",IF($AM179="competitive_selection",RANK.EQ($AQ179,$AQ$2:$AQ$201,0),""))</x:f>
      </x:c>
      <x:c r="AS179" s="81" t="str">
        <x:f>IF($E179="","",IF(AND($AM179="non_competitive_inclusion",$AL179="eligible"),"selected",""))</x:f>
      </x:c>
      <x:c r="AT179" s="81" t="str">
        <x:f>IF($E179="","",IF($AM179&lt;&gt;"competitive_selection","",IF(AND($AL179="eligible",$AR179&lt;=8),"selected","context/backlog")))</x:f>
      </x:c>
      <x:c r="AU179" s="81" t="str">
        <x:f>IF($E179="","",IF($AM179="reentry_required","not_selected_reentry",IF($AS179="selected","selected_for_runtime",IF($AT179="selected","selected_for_runtime",IF($AL179="review","manual_review","context_or_not_selected")))))</x:f>
      </x:c>
      <x:c r="AV179" s="81" t="str">
        <x:f>IF($E179="","",IF($AU179="selected_for_runtime",IF($AM179="competitive_selection",$AR179,COUNTIF($AU$2:AU179,"selected_for_runtime")),""))</x:f>
      </x:c>
      <x:c r="AW179" s="81" t="str">
        <x:f>IF($E179="","",IF($AU179="selected_for_runtime",IF($AD179&gt;=2,"base_40_plus_uncertainty_probes",IF($AE179&gt;=2,"base_40_plus_exploratory_probes","base_40_standard")),"no_runtime"))</x:f>
      </x:c>
      <x:c r="AX179" s="81" t="str">
        <x:f>IF($E179="","",IF($AU179&lt;&gt;"selected_for_runtime","none",IF($AE179&gt;=2,"exploratoria",IF($AQ179&gt;=2.2,"alta",IF($AQ179&gt;=1.2,"media","baja")))))</x:f>
      </x:c>
      <x:c r="AY179" s="81" t="str">
        <x:f>IF($E179="","",IF($AJ179=TRUE,"context_with_coverage_gap",IF($AI179="review","context_requires_confirmation","context_ready")))</x:f>
      </x:c>
      <x:c r="AZ179" s="81" t="str">
        <x:f>IF($E179="","",IF($AU179&lt;&gt;"selected_for_runtime","no",IF(OR($AY179="context_with_coverage_gap",$AX179="exploratoria"),"ready_with_flags","ready")))</x:f>
      </x:c>
      <x:c r="BA179" s="81" t="str"/>
      <x:c r="BB179" s="81" t="str"/>
      <x:c r="BC179" s="81" t="str"/>
      <x:c r="BD179" s="81" t="str"/>
      <x:c r="BE179" s="81" t="str"/>
    </x:row>
    <x:row r="180">
      <x:c r="A180" s="81" t="str"/>
      <x:c r="B180" s="81" t="str"/>
      <x:c r="C180" s="81" t="str"/>
      <x:c r="D180" s="81" t="str"/>
      <x:c r="E180" s="81" t="str"/>
      <x:c r="F180" s="81" t="str"/>
      <x:c r="G180" s="81" t="str"/>
      <x:c r="H180" s="81" t="str"/>
      <x:c r="I180" s="81" t="str"/>
      <x:c r="J180" s="81" t="str"/>
      <x:c r="K180" s="81" t="str"/>
      <x:c r="L180" s="81" t="str"/>
      <x:c r="M180" s="81" t="str"/>
      <x:c r="N180" s="81" t="str"/>
      <x:c r="O180" s="81" t="str"/>
      <x:c r="P180" s="81" t="str"/>
      <x:c r="Q180" s="81" t="str"/>
      <x:c r="R180" s="81" t="str"/>
      <x:c r="S180" s="82" t="str"/>
      <x:c r="T180" s="82" t="str"/>
      <x:c r="U180" s="82" t="str"/>
      <x:c r="V180" s="82" t="str"/>
      <x:c r="W180" s="82" t="str"/>
      <x:c r="X180" s="82" t="str"/>
      <x:c r="Y180" s="82" t="str"/>
      <x:c r="Z180" s="82" t="str"/>
      <x:c r="AA180" s="82" t="str"/>
      <x:c r="AB180" s="82" t="str"/>
      <x:c r="AC180" s="82" t="str"/>
      <x:c r="AD180" s="82" t="str"/>
      <x:c r="AE180" s="82" t="str"/>
      <x:c r="AF180" s="82" t="str"/>
      <x:c r="AG180" s="82" t="str"/>
      <x:c r="AH180" s="82" t="str"/>
      <x:c r="AI180" s="81" t="str"/>
      <x:c r="AJ180" s="81" t="str"/>
      <x:c r="AK180" s="81" t="str">
        <x:f>IF($E180="","",IF(AND($M180="yes",OR($N180="yes",$N180="review"),OR($O180="yes",$O180="review"),$P180="fit",OR($Q180="unique",$Q180="alias_review"),$R180&lt;&gt;"context_only"),"pass","review/block"))</x:f>
      </x:c>
      <x:c r="AL180" s="81" t="str">
        <x:f>IF($E180="","",IF($AK180="pass","eligible",IF(OR($M180="no",$O180="no",$P180="too_macro",$P180="too_micro",$P180="context_only",$Q180="duplicate_confirmed",$R180="context_only"),"not_eligible","review")))</x:f>
      </x:c>
      <x:c r="AM180" s="81" t="str">
        <x:f>IF($E180="","",IF($C180=0,"reentry_required",IF($C180&lt;=8,"non_competitive_inclusion","competitive_selection")))</x:f>
      </x:c>
      <x:c r="AN180" s="82" t="str">
        <x:f>IF($E180="","",AVERAGE($U180:$X180))</x:f>
      </x:c>
      <x:c r="AO180" s="82" t="str">
        <x:f>IF($E180="","",AVERAGE($S180:$T180))</x:f>
      </x:c>
      <x:c r="AP180" s="82" t="str">
        <x:f>IF($E180="","",($AF180*0.08)+($AG180*0.08)+($AH180*0.10))</x:f>
      </x:c>
      <x:c r="AQ180" s="82" t="str">
        <x:f>IF($E180="","",MAX(0,($AN180*0.30)+($Y180*0.20)+($Z180*0.15)+($AA180*0.15)+($AB180*0.10)+($AC180*0.10)+($AE180*0.05)-$AP180))</x:f>
      </x:c>
      <x:c r="AR180" s="81" t="str">
        <x:f>IF($E180="","",IF($AM180="competitive_selection",RANK.EQ($AQ180,$AQ$2:$AQ$201,0),""))</x:f>
      </x:c>
      <x:c r="AS180" s="81" t="str">
        <x:f>IF($E180="","",IF(AND($AM180="non_competitive_inclusion",$AL180="eligible"),"selected",""))</x:f>
      </x:c>
      <x:c r="AT180" s="81" t="str">
        <x:f>IF($E180="","",IF($AM180&lt;&gt;"competitive_selection","",IF(AND($AL180="eligible",$AR180&lt;=8),"selected","context/backlog")))</x:f>
      </x:c>
      <x:c r="AU180" s="81" t="str">
        <x:f>IF($E180="","",IF($AM180="reentry_required","not_selected_reentry",IF($AS180="selected","selected_for_runtime",IF($AT180="selected","selected_for_runtime",IF($AL180="review","manual_review","context_or_not_selected")))))</x:f>
      </x:c>
      <x:c r="AV180" s="81" t="str">
        <x:f>IF($E180="","",IF($AU180="selected_for_runtime",IF($AM180="competitive_selection",$AR180,COUNTIF($AU$2:AU180,"selected_for_runtime")),""))</x:f>
      </x:c>
      <x:c r="AW180" s="81" t="str">
        <x:f>IF($E180="","",IF($AU180="selected_for_runtime",IF($AD180&gt;=2,"base_40_plus_uncertainty_probes",IF($AE180&gt;=2,"base_40_plus_exploratory_probes","base_40_standard")),"no_runtime"))</x:f>
      </x:c>
      <x:c r="AX180" s="81" t="str">
        <x:f>IF($E180="","",IF($AU180&lt;&gt;"selected_for_runtime","none",IF($AE180&gt;=2,"exploratoria",IF($AQ180&gt;=2.2,"alta",IF($AQ180&gt;=1.2,"media","baja")))))</x:f>
      </x:c>
      <x:c r="AY180" s="81" t="str">
        <x:f>IF($E180="","",IF($AJ180=TRUE,"context_with_coverage_gap",IF($AI180="review","context_requires_confirmation","context_ready")))</x:f>
      </x:c>
      <x:c r="AZ180" s="81" t="str">
        <x:f>IF($E180="","",IF($AU180&lt;&gt;"selected_for_runtime","no",IF(OR($AY180="context_with_coverage_gap",$AX180="exploratoria"),"ready_with_flags","ready")))</x:f>
      </x:c>
      <x:c r="BA180" s="81" t="str"/>
      <x:c r="BB180" s="81" t="str"/>
      <x:c r="BC180" s="81" t="str"/>
      <x:c r="BD180" s="81" t="str"/>
      <x:c r="BE180" s="81" t="str"/>
    </x:row>
    <x:row r="181">
      <x:c r="A181" s="81" t="str"/>
      <x:c r="B181" s="81" t="str"/>
      <x:c r="C181" s="81" t="str"/>
      <x:c r="D181" s="81" t="str"/>
      <x:c r="E181" s="81" t="str"/>
      <x:c r="F181" s="81" t="str"/>
      <x:c r="G181" s="81" t="str"/>
      <x:c r="H181" s="81" t="str"/>
      <x:c r="I181" s="81" t="str"/>
      <x:c r="J181" s="81" t="str"/>
      <x:c r="K181" s="81" t="str"/>
      <x:c r="L181" s="81" t="str"/>
      <x:c r="M181" s="81" t="str"/>
      <x:c r="N181" s="81" t="str"/>
      <x:c r="O181" s="81" t="str"/>
      <x:c r="P181" s="81" t="str"/>
      <x:c r="Q181" s="81" t="str"/>
      <x:c r="R181" s="81" t="str"/>
      <x:c r="S181" s="82" t="str"/>
      <x:c r="T181" s="82" t="str"/>
      <x:c r="U181" s="82" t="str"/>
      <x:c r="V181" s="82" t="str"/>
      <x:c r="W181" s="82" t="str"/>
      <x:c r="X181" s="82" t="str"/>
      <x:c r="Y181" s="82" t="str"/>
      <x:c r="Z181" s="82" t="str"/>
      <x:c r="AA181" s="82" t="str"/>
      <x:c r="AB181" s="82" t="str"/>
      <x:c r="AC181" s="82" t="str"/>
      <x:c r="AD181" s="82" t="str"/>
      <x:c r="AE181" s="82" t="str"/>
      <x:c r="AF181" s="82" t="str"/>
      <x:c r="AG181" s="82" t="str"/>
      <x:c r="AH181" s="82" t="str"/>
      <x:c r="AI181" s="81" t="str"/>
      <x:c r="AJ181" s="81" t="str"/>
      <x:c r="AK181" s="81" t="str">
        <x:f>IF($E181="","",IF(AND($M181="yes",OR($N181="yes",$N181="review"),OR($O181="yes",$O181="review"),$P181="fit",OR($Q181="unique",$Q181="alias_review"),$R181&lt;&gt;"context_only"),"pass","review/block"))</x:f>
      </x:c>
      <x:c r="AL181" s="81" t="str">
        <x:f>IF($E181="","",IF($AK181="pass","eligible",IF(OR($M181="no",$O181="no",$P181="too_macro",$P181="too_micro",$P181="context_only",$Q181="duplicate_confirmed",$R181="context_only"),"not_eligible","review")))</x:f>
      </x:c>
      <x:c r="AM181" s="81" t="str">
        <x:f>IF($E181="","",IF($C181=0,"reentry_required",IF($C181&lt;=8,"non_competitive_inclusion","competitive_selection")))</x:f>
      </x:c>
      <x:c r="AN181" s="82" t="str">
        <x:f>IF($E181="","",AVERAGE($U181:$X181))</x:f>
      </x:c>
      <x:c r="AO181" s="82" t="str">
        <x:f>IF($E181="","",AVERAGE($S181:$T181))</x:f>
      </x:c>
      <x:c r="AP181" s="82" t="str">
        <x:f>IF($E181="","",($AF181*0.08)+($AG181*0.08)+($AH181*0.10))</x:f>
      </x:c>
      <x:c r="AQ181" s="82" t="str">
        <x:f>IF($E181="","",MAX(0,($AN181*0.30)+($Y181*0.20)+($Z181*0.15)+($AA181*0.15)+($AB181*0.10)+($AC181*0.10)+($AE181*0.05)-$AP181))</x:f>
      </x:c>
      <x:c r="AR181" s="81" t="str">
        <x:f>IF($E181="","",IF($AM181="competitive_selection",RANK.EQ($AQ181,$AQ$2:$AQ$201,0),""))</x:f>
      </x:c>
      <x:c r="AS181" s="81" t="str">
        <x:f>IF($E181="","",IF(AND($AM181="non_competitive_inclusion",$AL181="eligible"),"selected",""))</x:f>
      </x:c>
      <x:c r="AT181" s="81" t="str">
        <x:f>IF($E181="","",IF($AM181&lt;&gt;"competitive_selection","",IF(AND($AL181="eligible",$AR181&lt;=8),"selected","context/backlog")))</x:f>
      </x:c>
      <x:c r="AU181" s="81" t="str">
        <x:f>IF($E181="","",IF($AM181="reentry_required","not_selected_reentry",IF($AS181="selected","selected_for_runtime",IF($AT181="selected","selected_for_runtime",IF($AL181="review","manual_review","context_or_not_selected")))))</x:f>
      </x:c>
      <x:c r="AV181" s="81" t="str">
        <x:f>IF($E181="","",IF($AU181="selected_for_runtime",IF($AM181="competitive_selection",$AR181,COUNTIF($AU$2:AU181,"selected_for_runtime")),""))</x:f>
      </x:c>
      <x:c r="AW181" s="81" t="str">
        <x:f>IF($E181="","",IF($AU181="selected_for_runtime",IF($AD181&gt;=2,"base_40_plus_uncertainty_probes",IF($AE181&gt;=2,"base_40_plus_exploratory_probes","base_40_standard")),"no_runtime"))</x:f>
      </x:c>
      <x:c r="AX181" s="81" t="str">
        <x:f>IF($E181="","",IF($AU181&lt;&gt;"selected_for_runtime","none",IF($AE181&gt;=2,"exploratoria",IF($AQ181&gt;=2.2,"alta",IF($AQ181&gt;=1.2,"media","baja")))))</x:f>
      </x:c>
      <x:c r="AY181" s="81" t="str">
        <x:f>IF($E181="","",IF($AJ181=TRUE,"context_with_coverage_gap",IF($AI181="review","context_requires_confirmation","context_ready")))</x:f>
      </x:c>
      <x:c r="AZ181" s="81" t="str">
        <x:f>IF($E181="","",IF($AU181&lt;&gt;"selected_for_runtime","no",IF(OR($AY181="context_with_coverage_gap",$AX181="exploratoria"),"ready_with_flags","ready")))</x:f>
      </x:c>
      <x:c r="BA181" s="81" t="str"/>
      <x:c r="BB181" s="81" t="str"/>
      <x:c r="BC181" s="81" t="str"/>
      <x:c r="BD181" s="81" t="str"/>
      <x:c r="BE181" s="81" t="str"/>
    </x:row>
    <x:row r="182">
      <x:c r="A182" s="81" t="str"/>
      <x:c r="B182" s="81" t="str"/>
      <x:c r="C182" s="81" t="str"/>
      <x:c r="D182" s="81" t="str"/>
      <x:c r="E182" s="81" t="str"/>
      <x:c r="F182" s="81" t="str"/>
      <x:c r="G182" s="81" t="str"/>
      <x:c r="H182" s="81" t="str"/>
      <x:c r="I182" s="81" t="str"/>
      <x:c r="J182" s="81" t="str"/>
      <x:c r="K182" s="81" t="str"/>
      <x:c r="L182" s="81" t="str"/>
      <x:c r="M182" s="81" t="str"/>
      <x:c r="N182" s="81" t="str"/>
      <x:c r="O182" s="81" t="str"/>
      <x:c r="P182" s="81" t="str"/>
      <x:c r="Q182" s="81" t="str"/>
      <x:c r="R182" s="81" t="str"/>
      <x:c r="S182" s="82" t="str"/>
      <x:c r="T182" s="82" t="str"/>
      <x:c r="U182" s="82" t="str"/>
      <x:c r="V182" s="82" t="str"/>
      <x:c r="W182" s="82" t="str"/>
      <x:c r="X182" s="82" t="str"/>
      <x:c r="Y182" s="82" t="str"/>
      <x:c r="Z182" s="82" t="str"/>
      <x:c r="AA182" s="82" t="str"/>
      <x:c r="AB182" s="82" t="str"/>
      <x:c r="AC182" s="82" t="str"/>
      <x:c r="AD182" s="82" t="str"/>
      <x:c r="AE182" s="82" t="str"/>
      <x:c r="AF182" s="82" t="str"/>
      <x:c r="AG182" s="82" t="str"/>
      <x:c r="AH182" s="82" t="str"/>
      <x:c r="AI182" s="81" t="str"/>
      <x:c r="AJ182" s="81" t="str"/>
      <x:c r="AK182" s="81" t="str">
        <x:f>IF($E182="","",IF(AND($M182="yes",OR($N182="yes",$N182="review"),OR($O182="yes",$O182="review"),$P182="fit",OR($Q182="unique",$Q182="alias_review"),$R182&lt;&gt;"context_only"),"pass","review/block"))</x:f>
      </x:c>
      <x:c r="AL182" s="81" t="str">
        <x:f>IF($E182="","",IF($AK182="pass","eligible",IF(OR($M182="no",$O182="no",$P182="too_macro",$P182="too_micro",$P182="context_only",$Q182="duplicate_confirmed",$R182="context_only"),"not_eligible","review")))</x:f>
      </x:c>
      <x:c r="AM182" s="81" t="str">
        <x:f>IF($E182="","",IF($C182=0,"reentry_required",IF($C182&lt;=8,"non_competitive_inclusion","competitive_selection")))</x:f>
      </x:c>
      <x:c r="AN182" s="82" t="str">
        <x:f>IF($E182="","",AVERAGE($U182:$X182))</x:f>
      </x:c>
      <x:c r="AO182" s="82" t="str">
        <x:f>IF($E182="","",AVERAGE($S182:$T182))</x:f>
      </x:c>
      <x:c r="AP182" s="82" t="str">
        <x:f>IF($E182="","",($AF182*0.08)+($AG182*0.08)+($AH182*0.10))</x:f>
      </x:c>
      <x:c r="AQ182" s="82" t="str">
        <x:f>IF($E182="","",MAX(0,($AN182*0.30)+($Y182*0.20)+($Z182*0.15)+($AA182*0.15)+($AB182*0.10)+($AC182*0.10)+($AE182*0.05)-$AP182))</x:f>
      </x:c>
      <x:c r="AR182" s="81" t="str">
        <x:f>IF($E182="","",IF($AM182="competitive_selection",RANK.EQ($AQ182,$AQ$2:$AQ$201,0),""))</x:f>
      </x:c>
      <x:c r="AS182" s="81" t="str">
        <x:f>IF($E182="","",IF(AND($AM182="non_competitive_inclusion",$AL182="eligible"),"selected",""))</x:f>
      </x:c>
      <x:c r="AT182" s="81" t="str">
        <x:f>IF($E182="","",IF($AM182&lt;&gt;"competitive_selection","",IF(AND($AL182="eligible",$AR182&lt;=8),"selected","context/backlog")))</x:f>
      </x:c>
      <x:c r="AU182" s="81" t="str">
        <x:f>IF($E182="","",IF($AM182="reentry_required","not_selected_reentry",IF($AS182="selected","selected_for_runtime",IF($AT182="selected","selected_for_runtime",IF($AL182="review","manual_review","context_or_not_selected")))))</x:f>
      </x:c>
      <x:c r="AV182" s="81" t="str">
        <x:f>IF($E182="","",IF($AU182="selected_for_runtime",IF($AM182="competitive_selection",$AR182,COUNTIF($AU$2:AU182,"selected_for_runtime")),""))</x:f>
      </x:c>
      <x:c r="AW182" s="81" t="str">
        <x:f>IF($E182="","",IF($AU182="selected_for_runtime",IF($AD182&gt;=2,"base_40_plus_uncertainty_probes",IF($AE182&gt;=2,"base_40_plus_exploratory_probes","base_40_standard")),"no_runtime"))</x:f>
      </x:c>
      <x:c r="AX182" s="81" t="str">
        <x:f>IF($E182="","",IF($AU182&lt;&gt;"selected_for_runtime","none",IF($AE182&gt;=2,"exploratoria",IF($AQ182&gt;=2.2,"alta",IF($AQ182&gt;=1.2,"media","baja")))))</x:f>
      </x:c>
      <x:c r="AY182" s="81" t="str">
        <x:f>IF($E182="","",IF($AJ182=TRUE,"context_with_coverage_gap",IF($AI182="review","context_requires_confirmation","context_ready")))</x:f>
      </x:c>
      <x:c r="AZ182" s="81" t="str">
        <x:f>IF($E182="","",IF($AU182&lt;&gt;"selected_for_runtime","no",IF(OR($AY182="context_with_coverage_gap",$AX182="exploratoria"),"ready_with_flags","ready")))</x:f>
      </x:c>
      <x:c r="BA182" s="81" t="str"/>
      <x:c r="BB182" s="81" t="str"/>
      <x:c r="BC182" s="81" t="str"/>
      <x:c r="BD182" s="81" t="str"/>
      <x:c r="BE182" s="81" t="str"/>
    </x:row>
    <x:row r="183">
      <x:c r="A183" s="81" t="str"/>
      <x:c r="B183" s="81" t="str"/>
      <x:c r="C183" s="81" t="str"/>
      <x:c r="D183" s="81" t="str"/>
      <x:c r="E183" s="81" t="str"/>
      <x:c r="F183" s="81" t="str"/>
      <x:c r="G183" s="81" t="str"/>
      <x:c r="H183" s="81" t="str"/>
      <x:c r="I183" s="81" t="str"/>
      <x:c r="J183" s="81" t="str"/>
      <x:c r="K183" s="81" t="str"/>
      <x:c r="L183" s="81" t="str"/>
      <x:c r="M183" s="81" t="str"/>
      <x:c r="N183" s="81" t="str"/>
      <x:c r="O183" s="81" t="str"/>
      <x:c r="P183" s="81" t="str"/>
      <x:c r="Q183" s="81" t="str"/>
      <x:c r="R183" s="81" t="str"/>
      <x:c r="S183" s="82" t="str"/>
      <x:c r="T183" s="82" t="str"/>
      <x:c r="U183" s="82" t="str"/>
      <x:c r="V183" s="82" t="str"/>
      <x:c r="W183" s="82" t="str"/>
      <x:c r="X183" s="82" t="str"/>
      <x:c r="Y183" s="82" t="str"/>
      <x:c r="Z183" s="82" t="str"/>
      <x:c r="AA183" s="82" t="str"/>
      <x:c r="AB183" s="82" t="str"/>
      <x:c r="AC183" s="82" t="str"/>
      <x:c r="AD183" s="82" t="str"/>
      <x:c r="AE183" s="82" t="str"/>
      <x:c r="AF183" s="82" t="str"/>
      <x:c r="AG183" s="82" t="str"/>
      <x:c r="AH183" s="82" t="str"/>
      <x:c r="AI183" s="81" t="str"/>
      <x:c r="AJ183" s="81" t="str"/>
      <x:c r="AK183" s="81" t="str">
        <x:f>IF($E183="","",IF(AND($M183="yes",OR($N183="yes",$N183="review"),OR($O183="yes",$O183="review"),$P183="fit",OR($Q183="unique",$Q183="alias_review"),$R183&lt;&gt;"context_only"),"pass","review/block"))</x:f>
      </x:c>
      <x:c r="AL183" s="81" t="str">
        <x:f>IF($E183="","",IF($AK183="pass","eligible",IF(OR($M183="no",$O183="no",$P183="too_macro",$P183="too_micro",$P183="context_only",$Q183="duplicate_confirmed",$R183="context_only"),"not_eligible","review")))</x:f>
      </x:c>
      <x:c r="AM183" s="81" t="str">
        <x:f>IF($E183="","",IF($C183=0,"reentry_required",IF($C183&lt;=8,"non_competitive_inclusion","competitive_selection")))</x:f>
      </x:c>
      <x:c r="AN183" s="82" t="str">
        <x:f>IF($E183="","",AVERAGE($U183:$X183))</x:f>
      </x:c>
      <x:c r="AO183" s="82" t="str">
        <x:f>IF($E183="","",AVERAGE($S183:$T183))</x:f>
      </x:c>
      <x:c r="AP183" s="82" t="str">
        <x:f>IF($E183="","",($AF183*0.08)+($AG183*0.08)+($AH183*0.10))</x:f>
      </x:c>
      <x:c r="AQ183" s="82" t="str">
        <x:f>IF($E183="","",MAX(0,($AN183*0.30)+($Y183*0.20)+($Z183*0.15)+($AA183*0.15)+($AB183*0.10)+($AC183*0.10)+($AE183*0.05)-$AP183))</x:f>
      </x:c>
      <x:c r="AR183" s="81" t="str">
        <x:f>IF($E183="","",IF($AM183="competitive_selection",RANK.EQ($AQ183,$AQ$2:$AQ$201,0),""))</x:f>
      </x:c>
      <x:c r="AS183" s="81" t="str">
        <x:f>IF($E183="","",IF(AND($AM183="non_competitive_inclusion",$AL183="eligible"),"selected",""))</x:f>
      </x:c>
      <x:c r="AT183" s="81" t="str">
        <x:f>IF($E183="","",IF($AM183&lt;&gt;"competitive_selection","",IF(AND($AL183="eligible",$AR183&lt;=8),"selected","context/backlog")))</x:f>
      </x:c>
      <x:c r="AU183" s="81" t="str">
        <x:f>IF($E183="","",IF($AM183="reentry_required","not_selected_reentry",IF($AS183="selected","selected_for_runtime",IF($AT183="selected","selected_for_runtime",IF($AL183="review","manual_review","context_or_not_selected")))))</x:f>
      </x:c>
      <x:c r="AV183" s="81" t="str">
        <x:f>IF($E183="","",IF($AU183="selected_for_runtime",IF($AM183="competitive_selection",$AR183,COUNTIF($AU$2:AU183,"selected_for_runtime")),""))</x:f>
      </x:c>
      <x:c r="AW183" s="81" t="str">
        <x:f>IF($E183="","",IF($AU183="selected_for_runtime",IF($AD183&gt;=2,"base_40_plus_uncertainty_probes",IF($AE183&gt;=2,"base_40_plus_exploratory_probes","base_40_standard")),"no_runtime"))</x:f>
      </x:c>
      <x:c r="AX183" s="81" t="str">
        <x:f>IF($E183="","",IF($AU183&lt;&gt;"selected_for_runtime","none",IF($AE183&gt;=2,"exploratoria",IF($AQ183&gt;=2.2,"alta",IF($AQ183&gt;=1.2,"media","baja")))))</x:f>
      </x:c>
      <x:c r="AY183" s="81" t="str">
        <x:f>IF($E183="","",IF($AJ183=TRUE,"context_with_coverage_gap",IF($AI183="review","context_requires_confirmation","context_ready")))</x:f>
      </x:c>
      <x:c r="AZ183" s="81" t="str">
        <x:f>IF($E183="","",IF($AU183&lt;&gt;"selected_for_runtime","no",IF(OR($AY183="context_with_coverage_gap",$AX183="exploratoria"),"ready_with_flags","ready")))</x:f>
      </x:c>
      <x:c r="BA183" s="81" t="str"/>
      <x:c r="BB183" s="81" t="str"/>
      <x:c r="BC183" s="81" t="str"/>
      <x:c r="BD183" s="81" t="str"/>
      <x:c r="BE183" s="81" t="str"/>
    </x:row>
    <x:row r="184">
      <x:c r="A184" s="81" t="str"/>
      <x:c r="B184" s="81" t="str"/>
      <x:c r="C184" s="81" t="str"/>
      <x:c r="D184" s="81" t="str"/>
      <x:c r="E184" s="81" t="str"/>
      <x:c r="F184" s="81" t="str"/>
      <x:c r="G184" s="81" t="str"/>
      <x:c r="H184" s="81" t="str"/>
      <x:c r="I184" s="81" t="str"/>
      <x:c r="J184" s="81" t="str"/>
      <x:c r="K184" s="81" t="str"/>
      <x:c r="L184" s="81" t="str"/>
      <x:c r="M184" s="81" t="str"/>
      <x:c r="N184" s="81" t="str"/>
      <x:c r="O184" s="81" t="str"/>
      <x:c r="P184" s="81" t="str"/>
      <x:c r="Q184" s="81" t="str"/>
      <x:c r="R184" s="81" t="str"/>
      <x:c r="S184" s="82" t="str"/>
      <x:c r="T184" s="82" t="str"/>
      <x:c r="U184" s="82" t="str"/>
      <x:c r="V184" s="82" t="str"/>
      <x:c r="W184" s="82" t="str"/>
      <x:c r="X184" s="82" t="str"/>
      <x:c r="Y184" s="82" t="str"/>
      <x:c r="Z184" s="82" t="str"/>
      <x:c r="AA184" s="82" t="str"/>
      <x:c r="AB184" s="82" t="str"/>
      <x:c r="AC184" s="82" t="str"/>
      <x:c r="AD184" s="82" t="str"/>
      <x:c r="AE184" s="82" t="str"/>
      <x:c r="AF184" s="82" t="str"/>
      <x:c r="AG184" s="82" t="str"/>
      <x:c r="AH184" s="82" t="str"/>
      <x:c r="AI184" s="81" t="str"/>
      <x:c r="AJ184" s="81" t="str"/>
      <x:c r="AK184" s="81" t="str">
        <x:f>IF($E184="","",IF(AND($M184="yes",OR($N184="yes",$N184="review"),OR($O184="yes",$O184="review"),$P184="fit",OR($Q184="unique",$Q184="alias_review"),$R184&lt;&gt;"context_only"),"pass","review/block"))</x:f>
      </x:c>
      <x:c r="AL184" s="81" t="str">
        <x:f>IF($E184="","",IF($AK184="pass","eligible",IF(OR($M184="no",$O184="no",$P184="too_macro",$P184="too_micro",$P184="context_only",$Q184="duplicate_confirmed",$R184="context_only"),"not_eligible","review")))</x:f>
      </x:c>
      <x:c r="AM184" s="81" t="str">
        <x:f>IF($E184="","",IF($C184=0,"reentry_required",IF($C184&lt;=8,"non_competitive_inclusion","competitive_selection")))</x:f>
      </x:c>
      <x:c r="AN184" s="82" t="str">
        <x:f>IF($E184="","",AVERAGE($U184:$X184))</x:f>
      </x:c>
      <x:c r="AO184" s="82" t="str">
        <x:f>IF($E184="","",AVERAGE($S184:$T184))</x:f>
      </x:c>
      <x:c r="AP184" s="82" t="str">
        <x:f>IF($E184="","",($AF184*0.08)+($AG184*0.08)+($AH184*0.10))</x:f>
      </x:c>
      <x:c r="AQ184" s="82" t="str">
        <x:f>IF($E184="","",MAX(0,($AN184*0.30)+($Y184*0.20)+($Z184*0.15)+($AA184*0.15)+($AB184*0.10)+($AC184*0.10)+($AE184*0.05)-$AP184))</x:f>
      </x:c>
      <x:c r="AR184" s="81" t="str">
        <x:f>IF($E184="","",IF($AM184="competitive_selection",RANK.EQ($AQ184,$AQ$2:$AQ$201,0),""))</x:f>
      </x:c>
      <x:c r="AS184" s="81" t="str">
        <x:f>IF($E184="","",IF(AND($AM184="non_competitive_inclusion",$AL184="eligible"),"selected",""))</x:f>
      </x:c>
      <x:c r="AT184" s="81" t="str">
        <x:f>IF($E184="","",IF($AM184&lt;&gt;"competitive_selection","",IF(AND($AL184="eligible",$AR184&lt;=8),"selected","context/backlog")))</x:f>
      </x:c>
      <x:c r="AU184" s="81" t="str">
        <x:f>IF($E184="","",IF($AM184="reentry_required","not_selected_reentry",IF($AS184="selected","selected_for_runtime",IF($AT184="selected","selected_for_runtime",IF($AL184="review","manual_review","context_or_not_selected")))))</x:f>
      </x:c>
      <x:c r="AV184" s="81" t="str">
        <x:f>IF($E184="","",IF($AU184="selected_for_runtime",IF($AM184="competitive_selection",$AR184,COUNTIF($AU$2:AU184,"selected_for_runtime")),""))</x:f>
      </x:c>
      <x:c r="AW184" s="81" t="str">
        <x:f>IF($E184="","",IF($AU184="selected_for_runtime",IF($AD184&gt;=2,"base_40_plus_uncertainty_probes",IF($AE184&gt;=2,"base_40_plus_exploratory_probes","base_40_standard")),"no_runtime"))</x:f>
      </x:c>
      <x:c r="AX184" s="81" t="str">
        <x:f>IF($E184="","",IF($AU184&lt;&gt;"selected_for_runtime","none",IF($AE184&gt;=2,"exploratoria",IF($AQ184&gt;=2.2,"alta",IF($AQ184&gt;=1.2,"media","baja")))))</x:f>
      </x:c>
      <x:c r="AY184" s="81" t="str">
        <x:f>IF($E184="","",IF($AJ184=TRUE,"context_with_coverage_gap",IF($AI184="review","context_requires_confirmation","context_ready")))</x:f>
      </x:c>
      <x:c r="AZ184" s="81" t="str">
        <x:f>IF($E184="","",IF($AU184&lt;&gt;"selected_for_runtime","no",IF(OR($AY184="context_with_coverage_gap",$AX184="exploratoria"),"ready_with_flags","ready")))</x:f>
      </x:c>
      <x:c r="BA184" s="81" t="str"/>
      <x:c r="BB184" s="81" t="str"/>
      <x:c r="BC184" s="81" t="str"/>
      <x:c r="BD184" s="81" t="str"/>
      <x:c r="BE184" s="81" t="str"/>
    </x:row>
    <x:row r="185">
      <x:c r="A185" s="81" t="str"/>
      <x:c r="B185" s="81" t="str"/>
      <x:c r="C185" s="81" t="str"/>
      <x:c r="D185" s="81" t="str"/>
      <x:c r="E185" s="81" t="str"/>
      <x:c r="F185" s="81" t="str"/>
      <x:c r="G185" s="81" t="str"/>
      <x:c r="H185" s="81" t="str"/>
      <x:c r="I185" s="81" t="str"/>
      <x:c r="J185" s="81" t="str"/>
      <x:c r="K185" s="81" t="str"/>
      <x:c r="L185" s="81" t="str"/>
      <x:c r="M185" s="81" t="str"/>
      <x:c r="N185" s="81" t="str"/>
      <x:c r="O185" s="81" t="str"/>
      <x:c r="P185" s="81" t="str"/>
      <x:c r="Q185" s="81" t="str"/>
      <x:c r="R185" s="81" t="str"/>
      <x:c r="S185" s="82" t="str"/>
      <x:c r="T185" s="82" t="str"/>
      <x:c r="U185" s="82" t="str"/>
      <x:c r="V185" s="82" t="str"/>
      <x:c r="W185" s="82" t="str"/>
      <x:c r="X185" s="82" t="str"/>
      <x:c r="Y185" s="82" t="str"/>
      <x:c r="Z185" s="82" t="str"/>
      <x:c r="AA185" s="82" t="str"/>
      <x:c r="AB185" s="82" t="str"/>
      <x:c r="AC185" s="82" t="str"/>
      <x:c r="AD185" s="82" t="str"/>
      <x:c r="AE185" s="82" t="str"/>
      <x:c r="AF185" s="82" t="str"/>
      <x:c r="AG185" s="82" t="str"/>
      <x:c r="AH185" s="82" t="str"/>
      <x:c r="AI185" s="81" t="str"/>
      <x:c r="AJ185" s="81" t="str"/>
      <x:c r="AK185" s="81" t="str">
        <x:f>IF($E185="","",IF(AND($M185="yes",OR($N185="yes",$N185="review"),OR($O185="yes",$O185="review"),$P185="fit",OR($Q185="unique",$Q185="alias_review"),$R185&lt;&gt;"context_only"),"pass","review/block"))</x:f>
      </x:c>
      <x:c r="AL185" s="81" t="str">
        <x:f>IF($E185="","",IF($AK185="pass","eligible",IF(OR($M185="no",$O185="no",$P185="too_macro",$P185="too_micro",$P185="context_only",$Q185="duplicate_confirmed",$R185="context_only"),"not_eligible","review")))</x:f>
      </x:c>
      <x:c r="AM185" s="81" t="str">
        <x:f>IF($E185="","",IF($C185=0,"reentry_required",IF($C185&lt;=8,"non_competitive_inclusion","competitive_selection")))</x:f>
      </x:c>
      <x:c r="AN185" s="82" t="str">
        <x:f>IF($E185="","",AVERAGE($U185:$X185))</x:f>
      </x:c>
      <x:c r="AO185" s="82" t="str">
        <x:f>IF($E185="","",AVERAGE($S185:$T185))</x:f>
      </x:c>
      <x:c r="AP185" s="82" t="str">
        <x:f>IF($E185="","",($AF185*0.08)+($AG185*0.08)+($AH185*0.10))</x:f>
      </x:c>
      <x:c r="AQ185" s="82" t="str">
        <x:f>IF($E185="","",MAX(0,($AN185*0.30)+($Y185*0.20)+($Z185*0.15)+($AA185*0.15)+($AB185*0.10)+($AC185*0.10)+($AE185*0.05)-$AP185))</x:f>
      </x:c>
      <x:c r="AR185" s="81" t="str">
        <x:f>IF($E185="","",IF($AM185="competitive_selection",RANK.EQ($AQ185,$AQ$2:$AQ$201,0),""))</x:f>
      </x:c>
      <x:c r="AS185" s="81" t="str">
        <x:f>IF($E185="","",IF(AND($AM185="non_competitive_inclusion",$AL185="eligible"),"selected",""))</x:f>
      </x:c>
      <x:c r="AT185" s="81" t="str">
        <x:f>IF($E185="","",IF($AM185&lt;&gt;"competitive_selection","",IF(AND($AL185="eligible",$AR185&lt;=8),"selected","context/backlog")))</x:f>
      </x:c>
      <x:c r="AU185" s="81" t="str">
        <x:f>IF($E185="","",IF($AM185="reentry_required","not_selected_reentry",IF($AS185="selected","selected_for_runtime",IF($AT185="selected","selected_for_runtime",IF($AL185="review","manual_review","context_or_not_selected")))))</x:f>
      </x:c>
      <x:c r="AV185" s="81" t="str">
        <x:f>IF($E185="","",IF($AU185="selected_for_runtime",IF($AM185="competitive_selection",$AR185,COUNTIF($AU$2:AU185,"selected_for_runtime")),""))</x:f>
      </x:c>
      <x:c r="AW185" s="81" t="str">
        <x:f>IF($E185="","",IF($AU185="selected_for_runtime",IF($AD185&gt;=2,"base_40_plus_uncertainty_probes",IF($AE185&gt;=2,"base_40_plus_exploratory_probes","base_40_standard")),"no_runtime"))</x:f>
      </x:c>
      <x:c r="AX185" s="81" t="str">
        <x:f>IF($E185="","",IF($AU185&lt;&gt;"selected_for_runtime","none",IF($AE185&gt;=2,"exploratoria",IF($AQ185&gt;=2.2,"alta",IF($AQ185&gt;=1.2,"media","baja")))))</x:f>
      </x:c>
      <x:c r="AY185" s="81" t="str">
        <x:f>IF($E185="","",IF($AJ185=TRUE,"context_with_coverage_gap",IF($AI185="review","context_requires_confirmation","context_ready")))</x:f>
      </x:c>
      <x:c r="AZ185" s="81" t="str">
        <x:f>IF($E185="","",IF($AU185&lt;&gt;"selected_for_runtime","no",IF(OR($AY185="context_with_coverage_gap",$AX185="exploratoria"),"ready_with_flags","ready")))</x:f>
      </x:c>
      <x:c r="BA185" s="81" t="str"/>
      <x:c r="BB185" s="81" t="str"/>
      <x:c r="BC185" s="81" t="str"/>
      <x:c r="BD185" s="81" t="str"/>
      <x:c r="BE185" s="81" t="str"/>
    </x:row>
    <x:row r="186">
      <x:c r="A186" s="81" t="str"/>
      <x:c r="B186" s="81" t="str"/>
      <x:c r="C186" s="81" t="str"/>
      <x:c r="D186" s="81" t="str"/>
      <x:c r="E186" s="81" t="str"/>
      <x:c r="F186" s="81" t="str"/>
      <x:c r="G186" s="81" t="str"/>
      <x:c r="H186" s="81" t="str"/>
      <x:c r="I186" s="81" t="str"/>
      <x:c r="J186" s="81" t="str"/>
      <x:c r="K186" s="81" t="str"/>
      <x:c r="L186" s="81" t="str"/>
      <x:c r="M186" s="81" t="str"/>
      <x:c r="N186" s="81" t="str"/>
      <x:c r="O186" s="81" t="str"/>
      <x:c r="P186" s="81" t="str"/>
      <x:c r="Q186" s="81" t="str"/>
      <x:c r="R186" s="81" t="str"/>
      <x:c r="S186" s="82" t="str"/>
      <x:c r="T186" s="82" t="str"/>
      <x:c r="U186" s="82" t="str"/>
      <x:c r="V186" s="82" t="str"/>
      <x:c r="W186" s="82" t="str"/>
      <x:c r="X186" s="82" t="str"/>
      <x:c r="Y186" s="82" t="str"/>
      <x:c r="Z186" s="82" t="str"/>
      <x:c r="AA186" s="82" t="str"/>
      <x:c r="AB186" s="82" t="str"/>
      <x:c r="AC186" s="82" t="str"/>
      <x:c r="AD186" s="82" t="str"/>
      <x:c r="AE186" s="82" t="str"/>
      <x:c r="AF186" s="82" t="str"/>
      <x:c r="AG186" s="82" t="str"/>
      <x:c r="AH186" s="82" t="str"/>
      <x:c r="AI186" s="81" t="str"/>
      <x:c r="AJ186" s="81" t="str"/>
      <x:c r="AK186" s="81" t="str">
        <x:f>IF($E186="","",IF(AND($M186="yes",OR($N186="yes",$N186="review"),OR($O186="yes",$O186="review"),$P186="fit",OR($Q186="unique",$Q186="alias_review"),$R186&lt;&gt;"context_only"),"pass","review/block"))</x:f>
      </x:c>
      <x:c r="AL186" s="81" t="str">
        <x:f>IF($E186="","",IF($AK186="pass","eligible",IF(OR($M186="no",$O186="no",$P186="too_macro",$P186="too_micro",$P186="context_only",$Q186="duplicate_confirmed",$R186="context_only"),"not_eligible","review")))</x:f>
      </x:c>
      <x:c r="AM186" s="81" t="str">
        <x:f>IF($E186="","",IF($C186=0,"reentry_required",IF($C186&lt;=8,"non_competitive_inclusion","competitive_selection")))</x:f>
      </x:c>
      <x:c r="AN186" s="82" t="str">
        <x:f>IF($E186="","",AVERAGE($U186:$X186))</x:f>
      </x:c>
      <x:c r="AO186" s="82" t="str">
        <x:f>IF($E186="","",AVERAGE($S186:$T186))</x:f>
      </x:c>
      <x:c r="AP186" s="82" t="str">
        <x:f>IF($E186="","",($AF186*0.08)+($AG186*0.08)+($AH186*0.10))</x:f>
      </x:c>
      <x:c r="AQ186" s="82" t="str">
        <x:f>IF($E186="","",MAX(0,($AN186*0.30)+($Y186*0.20)+($Z186*0.15)+($AA186*0.15)+($AB186*0.10)+($AC186*0.10)+($AE186*0.05)-$AP186))</x:f>
      </x:c>
      <x:c r="AR186" s="81" t="str">
        <x:f>IF($E186="","",IF($AM186="competitive_selection",RANK.EQ($AQ186,$AQ$2:$AQ$201,0),""))</x:f>
      </x:c>
      <x:c r="AS186" s="81" t="str">
        <x:f>IF($E186="","",IF(AND($AM186="non_competitive_inclusion",$AL186="eligible"),"selected",""))</x:f>
      </x:c>
      <x:c r="AT186" s="81" t="str">
        <x:f>IF($E186="","",IF($AM186&lt;&gt;"competitive_selection","",IF(AND($AL186="eligible",$AR186&lt;=8),"selected","context/backlog")))</x:f>
      </x:c>
      <x:c r="AU186" s="81" t="str">
        <x:f>IF($E186="","",IF($AM186="reentry_required","not_selected_reentry",IF($AS186="selected","selected_for_runtime",IF($AT186="selected","selected_for_runtime",IF($AL186="review","manual_review","context_or_not_selected")))))</x:f>
      </x:c>
      <x:c r="AV186" s="81" t="str">
        <x:f>IF($E186="","",IF($AU186="selected_for_runtime",IF($AM186="competitive_selection",$AR186,COUNTIF($AU$2:AU186,"selected_for_runtime")),""))</x:f>
      </x:c>
      <x:c r="AW186" s="81" t="str">
        <x:f>IF($E186="","",IF($AU186="selected_for_runtime",IF($AD186&gt;=2,"base_40_plus_uncertainty_probes",IF($AE186&gt;=2,"base_40_plus_exploratory_probes","base_40_standard")),"no_runtime"))</x:f>
      </x:c>
      <x:c r="AX186" s="81" t="str">
        <x:f>IF($E186="","",IF($AU186&lt;&gt;"selected_for_runtime","none",IF($AE186&gt;=2,"exploratoria",IF($AQ186&gt;=2.2,"alta",IF($AQ186&gt;=1.2,"media","baja")))))</x:f>
      </x:c>
      <x:c r="AY186" s="81" t="str">
        <x:f>IF($E186="","",IF($AJ186=TRUE,"context_with_coverage_gap",IF($AI186="review","context_requires_confirmation","context_ready")))</x:f>
      </x:c>
      <x:c r="AZ186" s="81" t="str">
        <x:f>IF($E186="","",IF($AU186&lt;&gt;"selected_for_runtime","no",IF(OR($AY186="context_with_coverage_gap",$AX186="exploratoria"),"ready_with_flags","ready")))</x:f>
      </x:c>
      <x:c r="BA186" s="81" t="str"/>
      <x:c r="BB186" s="81" t="str"/>
      <x:c r="BC186" s="81" t="str"/>
      <x:c r="BD186" s="81" t="str"/>
      <x:c r="BE186" s="81" t="str"/>
    </x:row>
    <x:row r="187">
      <x:c r="A187" s="81" t="str"/>
      <x:c r="B187" s="81" t="str"/>
      <x:c r="C187" s="81" t="str"/>
      <x:c r="D187" s="81" t="str"/>
      <x:c r="E187" s="81" t="str"/>
      <x:c r="F187" s="81" t="str"/>
      <x:c r="G187" s="81" t="str"/>
      <x:c r="H187" s="81" t="str"/>
      <x:c r="I187" s="81" t="str"/>
      <x:c r="J187" s="81" t="str"/>
      <x:c r="K187" s="81" t="str"/>
      <x:c r="L187" s="81" t="str"/>
      <x:c r="M187" s="81" t="str"/>
      <x:c r="N187" s="81" t="str"/>
      <x:c r="O187" s="81" t="str"/>
      <x:c r="P187" s="81" t="str"/>
      <x:c r="Q187" s="81" t="str"/>
      <x:c r="R187" s="81" t="str"/>
      <x:c r="S187" s="82" t="str"/>
      <x:c r="T187" s="82" t="str"/>
      <x:c r="U187" s="82" t="str"/>
      <x:c r="V187" s="82" t="str"/>
      <x:c r="W187" s="82" t="str"/>
      <x:c r="X187" s="82" t="str"/>
      <x:c r="Y187" s="82" t="str"/>
      <x:c r="Z187" s="82" t="str"/>
      <x:c r="AA187" s="82" t="str"/>
      <x:c r="AB187" s="82" t="str"/>
      <x:c r="AC187" s="82" t="str"/>
      <x:c r="AD187" s="82" t="str"/>
      <x:c r="AE187" s="82" t="str"/>
      <x:c r="AF187" s="82" t="str"/>
      <x:c r="AG187" s="82" t="str"/>
      <x:c r="AH187" s="82" t="str"/>
      <x:c r="AI187" s="81" t="str"/>
      <x:c r="AJ187" s="81" t="str"/>
      <x:c r="AK187" s="81" t="str">
        <x:f>IF($E187="","",IF(AND($M187="yes",OR($N187="yes",$N187="review"),OR($O187="yes",$O187="review"),$P187="fit",OR($Q187="unique",$Q187="alias_review"),$R187&lt;&gt;"context_only"),"pass","review/block"))</x:f>
      </x:c>
      <x:c r="AL187" s="81" t="str">
        <x:f>IF($E187="","",IF($AK187="pass","eligible",IF(OR($M187="no",$O187="no",$P187="too_macro",$P187="too_micro",$P187="context_only",$Q187="duplicate_confirmed",$R187="context_only"),"not_eligible","review")))</x:f>
      </x:c>
      <x:c r="AM187" s="81" t="str">
        <x:f>IF($E187="","",IF($C187=0,"reentry_required",IF($C187&lt;=8,"non_competitive_inclusion","competitive_selection")))</x:f>
      </x:c>
      <x:c r="AN187" s="82" t="str">
        <x:f>IF($E187="","",AVERAGE($U187:$X187))</x:f>
      </x:c>
      <x:c r="AO187" s="82" t="str">
        <x:f>IF($E187="","",AVERAGE($S187:$T187))</x:f>
      </x:c>
      <x:c r="AP187" s="82" t="str">
        <x:f>IF($E187="","",($AF187*0.08)+($AG187*0.08)+($AH187*0.10))</x:f>
      </x:c>
      <x:c r="AQ187" s="82" t="str">
        <x:f>IF($E187="","",MAX(0,($AN187*0.30)+($Y187*0.20)+($Z187*0.15)+($AA187*0.15)+($AB187*0.10)+($AC187*0.10)+($AE187*0.05)-$AP187))</x:f>
      </x:c>
      <x:c r="AR187" s="81" t="str">
        <x:f>IF($E187="","",IF($AM187="competitive_selection",RANK.EQ($AQ187,$AQ$2:$AQ$201,0),""))</x:f>
      </x:c>
      <x:c r="AS187" s="81" t="str">
        <x:f>IF($E187="","",IF(AND($AM187="non_competitive_inclusion",$AL187="eligible"),"selected",""))</x:f>
      </x:c>
      <x:c r="AT187" s="81" t="str">
        <x:f>IF($E187="","",IF($AM187&lt;&gt;"competitive_selection","",IF(AND($AL187="eligible",$AR187&lt;=8),"selected","context/backlog")))</x:f>
      </x:c>
      <x:c r="AU187" s="81" t="str">
        <x:f>IF($E187="","",IF($AM187="reentry_required","not_selected_reentry",IF($AS187="selected","selected_for_runtime",IF($AT187="selected","selected_for_runtime",IF($AL187="review","manual_review","context_or_not_selected")))))</x:f>
      </x:c>
      <x:c r="AV187" s="81" t="str">
        <x:f>IF($E187="","",IF($AU187="selected_for_runtime",IF($AM187="competitive_selection",$AR187,COUNTIF($AU$2:AU187,"selected_for_runtime")),""))</x:f>
      </x:c>
      <x:c r="AW187" s="81" t="str">
        <x:f>IF($E187="","",IF($AU187="selected_for_runtime",IF($AD187&gt;=2,"base_40_plus_uncertainty_probes",IF($AE187&gt;=2,"base_40_plus_exploratory_probes","base_40_standard")),"no_runtime"))</x:f>
      </x:c>
      <x:c r="AX187" s="81" t="str">
        <x:f>IF($E187="","",IF($AU187&lt;&gt;"selected_for_runtime","none",IF($AE187&gt;=2,"exploratoria",IF($AQ187&gt;=2.2,"alta",IF($AQ187&gt;=1.2,"media","baja")))))</x:f>
      </x:c>
      <x:c r="AY187" s="81" t="str">
        <x:f>IF($E187="","",IF($AJ187=TRUE,"context_with_coverage_gap",IF($AI187="review","context_requires_confirmation","context_ready")))</x:f>
      </x:c>
      <x:c r="AZ187" s="81" t="str">
        <x:f>IF($E187="","",IF($AU187&lt;&gt;"selected_for_runtime","no",IF(OR($AY187="context_with_coverage_gap",$AX187="exploratoria"),"ready_with_flags","ready")))</x:f>
      </x:c>
      <x:c r="BA187" s="81" t="str"/>
      <x:c r="BB187" s="81" t="str"/>
      <x:c r="BC187" s="81" t="str"/>
      <x:c r="BD187" s="81" t="str"/>
      <x:c r="BE187" s="81" t="str"/>
    </x:row>
    <x:row r="188">
      <x:c r="A188" s="81" t="str"/>
      <x:c r="B188" s="81" t="str"/>
      <x:c r="C188" s="81" t="str"/>
      <x:c r="D188" s="81" t="str"/>
      <x:c r="E188" s="81" t="str"/>
      <x:c r="F188" s="81" t="str"/>
      <x:c r="G188" s="81" t="str"/>
      <x:c r="H188" s="81" t="str"/>
      <x:c r="I188" s="81" t="str"/>
      <x:c r="J188" s="81" t="str"/>
      <x:c r="K188" s="81" t="str"/>
      <x:c r="L188" s="81" t="str"/>
      <x:c r="M188" s="81" t="str"/>
      <x:c r="N188" s="81" t="str"/>
      <x:c r="O188" s="81" t="str"/>
      <x:c r="P188" s="81" t="str"/>
      <x:c r="Q188" s="81" t="str"/>
      <x:c r="R188" s="81" t="str"/>
      <x:c r="S188" s="82" t="str"/>
      <x:c r="T188" s="82" t="str"/>
      <x:c r="U188" s="82" t="str"/>
      <x:c r="V188" s="82" t="str"/>
      <x:c r="W188" s="82" t="str"/>
      <x:c r="X188" s="82" t="str"/>
      <x:c r="Y188" s="82" t="str"/>
      <x:c r="Z188" s="82" t="str"/>
      <x:c r="AA188" s="82" t="str"/>
      <x:c r="AB188" s="82" t="str"/>
      <x:c r="AC188" s="82" t="str"/>
      <x:c r="AD188" s="82" t="str"/>
      <x:c r="AE188" s="82" t="str"/>
      <x:c r="AF188" s="82" t="str"/>
      <x:c r="AG188" s="82" t="str"/>
      <x:c r="AH188" s="82" t="str"/>
      <x:c r="AI188" s="81" t="str"/>
      <x:c r="AJ188" s="81" t="str"/>
      <x:c r="AK188" s="81" t="str">
        <x:f>IF($E188="","",IF(AND($M188="yes",OR($N188="yes",$N188="review"),OR($O188="yes",$O188="review"),$P188="fit",OR($Q188="unique",$Q188="alias_review"),$R188&lt;&gt;"context_only"),"pass","review/block"))</x:f>
      </x:c>
      <x:c r="AL188" s="81" t="str">
        <x:f>IF($E188="","",IF($AK188="pass","eligible",IF(OR($M188="no",$O188="no",$P188="too_macro",$P188="too_micro",$P188="context_only",$Q188="duplicate_confirmed",$R188="context_only"),"not_eligible","review")))</x:f>
      </x:c>
      <x:c r="AM188" s="81" t="str">
        <x:f>IF($E188="","",IF($C188=0,"reentry_required",IF($C188&lt;=8,"non_competitive_inclusion","competitive_selection")))</x:f>
      </x:c>
      <x:c r="AN188" s="82" t="str">
        <x:f>IF($E188="","",AVERAGE($U188:$X188))</x:f>
      </x:c>
      <x:c r="AO188" s="82" t="str">
        <x:f>IF($E188="","",AVERAGE($S188:$T188))</x:f>
      </x:c>
      <x:c r="AP188" s="82" t="str">
        <x:f>IF($E188="","",($AF188*0.08)+($AG188*0.08)+($AH188*0.10))</x:f>
      </x:c>
      <x:c r="AQ188" s="82" t="str">
        <x:f>IF($E188="","",MAX(0,($AN188*0.30)+($Y188*0.20)+($Z188*0.15)+($AA188*0.15)+($AB188*0.10)+($AC188*0.10)+($AE188*0.05)-$AP188))</x:f>
      </x:c>
      <x:c r="AR188" s="81" t="str">
        <x:f>IF($E188="","",IF($AM188="competitive_selection",RANK.EQ($AQ188,$AQ$2:$AQ$201,0),""))</x:f>
      </x:c>
      <x:c r="AS188" s="81" t="str">
        <x:f>IF($E188="","",IF(AND($AM188="non_competitive_inclusion",$AL188="eligible"),"selected",""))</x:f>
      </x:c>
      <x:c r="AT188" s="81" t="str">
        <x:f>IF($E188="","",IF($AM188&lt;&gt;"competitive_selection","",IF(AND($AL188="eligible",$AR188&lt;=8),"selected","context/backlog")))</x:f>
      </x:c>
      <x:c r="AU188" s="81" t="str">
        <x:f>IF($E188="","",IF($AM188="reentry_required","not_selected_reentry",IF($AS188="selected","selected_for_runtime",IF($AT188="selected","selected_for_runtime",IF($AL188="review","manual_review","context_or_not_selected")))))</x:f>
      </x:c>
      <x:c r="AV188" s="81" t="str">
        <x:f>IF($E188="","",IF($AU188="selected_for_runtime",IF($AM188="competitive_selection",$AR188,COUNTIF($AU$2:AU188,"selected_for_runtime")),""))</x:f>
      </x:c>
      <x:c r="AW188" s="81" t="str">
        <x:f>IF($E188="","",IF($AU188="selected_for_runtime",IF($AD188&gt;=2,"base_40_plus_uncertainty_probes",IF($AE188&gt;=2,"base_40_plus_exploratory_probes","base_40_standard")),"no_runtime"))</x:f>
      </x:c>
      <x:c r="AX188" s="81" t="str">
        <x:f>IF($E188="","",IF($AU188&lt;&gt;"selected_for_runtime","none",IF($AE188&gt;=2,"exploratoria",IF($AQ188&gt;=2.2,"alta",IF($AQ188&gt;=1.2,"media","baja")))))</x:f>
      </x:c>
      <x:c r="AY188" s="81" t="str">
        <x:f>IF($E188="","",IF($AJ188=TRUE,"context_with_coverage_gap",IF($AI188="review","context_requires_confirmation","context_ready")))</x:f>
      </x:c>
      <x:c r="AZ188" s="81" t="str">
        <x:f>IF($E188="","",IF($AU188&lt;&gt;"selected_for_runtime","no",IF(OR($AY188="context_with_coverage_gap",$AX188="exploratoria"),"ready_with_flags","ready")))</x:f>
      </x:c>
      <x:c r="BA188" s="81" t="str"/>
      <x:c r="BB188" s="81" t="str"/>
      <x:c r="BC188" s="81" t="str"/>
      <x:c r="BD188" s="81" t="str"/>
      <x:c r="BE188" s="81" t="str"/>
    </x:row>
    <x:row r="189">
      <x:c r="A189" s="81" t="str"/>
      <x:c r="B189" s="81" t="str"/>
      <x:c r="C189" s="81" t="str"/>
      <x:c r="D189" s="81" t="str"/>
      <x:c r="E189" s="81" t="str"/>
      <x:c r="F189" s="81" t="str"/>
      <x:c r="G189" s="81" t="str"/>
      <x:c r="H189" s="81" t="str"/>
      <x:c r="I189" s="81" t="str"/>
      <x:c r="J189" s="81" t="str"/>
      <x:c r="K189" s="81" t="str"/>
      <x:c r="L189" s="81" t="str"/>
      <x:c r="M189" s="81" t="str"/>
      <x:c r="N189" s="81" t="str"/>
      <x:c r="O189" s="81" t="str"/>
      <x:c r="P189" s="81" t="str"/>
      <x:c r="Q189" s="81" t="str"/>
      <x:c r="R189" s="81" t="str"/>
      <x:c r="S189" s="82" t="str"/>
      <x:c r="T189" s="82" t="str"/>
      <x:c r="U189" s="82" t="str"/>
      <x:c r="V189" s="82" t="str"/>
      <x:c r="W189" s="82" t="str"/>
      <x:c r="X189" s="82" t="str"/>
      <x:c r="Y189" s="82" t="str"/>
      <x:c r="Z189" s="82" t="str"/>
      <x:c r="AA189" s="82" t="str"/>
      <x:c r="AB189" s="82" t="str"/>
      <x:c r="AC189" s="82" t="str"/>
      <x:c r="AD189" s="82" t="str"/>
      <x:c r="AE189" s="82" t="str"/>
      <x:c r="AF189" s="82" t="str"/>
      <x:c r="AG189" s="82" t="str"/>
      <x:c r="AH189" s="82" t="str"/>
      <x:c r="AI189" s="81" t="str"/>
      <x:c r="AJ189" s="81" t="str"/>
      <x:c r="AK189" s="81" t="str">
        <x:f>IF($E189="","",IF(AND($M189="yes",OR($N189="yes",$N189="review"),OR($O189="yes",$O189="review"),$P189="fit",OR($Q189="unique",$Q189="alias_review"),$R189&lt;&gt;"context_only"),"pass","review/block"))</x:f>
      </x:c>
      <x:c r="AL189" s="81" t="str">
        <x:f>IF($E189="","",IF($AK189="pass","eligible",IF(OR($M189="no",$O189="no",$P189="too_macro",$P189="too_micro",$P189="context_only",$Q189="duplicate_confirmed",$R189="context_only"),"not_eligible","review")))</x:f>
      </x:c>
      <x:c r="AM189" s="81" t="str">
        <x:f>IF($E189="","",IF($C189=0,"reentry_required",IF($C189&lt;=8,"non_competitive_inclusion","competitive_selection")))</x:f>
      </x:c>
      <x:c r="AN189" s="82" t="str">
        <x:f>IF($E189="","",AVERAGE($U189:$X189))</x:f>
      </x:c>
      <x:c r="AO189" s="82" t="str">
        <x:f>IF($E189="","",AVERAGE($S189:$T189))</x:f>
      </x:c>
      <x:c r="AP189" s="82" t="str">
        <x:f>IF($E189="","",($AF189*0.08)+($AG189*0.08)+($AH189*0.10))</x:f>
      </x:c>
      <x:c r="AQ189" s="82" t="str">
        <x:f>IF($E189="","",MAX(0,($AN189*0.30)+($Y189*0.20)+($Z189*0.15)+($AA189*0.15)+($AB189*0.10)+($AC189*0.10)+($AE189*0.05)-$AP189))</x:f>
      </x:c>
      <x:c r="AR189" s="81" t="str">
        <x:f>IF($E189="","",IF($AM189="competitive_selection",RANK.EQ($AQ189,$AQ$2:$AQ$201,0),""))</x:f>
      </x:c>
      <x:c r="AS189" s="81" t="str">
        <x:f>IF($E189="","",IF(AND($AM189="non_competitive_inclusion",$AL189="eligible"),"selected",""))</x:f>
      </x:c>
      <x:c r="AT189" s="81" t="str">
        <x:f>IF($E189="","",IF($AM189&lt;&gt;"competitive_selection","",IF(AND($AL189="eligible",$AR189&lt;=8),"selected","context/backlog")))</x:f>
      </x:c>
      <x:c r="AU189" s="81" t="str">
        <x:f>IF($E189="","",IF($AM189="reentry_required","not_selected_reentry",IF($AS189="selected","selected_for_runtime",IF($AT189="selected","selected_for_runtime",IF($AL189="review","manual_review","context_or_not_selected")))))</x:f>
      </x:c>
      <x:c r="AV189" s="81" t="str">
        <x:f>IF($E189="","",IF($AU189="selected_for_runtime",IF($AM189="competitive_selection",$AR189,COUNTIF($AU$2:AU189,"selected_for_runtime")),""))</x:f>
      </x:c>
      <x:c r="AW189" s="81" t="str">
        <x:f>IF($E189="","",IF($AU189="selected_for_runtime",IF($AD189&gt;=2,"base_40_plus_uncertainty_probes",IF($AE189&gt;=2,"base_40_plus_exploratory_probes","base_40_standard")),"no_runtime"))</x:f>
      </x:c>
      <x:c r="AX189" s="81" t="str">
        <x:f>IF($E189="","",IF($AU189&lt;&gt;"selected_for_runtime","none",IF($AE189&gt;=2,"exploratoria",IF($AQ189&gt;=2.2,"alta",IF($AQ189&gt;=1.2,"media","baja")))))</x:f>
      </x:c>
      <x:c r="AY189" s="81" t="str">
        <x:f>IF($E189="","",IF($AJ189=TRUE,"context_with_coverage_gap",IF($AI189="review","context_requires_confirmation","context_ready")))</x:f>
      </x:c>
      <x:c r="AZ189" s="81" t="str">
        <x:f>IF($E189="","",IF($AU189&lt;&gt;"selected_for_runtime","no",IF(OR($AY189="context_with_coverage_gap",$AX189="exploratoria"),"ready_with_flags","ready")))</x:f>
      </x:c>
      <x:c r="BA189" s="81" t="str"/>
      <x:c r="BB189" s="81" t="str"/>
      <x:c r="BC189" s="81" t="str"/>
      <x:c r="BD189" s="81" t="str"/>
      <x:c r="BE189" s="81" t="str"/>
    </x:row>
    <x:row r="190">
      <x:c r="A190" s="81" t="str"/>
      <x:c r="B190" s="81" t="str"/>
      <x:c r="C190" s="81" t="str"/>
      <x:c r="D190" s="81" t="str"/>
      <x:c r="E190" s="81" t="str"/>
      <x:c r="F190" s="81" t="str"/>
      <x:c r="G190" s="81" t="str"/>
      <x:c r="H190" s="81" t="str"/>
      <x:c r="I190" s="81" t="str"/>
      <x:c r="J190" s="81" t="str"/>
      <x:c r="K190" s="81" t="str"/>
      <x:c r="L190" s="81" t="str"/>
      <x:c r="M190" s="81" t="str"/>
      <x:c r="N190" s="81" t="str"/>
      <x:c r="O190" s="81" t="str"/>
      <x:c r="P190" s="81" t="str"/>
      <x:c r="Q190" s="81" t="str"/>
      <x:c r="R190" s="81" t="str"/>
      <x:c r="S190" s="82" t="str"/>
      <x:c r="T190" s="82" t="str"/>
      <x:c r="U190" s="82" t="str"/>
      <x:c r="V190" s="82" t="str"/>
      <x:c r="W190" s="82" t="str"/>
      <x:c r="X190" s="82" t="str"/>
      <x:c r="Y190" s="82" t="str"/>
      <x:c r="Z190" s="82" t="str"/>
      <x:c r="AA190" s="82" t="str"/>
      <x:c r="AB190" s="82" t="str"/>
      <x:c r="AC190" s="82" t="str"/>
      <x:c r="AD190" s="82" t="str"/>
      <x:c r="AE190" s="82" t="str"/>
      <x:c r="AF190" s="82" t="str"/>
      <x:c r="AG190" s="82" t="str"/>
      <x:c r="AH190" s="82" t="str"/>
      <x:c r="AI190" s="81" t="str"/>
      <x:c r="AJ190" s="81" t="str"/>
      <x:c r="AK190" s="81" t="str">
        <x:f>IF($E190="","",IF(AND($M190="yes",OR($N190="yes",$N190="review"),OR($O190="yes",$O190="review"),$P190="fit",OR($Q190="unique",$Q190="alias_review"),$R190&lt;&gt;"context_only"),"pass","review/block"))</x:f>
      </x:c>
      <x:c r="AL190" s="81" t="str">
        <x:f>IF($E190="","",IF($AK190="pass","eligible",IF(OR($M190="no",$O190="no",$P190="too_macro",$P190="too_micro",$P190="context_only",$Q190="duplicate_confirmed",$R190="context_only"),"not_eligible","review")))</x:f>
      </x:c>
      <x:c r="AM190" s="81" t="str">
        <x:f>IF($E190="","",IF($C190=0,"reentry_required",IF($C190&lt;=8,"non_competitive_inclusion","competitive_selection")))</x:f>
      </x:c>
      <x:c r="AN190" s="82" t="str">
        <x:f>IF($E190="","",AVERAGE($U190:$X190))</x:f>
      </x:c>
      <x:c r="AO190" s="82" t="str">
        <x:f>IF($E190="","",AVERAGE($S190:$T190))</x:f>
      </x:c>
      <x:c r="AP190" s="82" t="str">
        <x:f>IF($E190="","",($AF190*0.08)+($AG190*0.08)+($AH190*0.10))</x:f>
      </x:c>
      <x:c r="AQ190" s="82" t="str">
        <x:f>IF($E190="","",MAX(0,($AN190*0.30)+($Y190*0.20)+($Z190*0.15)+($AA190*0.15)+($AB190*0.10)+($AC190*0.10)+($AE190*0.05)-$AP190))</x:f>
      </x:c>
      <x:c r="AR190" s="81" t="str">
        <x:f>IF($E190="","",IF($AM190="competitive_selection",RANK.EQ($AQ190,$AQ$2:$AQ$201,0),""))</x:f>
      </x:c>
      <x:c r="AS190" s="81" t="str">
        <x:f>IF($E190="","",IF(AND($AM190="non_competitive_inclusion",$AL190="eligible"),"selected",""))</x:f>
      </x:c>
      <x:c r="AT190" s="81" t="str">
        <x:f>IF($E190="","",IF($AM190&lt;&gt;"competitive_selection","",IF(AND($AL190="eligible",$AR190&lt;=8),"selected","context/backlog")))</x:f>
      </x:c>
      <x:c r="AU190" s="81" t="str">
        <x:f>IF($E190="","",IF($AM190="reentry_required","not_selected_reentry",IF($AS190="selected","selected_for_runtime",IF($AT190="selected","selected_for_runtime",IF($AL190="review","manual_review","context_or_not_selected")))))</x:f>
      </x:c>
      <x:c r="AV190" s="81" t="str">
        <x:f>IF($E190="","",IF($AU190="selected_for_runtime",IF($AM190="competitive_selection",$AR190,COUNTIF($AU$2:AU190,"selected_for_runtime")),""))</x:f>
      </x:c>
      <x:c r="AW190" s="81" t="str">
        <x:f>IF($E190="","",IF($AU190="selected_for_runtime",IF($AD190&gt;=2,"base_40_plus_uncertainty_probes",IF($AE190&gt;=2,"base_40_plus_exploratory_probes","base_40_standard")),"no_runtime"))</x:f>
      </x:c>
      <x:c r="AX190" s="81" t="str">
        <x:f>IF($E190="","",IF($AU190&lt;&gt;"selected_for_runtime","none",IF($AE190&gt;=2,"exploratoria",IF($AQ190&gt;=2.2,"alta",IF($AQ190&gt;=1.2,"media","baja")))))</x:f>
      </x:c>
      <x:c r="AY190" s="81" t="str">
        <x:f>IF($E190="","",IF($AJ190=TRUE,"context_with_coverage_gap",IF($AI190="review","context_requires_confirmation","context_ready")))</x:f>
      </x:c>
      <x:c r="AZ190" s="81" t="str">
        <x:f>IF($E190="","",IF($AU190&lt;&gt;"selected_for_runtime","no",IF(OR($AY190="context_with_coverage_gap",$AX190="exploratoria"),"ready_with_flags","ready")))</x:f>
      </x:c>
      <x:c r="BA190" s="81" t="str"/>
      <x:c r="BB190" s="81" t="str"/>
      <x:c r="BC190" s="81" t="str"/>
      <x:c r="BD190" s="81" t="str"/>
      <x:c r="BE190" s="81" t="str"/>
    </x:row>
    <x:row r="191">
      <x:c r="A191" s="81" t="str"/>
      <x:c r="B191" s="81" t="str"/>
      <x:c r="C191" s="81" t="str"/>
      <x:c r="D191" s="81" t="str"/>
      <x:c r="E191" s="81" t="str"/>
      <x:c r="F191" s="81" t="str"/>
      <x:c r="G191" s="81" t="str"/>
      <x:c r="H191" s="81" t="str"/>
      <x:c r="I191" s="81" t="str"/>
      <x:c r="J191" s="81" t="str"/>
      <x:c r="K191" s="81" t="str"/>
      <x:c r="L191" s="81" t="str"/>
      <x:c r="M191" s="81" t="str"/>
      <x:c r="N191" s="81" t="str"/>
      <x:c r="O191" s="81" t="str"/>
      <x:c r="P191" s="81" t="str"/>
      <x:c r="Q191" s="81" t="str"/>
      <x:c r="R191" s="81" t="str"/>
      <x:c r="S191" s="82" t="str"/>
      <x:c r="T191" s="82" t="str"/>
      <x:c r="U191" s="82" t="str"/>
      <x:c r="V191" s="82" t="str"/>
      <x:c r="W191" s="82" t="str"/>
      <x:c r="X191" s="82" t="str"/>
      <x:c r="Y191" s="82" t="str"/>
      <x:c r="Z191" s="82" t="str"/>
      <x:c r="AA191" s="82" t="str"/>
      <x:c r="AB191" s="82" t="str"/>
      <x:c r="AC191" s="82" t="str"/>
      <x:c r="AD191" s="82" t="str"/>
      <x:c r="AE191" s="82" t="str"/>
      <x:c r="AF191" s="82" t="str"/>
      <x:c r="AG191" s="82" t="str"/>
      <x:c r="AH191" s="82" t="str"/>
      <x:c r="AI191" s="81" t="str"/>
      <x:c r="AJ191" s="81" t="str"/>
      <x:c r="AK191" s="81" t="str">
        <x:f>IF($E191="","",IF(AND($M191="yes",OR($N191="yes",$N191="review"),OR($O191="yes",$O191="review"),$P191="fit",OR($Q191="unique",$Q191="alias_review"),$R191&lt;&gt;"context_only"),"pass","review/block"))</x:f>
      </x:c>
      <x:c r="AL191" s="81" t="str">
        <x:f>IF($E191="","",IF($AK191="pass","eligible",IF(OR($M191="no",$O191="no",$P191="too_macro",$P191="too_micro",$P191="context_only",$Q191="duplicate_confirmed",$R191="context_only"),"not_eligible","review")))</x:f>
      </x:c>
      <x:c r="AM191" s="81" t="str">
        <x:f>IF($E191="","",IF($C191=0,"reentry_required",IF($C191&lt;=8,"non_competitive_inclusion","competitive_selection")))</x:f>
      </x:c>
      <x:c r="AN191" s="82" t="str">
        <x:f>IF($E191="","",AVERAGE($U191:$X191))</x:f>
      </x:c>
      <x:c r="AO191" s="82" t="str">
        <x:f>IF($E191="","",AVERAGE($S191:$T191))</x:f>
      </x:c>
      <x:c r="AP191" s="82" t="str">
        <x:f>IF($E191="","",($AF191*0.08)+($AG191*0.08)+($AH191*0.10))</x:f>
      </x:c>
      <x:c r="AQ191" s="82" t="str">
        <x:f>IF($E191="","",MAX(0,($AN191*0.30)+($Y191*0.20)+($Z191*0.15)+($AA191*0.15)+($AB191*0.10)+($AC191*0.10)+($AE191*0.05)-$AP191))</x:f>
      </x:c>
      <x:c r="AR191" s="81" t="str">
        <x:f>IF($E191="","",IF($AM191="competitive_selection",RANK.EQ($AQ191,$AQ$2:$AQ$201,0),""))</x:f>
      </x:c>
      <x:c r="AS191" s="81" t="str">
        <x:f>IF($E191="","",IF(AND($AM191="non_competitive_inclusion",$AL191="eligible"),"selected",""))</x:f>
      </x:c>
      <x:c r="AT191" s="81" t="str">
        <x:f>IF($E191="","",IF($AM191&lt;&gt;"competitive_selection","",IF(AND($AL191="eligible",$AR191&lt;=8),"selected","context/backlog")))</x:f>
      </x:c>
      <x:c r="AU191" s="81" t="str">
        <x:f>IF($E191="","",IF($AM191="reentry_required","not_selected_reentry",IF($AS191="selected","selected_for_runtime",IF($AT191="selected","selected_for_runtime",IF($AL191="review","manual_review","context_or_not_selected")))))</x:f>
      </x:c>
      <x:c r="AV191" s="81" t="str">
        <x:f>IF($E191="","",IF($AU191="selected_for_runtime",IF($AM191="competitive_selection",$AR191,COUNTIF($AU$2:AU191,"selected_for_runtime")),""))</x:f>
      </x:c>
      <x:c r="AW191" s="81" t="str">
        <x:f>IF($E191="","",IF($AU191="selected_for_runtime",IF($AD191&gt;=2,"base_40_plus_uncertainty_probes",IF($AE191&gt;=2,"base_40_plus_exploratory_probes","base_40_standard")),"no_runtime"))</x:f>
      </x:c>
      <x:c r="AX191" s="81" t="str">
        <x:f>IF($E191="","",IF($AU191&lt;&gt;"selected_for_runtime","none",IF($AE191&gt;=2,"exploratoria",IF($AQ191&gt;=2.2,"alta",IF($AQ191&gt;=1.2,"media","baja")))))</x:f>
      </x:c>
      <x:c r="AY191" s="81" t="str">
        <x:f>IF($E191="","",IF($AJ191=TRUE,"context_with_coverage_gap",IF($AI191="review","context_requires_confirmation","context_ready")))</x:f>
      </x:c>
      <x:c r="AZ191" s="81" t="str">
        <x:f>IF($E191="","",IF($AU191&lt;&gt;"selected_for_runtime","no",IF(OR($AY191="context_with_coverage_gap",$AX191="exploratoria"),"ready_with_flags","ready")))</x:f>
      </x:c>
      <x:c r="BA191" s="81" t="str"/>
      <x:c r="BB191" s="81" t="str"/>
      <x:c r="BC191" s="81" t="str"/>
      <x:c r="BD191" s="81" t="str"/>
      <x:c r="BE191" s="81" t="str"/>
    </x:row>
    <x:row r="192">
      <x:c r="A192" s="81" t="str"/>
      <x:c r="B192" s="81" t="str"/>
      <x:c r="C192" s="81" t="str"/>
      <x:c r="D192" s="81" t="str"/>
      <x:c r="E192" s="81" t="str"/>
      <x:c r="F192" s="81" t="str"/>
      <x:c r="G192" s="81" t="str"/>
      <x:c r="H192" s="81" t="str"/>
      <x:c r="I192" s="81" t="str"/>
      <x:c r="J192" s="81" t="str"/>
      <x:c r="K192" s="81" t="str"/>
      <x:c r="L192" s="81" t="str"/>
      <x:c r="M192" s="81" t="str"/>
      <x:c r="N192" s="81" t="str"/>
      <x:c r="O192" s="81" t="str"/>
      <x:c r="P192" s="81" t="str"/>
      <x:c r="Q192" s="81" t="str"/>
      <x:c r="R192" s="81" t="str"/>
      <x:c r="S192" s="82" t="str"/>
      <x:c r="T192" s="82" t="str"/>
      <x:c r="U192" s="82" t="str"/>
      <x:c r="V192" s="82" t="str"/>
      <x:c r="W192" s="82" t="str"/>
      <x:c r="X192" s="82" t="str"/>
      <x:c r="Y192" s="82" t="str"/>
      <x:c r="Z192" s="82" t="str"/>
      <x:c r="AA192" s="82" t="str"/>
      <x:c r="AB192" s="82" t="str"/>
      <x:c r="AC192" s="82" t="str"/>
      <x:c r="AD192" s="82" t="str"/>
      <x:c r="AE192" s="82" t="str"/>
      <x:c r="AF192" s="82" t="str"/>
      <x:c r="AG192" s="82" t="str"/>
      <x:c r="AH192" s="82" t="str"/>
      <x:c r="AI192" s="81" t="str"/>
      <x:c r="AJ192" s="81" t="str"/>
      <x:c r="AK192" s="81" t="str">
        <x:f>IF($E192="","",IF(AND($M192="yes",OR($N192="yes",$N192="review"),OR($O192="yes",$O192="review"),$P192="fit",OR($Q192="unique",$Q192="alias_review"),$R192&lt;&gt;"context_only"),"pass","review/block"))</x:f>
      </x:c>
      <x:c r="AL192" s="81" t="str">
        <x:f>IF($E192="","",IF($AK192="pass","eligible",IF(OR($M192="no",$O192="no",$P192="too_macro",$P192="too_micro",$P192="context_only",$Q192="duplicate_confirmed",$R192="context_only"),"not_eligible","review")))</x:f>
      </x:c>
      <x:c r="AM192" s="81" t="str">
        <x:f>IF($E192="","",IF($C192=0,"reentry_required",IF($C192&lt;=8,"non_competitive_inclusion","competitive_selection")))</x:f>
      </x:c>
      <x:c r="AN192" s="82" t="str">
        <x:f>IF($E192="","",AVERAGE($U192:$X192))</x:f>
      </x:c>
      <x:c r="AO192" s="82" t="str">
        <x:f>IF($E192="","",AVERAGE($S192:$T192))</x:f>
      </x:c>
      <x:c r="AP192" s="82" t="str">
        <x:f>IF($E192="","",($AF192*0.08)+($AG192*0.08)+($AH192*0.10))</x:f>
      </x:c>
      <x:c r="AQ192" s="82" t="str">
        <x:f>IF($E192="","",MAX(0,($AN192*0.30)+($Y192*0.20)+($Z192*0.15)+($AA192*0.15)+($AB192*0.10)+($AC192*0.10)+($AE192*0.05)-$AP192))</x:f>
      </x:c>
      <x:c r="AR192" s="81" t="str">
        <x:f>IF($E192="","",IF($AM192="competitive_selection",RANK.EQ($AQ192,$AQ$2:$AQ$201,0),""))</x:f>
      </x:c>
      <x:c r="AS192" s="81" t="str">
        <x:f>IF($E192="","",IF(AND($AM192="non_competitive_inclusion",$AL192="eligible"),"selected",""))</x:f>
      </x:c>
      <x:c r="AT192" s="81" t="str">
        <x:f>IF($E192="","",IF($AM192&lt;&gt;"competitive_selection","",IF(AND($AL192="eligible",$AR192&lt;=8),"selected","context/backlog")))</x:f>
      </x:c>
      <x:c r="AU192" s="81" t="str">
        <x:f>IF($E192="","",IF($AM192="reentry_required","not_selected_reentry",IF($AS192="selected","selected_for_runtime",IF($AT192="selected","selected_for_runtime",IF($AL192="review","manual_review","context_or_not_selected")))))</x:f>
      </x:c>
      <x:c r="AV192" s="81" t="str">
        <x:f>IF($E192="","",IF($AU192="selected_for_runtime",IF($AM192="competitive_selection",$AR192,COUNTIF($AU$2:AU192,"selected_for_runtime")),""))</x:f>
      </x:c>
      <x:c r="AW192" s="81" t="str">
        <x:f>IF($E192="","",IF($AU192="selected_for_runtime",IF($AD192&gt;=2,"base_40_plus_uncertainty_probes",IF($AE192&gt;=2,"base_40_plus_exploratory_probes","base_40_standard")),"no_runtime"))</x:f>
      </x:c>
      <x:c r="AX192" s="81" t="str">
        <x:f>IF($E192="","",IF($AU192&lt;&gt;"selected_for_runtime","none",IF($AE192&gt;=2,"exploratoria",IF($AQ192&gt;=2.2,"alta",IF($AQ192&gt;=1.2,"media","baja")))))</x:f>
      </x:c>
      <x:c r="AY192" s="81" t="str">
        <x:f>IF($E192="","",IF($AJ192=TRUE,"context_with_coverage_gap",IF($AI192="review","context_requires_confirmation","context_ready")))</x:f>
      </x:c>
      <x:c r="AZ192" s="81" t="str">
        <x:f>IF($E192="","",IF($AU192&lt;&gt;"selected_for_runtime","no",IF(OR($AY192="context_with_coverage_gap",$AX192="exploratoria"),"ready_with_flags","ready")))</x:f>
      </x:c>
      <x:c r="BA192" s="81" t="str"/>
      <x:c r="BB192" s="81" t="str"/>
      <x:c r="BC192" s="81" t="str"/>
      <x:c r="BD192" s="81" t="str"/>
      <x:c r="BE192" s="81" t="str"/>
    </x:row>
    <x:row r="193">
      <x:c r="A193" s="81" t="str"/>
      <x:c r="B193" s="81" t="str"/>
      <x:c r="C193" s="81" t="str"/>
      <x:c r="D193" s="81" t="str"/>
      <x:c r="E193" s="81" t="str"/>
      <x:c r="F193" s="81" t="str"/>
      <x:c r="G193" s="81" t="str"/>
      <x:c r="H193" s="81" t="str"/>
      <x:c r="I193" s="81" t="str"/>
      <x:c r="J193" s="81" t="str"/>
      <x:c r="K193" s="81" t="str"/>
      <x:c r="L193" s="81" t="str"/>
      <x:c r="M193" s="81" t="str"/>
      <x:c r="N193" s="81" t="str"/>
      <x:c r="O193" s="81" t="str"/>
      <x:c r="P193" s="81" t="str"/>
      <x:c r="Q193" s="81" t="str"/>
      <x:c r="R193" s="81" t="str"/>
      <x:c r="S193" s="82" t="str"/>
      <x:c r="T193" s="82" t="str"/>
      <x:c r="U193" s="82" t="str"/>
      <x:c r="V193" s="82" t="str"/>
      <x:c r="W193" s="82" t="str"/>
      <x:c r="X193" s="82" t="str"/>
      <x:c r="Y193" s="82" t="str"/>
      <x:c r="Z193" s="82" t="str"/>
      <x:c r="AA193" s="82" t="str"/>
      <x:c r="AB193" s="82" t="str"/>
      <x:c r="AC193" s="82" t="str"/>
      <x:c r="AD193" s="82" t="str"/>
      <x:c r="AE193" s="82" t="str"/>
      <x:c r="AF193" s="82" t="str"/>
      <x:c r="AG193" s="82" t="str"/>
      <x:c r="AH193" s="82" t="str"/>
      <x:c r="AI193" s="81" t="str"/>
      <x:c r="AJ193" s="81" t="str"/>
      <x:c r="AK193" s="81" t="str">
        <x:f>IF($E193="","",IF(AND($M193="yes",OR($N193="yes",$N193="review"),OR($O193="yes",$O193="review"),$P193="fit",OR($Q193="unique",$Q193="alias_review"),$R193&lt;&gt;"context_only"),"pass","review/block"))</x:f>
      </x:c>
      <x:c r="AL193" s="81" t="str">
        <x:f>IF($E193="","",IF($AK193="pass","eligible",IF(OR($M193="no",$O193="no",$P193="too_macro",$P193="too_micro",$P193="context_only",$Q193="duplicate_confirmed",$R193="context_only"),"not_eligible","review")))</x:f>
      </x:c>
      <x:c r="AM193" s="81" t="str">
        <x:f>IF($E193="","",IF($C193=0,"reentry_required",IF($C193&lt;=8,"non_competitive_inclusion","competitive_selection")))</x:f>
      </x:c>
      <x:c r="AN193" s="82" t="str">
        <x:f>IF($E193="","",AVERAGE($U193:$X193))</x:f>
      </x:c>
      <x:c r="AO193" s="82" t="str">
        <x:f>IF($E193="","",AVERAGE($S193:$T193))</x:f>
      </x:c>
      <x:c r="AP193" s="82" t="str">
        <x:f>IF($E193="","",($AF193*0.08)+($AG193*0.08)+($AH193*0.10))</x:f>
      </x:c>
      <x:c r="AQ193" s="82" t="str">
        <x:f>IF($E193="","",MAX(0,($AN193*0.30)+($Y193*0.20)+($Z193*0.15)+($AA193*0.15)+($AB193*0.10)+($AC193*0.10)+($AE193*0.05)-$AP193))</x:f>
      </x:c>
      <x:c r="AR193" s="81" t="str">
        <x:f>IF($E193="","",IF($AM193="competitive_selection",RANK.EQ($AQ193,$AQ$2:$AQ$201,0),""))</x:f>
      </x:c>
      <x:c r="AS193" s="81" t="str">
        <x:f>IF($E193="","",IF(AND($AM193="non_competitive_inclusion",$AL193="eligible"),"selected",""))</x:f>
      </x:c>
      <x:c r="AT193" s="81" t="str">
        <x:f>IF($E193="","",IF($AM193&lt;&gt;"competitive_selection","",IF(AND($AL193="eligible",$AR193&lt;=8),"selected","context/backlog")))</x:f>
      </x:c>
      <x:c r="AU193" s="81" t="str">
        <x:f>IF($E193="","",IF($AM193="reentry_required","not_selected_reentry",IF($AS193="selected","selected_for_runtime",IF($AT193="selected","selected_for_runtime",IF($AL193="review","manual_review","context_or_not_selected")))))</x:f>
      </x:c>
      <x:c r="AV193" s="81" t="str">
        <x:f>IF($E193="","",IF($AU193="selected_for_runtime",IF($AM193="competitive_selection",$AR193,COUNTIF($AU$2:AU193,"selected_for_runtime")),""))</x:f>
      </x:c>
      <x:c r="AW193" s="81" t="str">
        <x:f>IF($E193="","",IF($AU193="selected_for_runtime",IF($AD193&gt;=2,"base_40_plus_uncertainty_probes",IF($AE193&gt;=2,"base_40_plus_exploratory_probes","base_40_standard")),"no_runtime"))</x:f>
      </x:c>
      <x:c r="AX193" s="81" t="str">
        <x:f>IF($E193="","",IF($AU193&lt;&gt;"selected_for_runtime","none",IF($AE193&gt;=2,"exploratoria",IF($AQ193&gt;=2.2,"alta",IF($AQ193&gt;=1.2,"media","baja")))))</x:f>
      </x:c>
      <x:c r="AY193" s="81" t="str">
        <x:f>IF($E193="","",IF($AJ193=TRUE,"context_with_coverage_gap",IF($AI193="review","context_requires_confirmation","context_ready")))</x:f>
      </x:c>
      <x:c r="AZ193" s="81" t="str">
        <x:f>IF($E193="","",IF($AU193&lt;&gt;"selected_for_runtime","no",IF(OR($AY193="context_with_coverage_gap",$AX193="exploratoria"),"ready_with_flags","ready")))</x:f>
      </x:c>
      <x:c r="BA193" s="81" t="str"/>
      <x:c r="BB193" s="81" t="str"/>
      <x:c r="BC193" s="81" t="str"/>
      <x:c r="BD193" s="81" t="str"/>
      <x:c r="BE193" s="81" t="str"/>
    </x:row>
    <x:row r="194">
      <x:c r="A194" s="81" t="str"/>
      <x:c r="B194" s="81" t="str"/>
      <x:c r="C194" s="81" t="str"/>
      <x:c r="D194" s="81" t="str"/>
      <x:c r="E194" s="81" t="str"/>
      <x:c r="F194" s="81" t="str"/>
      <x:c r="G194" s="81" t="str"/>
      <x:c r="H194" s="81" t="str"/>
      <x:c r="I194" s="81" t="str"/>
      <x:c r="J194" s="81" t="str"/>
      <x:c r="K194" s="81" t="str"/>
      <x:c r="L194" s="81" t="str"/>
      <x:c r="M194" s="81" t="str"/>
      <x:c r="N194" s="81" t="str"/>
      <x:c r="O194" s="81" t="str"/>
      <x:c r="P194" s="81" t="str"/>
      <x:c r="Q194" s="81" t="str"/>
      <x:c r="R194" s="81" t="str"/>
      <x:c r="S194" s="82" t="str"/>
      <x:c r="T194" s="82" t="str"/>
      <x:c r="U194" s="82" t="str"/>
      <x:c r="V194" s="82" t="str"/>
      <x:c r="W194" s="82" t="str"/>
      <x:c r="X194" s="82" t="str"/>
      <x:c r="Y194" s="82" t="str"/>
      <x:c r="Z194" s="82" t="str"/>
      <x:c r="AA194" s="82" t="str"/>
      <x:c r="AB194" s="82" t="str"/>
      <x:c r="AC194" s="82" t="str"/>
      <x:c r="AD194" s="82" t="str"/>
      <x:c r="AE194" s="82" t="str"/>
      <x:c r="AF194" s="82" t="str"/>
      <x:c r="AG194" s="82" t="str"/>
      <x:c r="AH194" s="82" t="str"/>
      <x:c r="AI194" s="81" t="str"/>
      <x:c r="AJ194" s="81" t="str"/>
      <x:c r="AK194" s="81" t="str">
        <x:f>IF($E194="","",IF(AND($M194="yes",OR($N194="yes",$N194="review"),OR($O194="yes",$O194="review"),$P194="fit",OR($Q194="unique",$Q194="alias_review"),$R194&lt;&gt;"context_only"),"pass","review/block"))</x:f>
      </x:c>
      <x:c r="AL194" s="81" t="str">
        <x:f>IF($E194="","",IF($AK194="pass","eligible",IF(OR($M194="no",$O194="no",$P194="too_macro",$P194="too_micro",$P194="context_only",$Q194="duplicate_confirmed",$R194="context_only"),"not_eligible","review")))</x:f>
      </x:c>
      <x:c r="AM194" s="81" t="str">
        <x:f>IF($E194="","",IF($C194=0,"reentry_required",IF($C194&lt;=8,"non_competitive_inclusion","competitive_selection")))</x:f>
      </x:c>
      <x:c r="AN194" s="82" t="str">
        <x:f>IF($E194="","",AVERAGE($U194:$X194))</x:f>
      </x:c>
      <x:c r="AO194" s="82" t="str">
        <x:f>IF($E194="","",AVERAGE($S194:$T194))</x:f>
      </x:c>
      <x:c r="AP194" s="82" t="str">
        <x:f>IF($E194="","",($AF194*0.08)+($AG194*0.08)+($AH194*0.10))</x:f>
      </x:c>
      <x:c r="AQ194" s="82" t="str">
        <x:f>IF($E194="","",MAX(0,($AN194*0.30)+($Y194*0.20)+($Z194*0.15)+($AA194*0.15)+($AB194*0.10)+($AC194*0.10)+($AE194*0.05)-$AP194))</x:f>
      </x:c>
      <x:c r="AR194" s="81" t="str">
        <x:f>IF($E194="","",IF($AM194="competitive_selection",RANK.EQ($AQ194,$AQ$2:$AQ$201,0),""))</x:f>
      </x:c>
      <x:c r="AS194" s="81" t="str">
        <x:f>IF($E194="","",IF(AND($AM194="non_competitive_inclusion",$AL194="eligible"),"selected",""))</x:f>
      </x:c>
      <x:c r="AT194" s="81" t="str">
        <x:f>IF($E194="","",IF($AM194&lt;&gt;"competitive_selection","",IF(AND($AL194="eligible",$AR194&lt;=8),"selected","context/backlog")))</x:f>
      </x:c>
      <x:c r="AU194" s="81" t="str">
        <x:f>IF($E194="","",IF($AM194="reentry_required","not_selected_reentry",IF($AS194="selected","selected_for_runtime",IF($AT194="selected","selected_for_runtime",IF($AL194="review","manual_review","context_or_not_selected")))))</x:f>
      </x:c>
      <x:c r="AV194" s="81" t="str">
        <x:f>IF($E194="","",IF($AU194="selected_for_runtime",IF($AM194="competitive_selection",$AR194,COUNTIF($AU$2:AU194,"selected_for_runtime")),""))</x:f>
      </x:c>
      <x:c r="AW194" s="81" t="str">
        <x:f>IF($E194="","",IF($AU194="selected_for_runtime",IF($AD194&gt;=2,"base_40_plus_uncertainty_probes",IF($AE194&gt;=2,"base_40_plus_exploratory_probes","base_40_standard")),"no_runtime"))</x:f>
      </x:c>
      <x:c r="AX194" s="81" t="str">
        <x:f>IF($E194="","",IF($AU194&lt;&gt;"selected_for_runtime","none",IF($AE194&gt;=2,"exploratoria",IF($AQ194&gt;=2.2,"alta",IF($AQ194&gt;=1.2,"media","baja")))))</x:f>
      </x:c>
      <x:c r="AY194" s="81" t="str">
        <x:f>IF($E194="","",IF($AJ194=TRUE,"context_with_coverage_gap",IF($AI194="review","context_requires_confirmation","context_ready")))</x:f>
      </x:c>
      <x:c r="AZ194" s="81" t="str">
        <x:f>IF($E194="","",IF($AU194&lt;&gt;"selected_for_runtime","no",IF(OR($AY194="context_with_coverage_gap",$AX194="exploratoria"),"ready_with_flags","ready")))</x:f>
      </x:c>
      <x:c r="BA194" s="81" t="str"/>
      <x:c r="BB194" s="81" t="str"/>
      <x:c r="BC194" s="81" t="str"/>
      <x:c r="BD194" s="81" t="str"/>
      <x:c r="BE194" s="81" t="str"/>
    </x:row>
    <x:row r="195">
      <x:c r="A195" s="81" t="str"/>
      <x:c r="B195" s="81" t="str"/>
      <x:c r="C195" s="81" t="str"/>
      <x:c r="D195" s="81" t="str"/>
      <x:c r="E195" s="81" t="str"/>
      <x:c r="F195" s="81" t="str"/>
      <x:c r="G195" s="81" t="str"/>
      <x:c r="H195" s="81" t="str"/>
      <x:c r="I195" s="81" t="str"/>
      <x:c r="J195" s="81" t="str"/>
      <x:c r="K195" s="81" t="str"/>
      <x:c r="L195" s="81" t="str"/>
      <x:c r="M195" s="81" t="str"/>
      <x:c r="N195" s="81" t="str"/>
      <x:c r="O195" s="81" t="str"/>
      <x:c r="P195" s="81" t="str"/>
      <x:c r="Q195" s="81" t="str"/>
      <x:c r="R195" s="81" t="str"/>
      <x:c r="S195" s="82" t="str"/>
      <x:c r="T195" s="82" t="str"/>
      <x:c r="U195" s="82" t="str"/>
      <x:c r="V195" s="82" t="str"/>
      <x:c r="W195" s="82" t="str"/>
      <x:c r="X195" s="82" t="str"/>
      <x:c r="Y195" s="82" t="str"/>
      <x:c r="Z195" s="82" t="str"/>
      <x:c r="AA195" s="82" t="str"/>
      <x:c r="AB195" s="82" t="str"/>
      <x:c r="AC195" s="82" t="str"/>
      <x:c r="AD195" s="82" t="str"/>
      <x:c r="AE195" s="82" t="str"/>
      <x:c r="AF195" s="82" t="str"/>
      <x:c r="AG195" s="82" t="str"/>
      <x:c r="AH195" s="82" t="str"/>
      <x:c r="AI195" s="81" t="str"/>
      <x:c r="AJ195" s="81" t="str"/>
      <x:c r="AK195" s="81" t="str">
        <x:f>IF($E195="","",IF(AND($M195="yes",OR($N195="yes",$N195="review"),OR($O195="yes",$O195="review"),$P195="fit",OR($Q195="unique",$Q195="alias_review"),$R195&lt;&gt;"context_only"),"pass","review/block"))</x:f>
      </x:c>
      <x:c r="AL195" s="81" t="str">
        <x:f>IF($E195="","",IF($AK195="pass","eligible",IF(OR($M195="no",$O195="no",$P195="too_macro",$P195="too_micro",$P195="context_only",$Q195="duplicate_confirmed",$R195="context_only"),"not_eligible","review")))</x:f>
      </x:c>
      <x:c r="AM195" s="81" t="str">
        <x:f>IF($E195="","",IF($C195=0,"reentry_required",IF($C195&lt;=8,"non_competitive_inclusion","competitive_selection")))</x:f>
      </x:c>
      <x:c r="AN195" s="82" t="str">
        <x:f>IF($E195="","",AVERAGE($U195:$X195))</x:f>
      </x:c>
      <x:c r="AO195" s="82" t="str">
        <x:f>IF($E195="","",AVERAGE($S195:$T195))</x:f>
      </x:c>
      <x:c r="AP195" s="82" t="str">
        <x:f>IF($E195="","",($AF195*0.08)+($AG195*0.08)+($AH195*0.10))</x:f>
      </x:c>
      <x:c r="AQ195" s="82" t="str">
        <x:f>IF($E195="","",MAX(0,($AN195*0.30)+($Y195*0.20)+($Z195*0.15)+($AA195*0.15)+($AB195*0.10)+($AC195*0.10)+($AE195*0.05)-$AP195))</x:f>
      </x:c>
      <x:c r="AR195" s="81" t="str">
        <x:f>IF($E195="","",IF($AM195="competitive_selection",RANK.EQ($AQ195,$AQ$2:$AQ$201,0),""))</x:f>
      </x:c>
      <x:c r="AS195" s="81" t="str">
        <x:f>IF($E195="","",IF(AND($AM195="non_competitive_inclusion",$AL195="eligible"),"selected",""))</x:f>
      </x:c>
      <x:c r="AT195" s="81" t="str">
        <x:f>IF($E195="","",IF($AM195&lt;&gt;"competitive_selection","",IF(AND($AL195="eligible",$AR195&lt;=8),"selected","context/backlog")))</x:f>
      </x:c>
      <x:c r="AU195" s="81" t="str">
        <x:f>IF($E195="","",IF($AM195="reentry_required","not_selected_reentry",IF($AS195="selected","selected_for_runtime",IF($AT195="selected","selected_for_runtime",IF($AL195="review","manual_review","context_or_not_selected")))))</x:f>
      </x:c>
      <x:c r="AV195" s="81" t="str">
        <x:f>IF($E195="","",IF($AU195="selected_for_runtime",IF($AM195="competitive_selection",$AR195,COUNTIF($AU$2:AU195,"selected_for_runtime")),""))</x:f>
      </x:c>
      <x:c r="AW195" s="81" t="str">
        <x:f>IF($E195="","",IF($AU195="selected_for_runtime",IF($AD195&gt;=2,"base_40_plus_uncertainty_probes",IF($AE195&gt;=2,"base_40_plus_exploratory_probes","base_40_standard")),"no_runtime"))</x:f>
      </x:c>
      <x:c r="AX195" s="81" t="str">
        <x:f>IF($E195="","",IF($AU195&lt;&gt;"selected_for_runtime","none",IF($AE195&gt;=2,"exploratoria",IF($AQ195&gt;=2.2,"alta",IF($AQ195&gt;=1.2,"media","baja")))))</x:f>
      </x:c>
      <x:c r="AY195" s="81" t="str">
        <x:f>IF($E195="","",IF($AJ195=TRUE,"context_with_coverage_gap",IF($AI195="review","context_requires_confirmation","context_ready")))</x:f>
      </x:c>
      <x:c r="AZ195" s="81" t="str">
        <x:f>IF($E195="","",IF($AU195&lt;&gt;"selected_for_runtime","no",IF(OR($AY195="context_with_coverage_gap",$AX195="exploratoria"),"ready_with_flags","ready")))</x:f>
      </x:c>
      <x:c r="BA195" s="81" t="str"/>
      <x:c r="BB195" s="81" t="str"/>
      <x:c r="BC195" s="81" t="str"/>
      <x:c r="BD195" s="81" t="str"/>
      <x:c r="BE195" s="81" t="str"/>
    </x:row>
    <x:row r="196">
      <x:c r="A196" s="81" t="str"/>
      <x:c r="B196" s="81" t="str"/>
      <x:c r="C196" s="81" t="str"/>
      <x:c r="D196" s="81" t="str"/>
      <x:c r="E196" s="81" t="str"/>
      <x:c r="F196" s="81" t="str"/>
      <x:c r="G196" s="81" t="str"/>
      <x:c r="H196" s="81" t="str"/>
      <x:c r="I196" s="81" t="str"/>
      <x:c r="J196" s="81" t="str"/>
      <x:c r="K196" s="81" t="str"/>
      <x:c r="L196" s="81" t="str"/>
      <x:c r="M196" s="81" t="str"/>
      <x:c r="N196" s="81" t="str"/>
      <x:c r="O196" s="81" t="str"/>
      <x:c r="P196" s="81" t="str"/>
      <x:c r="Q196" s="81" t="str"/>
      <x:c r="R196" s="81" t="str"/>
      <x:c r="S196" s="82" t="str"/>
      <x:c r="T196" s="82" t="str"/>
      <x:c r="U196" s="82" t="str"/>
      <x:c r="V196" s="82" t="str"/>
      <x:c r="W196" s="82" t="str"/>
      <x:c r="X196" s="82" t="str"/>
      <x:c r="Y196" s="82" t="str"/>
      <x:c r="Z196" s="82" t="str"/>
      <x:c r="AA196" s="82" t="str"/>
      <x:c r="AB196" s="82" t="str"/>
      <x:c r="AC196" s="82" t="str"/>
      <x:c r="AD196" s="82" t="str"/>
      <x:c r="AE196" s="82" t="str"/>
      <x:c r="AF196" s="82" t="str"/>
      <x:c r="AG196" s="82" t="str"/>
      <x:c r="AH196" s="82" t="str"/>
      <x:c r="AI196" s="81" t="str"/>
      <x:c r="AJ196" s="81" t="str"/>
      <x:c r="AK196" s="81" t="str">
        <x:f>IF($E196="","",IF(AND($M196="yes",OR($N196="yes",$N196="review"),OR($O196="yes",$O196="review"),$P196="fit",OR($Q196="unique",$Q196="alias_review"),$R196&lt;&gt;"context_only"),"pass","review/block"))</x:f>
      </x:c>
      <x:c r="AL196" s="81" t="str">
        <x:f>IF($E196="","",IF($AK196="pass","eligible",IF(OR($M196="no",$O196="no",$P196="too_macro",$P196="too_micro",$P196="context_only",$Q196="duplicate_confirmed",$R196="context_only"),"not_eligible","review")))</x:f>
      </x:c>
      <x:c r="AM196" s="81" t="str">
        <x:f>IF($E196="","",IF($C196=0,"reentry_required",IF($C196&lt;=8,"non_competitive_inclusion","competitive_selection")))</x:f>
      </x:c>
      <x:c r="AN196" s="82" t="str">
        <x:f>IF($E196="","",AVERAGE($U196:$X196))</x:f>
      </x:c>
      <x:c r="AO196" s="82" t="str">
        <x:f>IF($E196="","",AVERAGE($S196:$T196))</x:f>
      </x:c>
      <x:c r="AP196" s="82" t="str">
        <x:f>IF($E196="","",($AF196*0.08)+($AG196*0.08)+($AH196*0.10))</x:f>
      </x:c>
      <x:c r="AQ196" s="82" t="str">
        <x:f>IF($E196="","",MAX(0,($AN196*0.30)+($Y196*0.20)+($Z196*0.15)+($AA196*0.15)+($AB196*0.10)+($AC196*0.10)+($AE196*0.05)-$AP196))</x:f>
      </x:c>
      <x:c r="AR196" s="81" t="str">
        <x:f>IF($E196="","",IF($AM196="competitive_selection",RANK.EQ($AQ196,$AQ$2:$AQ$201,0),""))</x:f>
      </x:c>
      <x:c r="AS196" s="81" t="str">
        <x:f>IF($E196="","",IF(AND($AM196="non_competitive_inclusion",$AL196="eligible"),"selected",""))</x:f>
      </x:c>
      <x:c r="AT196" s="81" t="str">
        <x:f>IF($E196="","",IF($AM196&lt;&gt;"competitive_selection","",IF(AND($AL196="eligible",$AR196&lt;=8),"selected","context/backlog")))</x:f>
      </x:c>
      <x:c r="AU196" s="81" t="str">
        <x:f>IF($E196="","",IF($AM196="reentry_required","not_selected_reentry",IF($AS196="selected","selected_for_runtime",IF($AT196="selected","selected_for_runtime",IF($AL196="review","manual_review","context_or_not_selected")))))</x:f>
      </x:c>
      <x:c r="AV196" s="81" t="str">
        <x:f>IF($E196="","",IF($AU196="selected_for_runtime",IF($AM196="competitive_selection",$AR196,COUNTIF($AU$2:AU196,"selected_for_runtime")),""))</x:f>
      </x:c>
      <x:c r="AW196" s="81" t="str">
        <x:f>IF($E196="","",IF($AU196="selected_for_runtime",IF($AD196&gt;=2,"base_40_plus_uncertainty_probes",IF($AE196&gt;=2,"base_40_plus_exploratory_probes","base_40_standard")),"no_runtime"))</x:f>
      </x:c>
      <x:c r="AX196" s="81" t="str">
        <x:f>IF($E196="","",IF($AU196&lt;&gt;"selected_for_runtime","none",IF($AE196&gt;=2,"exploratoria",IF($AQ196&gt;=2.2,"alta",IF($AQ196&gt;=1.2,"media","baja")))))</x:f>
      </x:c>
      <x:c r="AY196" s="81" t="str">
        <x:f>IF($E196="","",IF($AJ196=TRUE,"context_with_coverage_gap",IF($AI196="review","context_requires_confirmation","context_ready")))</x:f>
      </x:c>
      <x:c r="AZ196" s="81" t="str">
        <x:f>IF($E196="","",IF($AU196&lt;&gt;"selected_for_runtime","no",IF(OR($AY196="context_with_coverage_gap",$AX196="exploratoria"),"ready_with_flags","ready")))</x:f>
      </x:c>
      <x:c r="BA196" s="81" t="str"/>
      <x:c r="BB196" s="81" t="str"/>
      <x:c r="BC196" s="81" t="str"/>
      <x:c r="BD196" s="81" t="str"/>
      <x:c r="BE196" s="81" t="str"/>
    </x:row>
    <x:row r="197">
      <x:c r="A197" s="81" t="str"/>
      <x:c r="B197" s="81" t="str"/>
      <x:c r="C197" s="81" t="str"/>
      <x:c r="D197" s="81" t="str"/>
      <x:c r="E197" s="81" t="str"/>
      <x:c r="F197" s="81" t="str"/>
      <x:c r="G197" s="81" t="str"/>
      <x:c r="H197" s="81" t="str"/>
      <x:c r="I197" s="81" t="str"/>
      <x:c r="J197" s="81" t="str"/>
      <x:c r="K197" s="81" t="str"/>
      <x:c r="L197" s="81" t="str"/>
      <x:c r="M197" s="81" t="str"/>
      <x:c r="N197" s="81" t="str"/>
      <x:c r="O197" s="81" t="str"/>
      <x:c r="P197" s="81" t="str"/>
      <x:c r="Q197" s="81" t="str"/>
      <x:c r="R197" s="81" t="str"/>
      <x:c r="S197" s="82" t="str"/>
      <x:c r="T197" s="82" t="str"/>
      <x:c r="U197" s="82" t="str"/>
      <x:c r="V197" s="82" t="str"/>
      <x:c r="W197" s="82" t="str"/>
      <x:c r="X197" s="82" t="str"/>
      <x:c r="Y197" s="82" t="str"/>
      <x:c r="Z197" s="82" t="str"/>
      <x:c r="AA197" s="82" t="str"/>
      <x:c r="AB197" s="82" t="str"/>
      <x:c r="AC197" s="82" t="str"/>
      <x:c r="AD197" s="82" t="str"/>
      <x:c r="AE197" s="82" t="str"/>
      <x:c r="AF197" s="82" t="str"/>
      <x:c r="AG197" s="82" t="str"/>
      <x:c r="AH197" s="82" t="str"/>
      <x:c r="AI197" s="81" t="str"/>
      <x:c r="AJ197" s="81" t="str"/>
      <x:c r="AK197" s="81" t="str">
        <x:f>IF($E197="","",IF(AND($M197="yes",OR($N197="yes",$N197="review"),OR($O197="yes",$O197="review"),$P197="fit",OR($Q197="unique",$Q197="alias_review"),$R197&lt;&gt;"context_only"),"pass","review/block"))</x:f>
      </x:c>
      <x:c r="AL197" s="81" t="str">
        <x:f>IF($E197="","",IF($AK197="pass","eligible",IF(OR($M197="no",$O197="no",$P197="too_macro",$P197="too_micro",$P197="context_only",$Q197="duplicate_confirmed",$R197="context_only"),"not_eligible","review")))</x:f>
      </x:c>
      <x:c r="AM197" s="81" t="str">
        <x:f>IF($E197="","",IF($C197=0,"reentry_required",IF($C197&lt;=8,"non_competitive_inclusion","competitive_selection")))</x:f>
      </x:c>
      <x:c r="AN197" s="82" t="str">
        <x:f>IF($E197="","",AVERAGE($U197:$X197))</x:f>
      </x:c>
      <x:c r="AO197" s="82" t="str">
        <x:f>IF($E197="","",AVERAGE($S197:$T197))</x:f>
      </x:c>
      <x:c r="AP197" s="82" t="str">
        <x:f>IF($E197="","",($AF197*0.08)+($AG197*0.08)+($AH197*0.10))</x:f>
      </x:c>
      <x:c r="AQ197" s="82" t="str">
        <x:f>IF($E197="","",MAX(0,($AN197*0.30)+($Y197*0.20)+($Z197*0.15)+($AA197*0.15)+($AB197*0.10)+($AC197*0.10)+($AE197*0.05)-$AP197))</x:f>
      </x:c>
      <x:c r="AR197" s="81" t="str">
        <x:f>IF($E197="","",IF($AM197="competitive_selection",RANK.EQ($AQ197,$AQ$2:$AQ$201,0),""))</x:f>
      </x:c>
      <x:c r="AS197" s="81" t="str">
        <x:f>IF($E197="","",IF(AND($AM197="non_competitive_inclusion",$AL197="eligible"),"selected",""))</x:f>
      </x:c>
      <x:c r="AT197" s="81" t="str">
        <x:f>IF($E197="","",IF($AM197&lt;&gt;"competitive_selection","",IF(AND($AL197="eligible",$AR197&lt;=8),"selected","context/backlog")))</x:f>
      </x:c>
      <x:c r="AU197" s="81" t="str">
        <x:f>IF($E197="","",IF($AM197="reentry_required","not_selected_reentry",IF($AS197="selected","selected_for_runtime",IF($AT197="selected","selected_for_runtime",IF($AL197="review","manual_review","context_or_not_selected")))))</x:f>
      </x:c>
      <x:c r="AV197" s="81" t="str">
        <x:f>IF($E197="","",IF($AU197="selected_for_runtime",IF($AM197="competitive_selection",$AR197,COUNTIF($AU$2:AU197,"selected_for_runtime")),""))</x:f>
      </x:c>
      <x:c r="AW197" s="81" t="str">
        <x:f>IF($E197="","",IF($AU197="selected_for_runtime",IF($AD197&gt;=2,"base_40_plus_uncertainty_probes",IF($AE197&gt;=2,"base_40_plus_exploratory_probes","base_40_standard")),"no_runtime"))</x:f>
      </x:c>
      <x:c r="AX197" s="81" t="str">
        <x:f>IF($E197="","",IF($AU197&lt;&gt;"selected_for_runtime","none",IF($AE197&gt;=2,"exploratoria",IF($AQ197&gt;=2.2,"alta",IF($AQ197&gt;=1.2,"media","baja")))))</x:f>
      </x:c>
      <x:c r="AY197" s="81" t="str">
        <x:f>IF($E197="","",IF($AJ197=TRUE,"context_with_coverage_gap",IF($AI197="review","context_requires_confirmation","context_ready")))</x:f>
      </x:c>
      <x:c r="AZ197" s="81" t="str">
        <x:f>IF($E197="","",IF($AU197&lt;&gt;"selected_for_runtime","no",IF(OR($AY197="context_with_coverage_gap",$AX197="exploratoria"),"ready_with_flags","ready")))</x:f>
      </x:c>
      <x:c r="BA197" s="81" t="str"/>
      <x:c r="BB197" s="81" t="str"/>
      <x:c r="BC197" s="81" t="str"/>
      <x:c r="BD197" s="81" t="str"/>
      <x:c r="BE197" s="81" t="str"/>
    </x:row>
    <x:row r="198">
      <x:c r="A198" s="81" t="str"/>
      <x:c r="B198" s="81" t="str"/>
      <x:c r="C198" s="81" t="str"/>
      <x:c r="D198" s="81" t="str"/>
      <x:c r="E198" s="81" t="str"/>
      <x:c r="F198" s="81" t="str"/>
      <x:c r="G198" s="81" t="str"/>
      <x:c r="H198" s="81" t="str"/>
      <x:c r="I198" s="81" t="str"/>
      <x:c r="J198" s="81" t="str"/>
      <x:c r="K198" s="81" t="str"/>
      <x:c r="L198" s="81" t="str"/>
      <x:c r="M198" s="81" t="str"/>
      <x:c r="N198" s="81" t="str"/>
      <x:c r="O198" s="81" t="str"/>
      <x:c r="P198" s="81" t="str"/>
      <x:c r="Q198" s="81" t="str"/>
      <x:c r="R198" s="81" t="str"/>
      <x:c r="S198" s="82" t="str"/>
      <x:c r="T198" s="82" t="str"/>
      <x:c r="U198" s="82" t="str"/>
      <x:c r="V198" s="82" t="str"/>
      <x:c r="W198" s="82" t="str"/>
      <x:c r="X198" s="82" t="str"/>
      <x:c r="Y198" s="82" t="str"/>
      <x:c r="Z198" s="82" t="str"/>
      <x:c r="AA198" s="82" t="str"/>
      <x:c r="AB198" s="82" t="str"/>
      <x:c r="AC198" s="82" t="str"/>
      <x:c r="AD198" s="82" t="str"/>
      <x:c r="AE198" s="82" t="str"/>
      <x:c r="AF198" s="82" t="str"/>
      <x:c r="AG198" s="82" t="str"/>
      <x:c r="AH198" s="82" t="str"/>
      <x:c r="AI198" s="81" t="str"/>
      <x:c r="AJ198" s="81" t="str"/>
      <x:c r="AK198" s="81" t="str">
        <x:f>IF($E198="","",IF(AND($M198="yes",OR($N198="yes",$N198="review"),OR($O198="yes",$O198="review"),$P198="fit",OR($Q198="unique",$Q198="alias_review"),$R198&lt;&gt;"context_only"),"pass","review/block"))</x:f>
      </x:c>
      <x:c r="AL198" s="81" t="str">
        <x:f>IF($E198="","",IF($AK198="pass","eligible",IF(OR($M198="no",$O198="no",$P198="too_macro",$P198="too_micro",$P198="context_only",$Q198="duplicate_confirmed",$R198="context_only"),"not_eligible","review")))</x:f>
      </x:c>
      <x:c r="AM198" s="81" t="str">
        <x:f>IF($E198="","",IF($C198=0,"reentry_required",IF($C198&lt;=8,"non_competitive_inclusion","competitive_selection")))</x:f>
      </x:c>
      <x:c r="AN198" s="82" t="str">
        <x:f>IF($E198="","",AVERAGE($U198:$X198))</x:f>
      </x:c>
      <x:c r="AO198" s="82" t="str">
        <x:f>IF($E198="","",AVERAGE($S198:$T198))</x:f>
      </x:c>
      <x:c r="AP198" s="82" t="str">
        <x:f>IF($E198="","",($AF198*0.08)+($AG198*0.08)+($AH198*0.10))</x:f>
      </x:c>
      <x:c r="AQ198" s="82" t="str">
        <x:f>IF($E198="","",MAX(0,($AN198*0.30)+($Y198*0.20)+($Z198*0.15)+($AA198*0.15)+($AB198*0.10)+($AC198*0.10)+($AE198*0.05)-$AP198))</x:f>
      </x:c>
      <x:c r="AR198" s="81" t="str">
        <x:f>IF($E198="","",IF($AM198="competitive_selection",RANK.EQ($AQ198,$AQ$2:$AQ$201,0),""))</x:f>
      </x:c>
      <x:c r="AS198" s="81" t="str">
        <x:f>IF($E198="","",IF(AND($AM198="non_competitive_inclusion",$AL198="eligible"),"selected",""))</x:f>
      </x:c>
      <x:c r="AT198" s="81" t="str">
        <x:f>IF($E198="","",IF($AM198&lt;&gt;"competitive_selection","",IF(AND($AL198="eligible",$AR198&lt;=8),"selected","context/backlog")))</x:f>
      </x:c>
      <x:c r="AU198" s="81" t="str">
        <x:f>IF($E198="","",IF($AM198="reentry_required","not_selected_reentry",IF($AS198="selected","selected_for_runtime",IF($AT198="selected","selected_for_runtime",IF($AL198="review","manual_review","context_or_not_selected")))))</x:f>
      </x:c>
      <x:c r="AV198" s="81" t="str">
        <x:f>IF($E198="","",IF($AU198="selected_for_runtime",IF($AM198="competitive_selection",$AR198,COUNTIF($AU$2:AU198,"selected_for_runtime")),""))</x:f>
      </x:c>
      <x:c r="AW198" s="81" t="str">
        <x:f>IF($E198="","",IF($AU198="selected_for_runtime",IF($AD198&gt;=2,"base_40_plus_uncertainty_probes",IF($AE198&gt;=2,"base_40_plus_exploratory_probes","base_40_standard")),"no_runtime"))</x:f>
      </x:c>
      <x:c r="AX198" s="81" t="str">
        <x:f>IF($E198="","",IF($AU198&lt;&gt;"selected_for_runtime","none",IF($AE198&gt;=2,"exploratoria",IF($AQ198&gt;=2.2,"alta",IF($AQ198&gt;=1.2,"media","baja")))))</x:f>
      </x:c>
      <x:c r="AY198" s="81" t="str">
        <x:f>IF($E198="","",IF($AJ198=TRUE,"context_with_coverage_gap",IF($AI198="review","context_requires_confirmation","context_ready")))</x:f>
      </x:c>
      <x:c r="AZ198" s="81" t="str">
        <x:f>IF($E198="","",IF($AU198&lt;&gt;"selected_for_runtime","no",IF(OR($AY198="context_with_coverage_gap",$AX198="exploratoria"),"ready_with_flags","ready")))</x:f>
      </x:c>
      <x:c r="BA198" s="81" t="str"/>
      <x:c r="BB198" s="81" t="str"/>
      <x:c r="BC198" s="81" t="str"/>
      <x:c r="BD198" s="81" t="str"/>
      <x:c r="BE198" s="81" t="str"/>
    </x:row>
    <x:row r="199">
      <x:c r="A199" s="81" t="str"/>
      <x:c r="B199" s="81" t="str"/>
      <x:c r="C199" s="81" t="str"/>
      <x:c r="D199" s="81" t="str"/>
      <x:c r="E199" s="81" t="str"/>
      <x:c r="F199" s="81" t="str"/>
      <x:c r="G199" s="81" t="str"/>
      <x:c r="H199" s="81" t="str"/>
      <x:c r="I199" s="81" t="str"/>
      <x:c r="J199" s="81" t="str"/>
      <x:c r="K199" s="81" t="str"/>
      <x:c r="L199" s="81" t="str"/>
      <x:c r="M199" s="81" t="str"/>
      <x:c r="N199" s="81" t="str"/>
      <x:c r="O199" s="81" t="str"/>
      <x:c r="P199" s="81" t="str"/>
      <x:c r="Q199" s="81" t="str"/>
      <x:c r="R199" s="81" t="str"/>
      <x:c r="S199" s="82" t="str"/>
      <x:c r="T199" s="82" t="str"/>
      <x:c r="U199" s="82" t="str"/>
      <x:c r="V199" s="82" t="str"/>
      <x:c r="W199" s="82" t="str"/>
      <x:c r="X199" s="82" t="str"/>
      <x:c r="Y199" s="82" t="str"/>
      <x:c r="Z199" s="82" t="str"/>
      <x:c r="AA199" s="82" t="str"/>
      <x:c r="AB199" s="82" t="str"/>
      <x:c r="AC199" s="82" t="str"/>
      <x:c r="AD199" s="82" t="str"/>
      <x:c r="AE199" s="82" t="str"/>
      <x:c r="AF199" s="82" t="str"/>
      <x:c r="AG199" s="82" t="str"/>
      <x:c r="AH199" s="82" t="str"/>
      <x:c r="AI199" s="81" t="str"/>
      <x:c r="AJ199" s="81" t="str"/>
      <x:c r="AK199" s="81" t="str">
        <x:f>IF($E199="","",IF(AND($M199="yes",OR($N199="yes",$N199="review"),OR($O199="yes",$O199="review"),$P199="fit",OR($Q199="unique",$Q199="alias_review"),$R199&lt;&gt;"context_only"),"pass","review/block"))</x:f>
      </x:c>
      <x:c r="AL199" s="81" t="str">
        <x:f>IF($E199="","",IF($AK199="pass","eligible",IF(OR($M199="no",$O199="no",$P199="too_macro",$P199="too_micro",$P199="context_only",$Q199="duplicate_confirmed",$R199="context_only"),"not_eligible","review")))</x:f>
      </x:c>
      <x:c r="AM199" s="81" t="str">
        <x:f>IF($E199="","",IF($C199=0,"reentry_required",IF($C199&lt;=8,"non_competitive_inclusion","competitive_selection")))</x:f>
      </x:c>
      <x:c r="AN199" s="82" t="str">
        <x:f>IF($E199="","",AVERAGE($U199:$X199))</x:f>
      </x:c>
      <x:c r="AO199" s="82" t="str">
        <x:f>IF($E199="","",AVERAGE($S199:$T199))</x:f>
      </x:c>
      <x:c r="AP199" s="82" t="str">
        <x:f>IF($E199="","",($AF199*0.08)+($AG199*0.08)+($AH199*0.10))</x:f>
      </x:c>
      <x:c r="AQ199" s="82" t="str">
        <x:f>IF($E199="","",MAX(0,($AN199*0.30)+($Y199*0.20)+($Z199*0.15)+($AA199*0.15)+($AB199*0.10)+($AC199*0.10)+($AE199*0.05)-$AP199))</x:f>
      </x:c>
      <x:c r="AR199" s="81" t="str">
        <x:f>IF($E199="","",IF($AM199="competitive_selection",RANK.EQ($AQ199,$AQ$2:$AQ$201,0),""))</x:f>
      </x:c>
      <x:c r="AS199" s="81" t="str">
        <x:f>IF($E199="","",IF(AND($AM199="non_competitive_inclusion",$AL199="eligible"),"selected",""))</x:f>
      </x:c>
      <x:c r="AT199" s="81" t="str">
        <x:f>IF($E199="","",IF($AM199&lt;&gt;"competitive_selection","",IF(AND($AL199="eligible",$AR199&lt;=8),"selected","context/backlog")))</x:f>
      </x:c>
      <x:c r="AU199" s="81" t="str">
        <x:f>IF($E199="","",IF($AM199="reentry_required","not_selected_reentry",IF($AS199="selected","selected_for_runtime",IF($AT199="selected","selected_for_runtime",IF($AL199="review","manual_review","context_or_not_selected")))))</x:f>
      </x:c>
      <x:c r="AV199" s="81" t="str">
        <x:f>IF($E199="","",IF($AU199="selected_for_runtime",IF($AM199="competitive_selection",$AR199,COUNTIF($AU$2:AU199,"selected_for_runtime")),""))</x:f>
      </x:c>
      <x:c r="AW199" s="81" t="str">
        <x:f>IF($E199="","",IF($AU199="selected_for_runtime",IF($AD199&gt;=2,"base_40_plus_uncertainty_probes",IF($AE199&gt;=2,"base_40_plus_exploratory_probes","base_40_standard")),"no_runtime"))</x:f>
      </x:c>
      <x:c r="AX199" s="81" t="str">
        <x:f>IF($E199="","",IF($AU199&lt;&gt;"selected_for_runtime","none",IF($AE199&gt;=2,"exploratoria",IF($AQ199&gt;=2.2,"alta",IF($AQ199&gt;=1.2,"media","baja")))))</x:f>
      </x:c>
      <x:c r="AY199" s="81" t="str">
        <x:f>IF($E199="","",IF($AJ199=TRUE,"context_with_coverage_gap",IF($AI199="review","context_requires_confirmation","context_ready")))</x:f>
      </x:c>
      <x:c r="AZ199" s="81" t="str">
        <x:f>IF($E199="","",IF($AU199&lt;&gt;"selected_for_runtime","no",IF(OR($AY199="context_with_coverage_gap",$AX199="exploratoria"),"ready_with_flags","ready")))</x:f>
      </x:c>
      <x:c r="BA199" s="81" t="str"/>
      <x:c r="BB199" s="81" t="str"/>
      <x:c r="BC199" s="81" t="str"/>
      <x:c r="BD199" s="81" t="str"/>
      <x:c r="BE199" s="81" t="str"/>
    </x:row>
    <x:row r="200">
      <x:c r="A200" s="81" t="str"/>
      <x:c r="B200" s="81" t="str"/>
      <x:c r="C200" s="81" t="str"/>
      <x:c r="D200" s="81" t="str"/>
      <x:c r="E200" s="81" t="str"/>
      <x:c r="F200" s="81" t="str"/>
      <x:c r="G200" s="81" t="str"/>
      <x:c r="H200" s="81" t="str"/>
      <x:c r="I200" s="81" t="str"/>
      <x:c r="J200" s="81" t="str"/>
      <x:c r="K200" s="81" t="str"/>
      <x:c r="L200" s="81" t="str"/>
      <x:c r="M200" s="81" t="str"/>
      <x:c r="N200" s="81" t="str"/>
      <x:c r="O200" s="81" t="str"/>
      <x:c r="P200" s="81" t="str"/>
      <x:c r="Q200" s="81" t="str"/>
      <x:c r="R200" s="81" t="str"/>
      <x:c r="S200" s="82" t="str"/>
      <x:c r="T200" s="82" t="str"/>
      <x:c r="U200" s="82" t="str"/>
      <x:c r="V200" s="82" t="str"/>
      <x:c r="W200" s="82" t="str"/>
      <x:c r="X200" s="82" t="str"/>
      <x:c r="Y200" s="82" t="str"/>
      <x:c r="Z200" s="82" t="str"/>
      <x:c r="AA200" s="82" t="str"/>
      <x:c r="AB200" s="82" t="str"/>
      <x:c r="AC200" s="82" t="str"/>
      <x:c r="AD200" s="82" t="str"/>
      <x:c r="AE200" s="82" t="str"/>
      <x:c r="AF200" s="82" t="str"/>
      <x:c r="AG200" s="82" t="str"/>
      <x:c r="AH200" s="82" t="str"/>
      <x:c r="AI200" s="81" t="str"/>
      <x:c r="AJ200" s="81" t="str"/>
      <x:c r="AK200" s="81" t="str">
        <x:f>IF($E200="","",IF(AND($M200="yes",OR($N200="yes",$N200="review"),OR($O200="yes",$O200="review"),$P200="fit",OR($Q200="unique",$Q200="alias_review"),$R200&lt;&gt;"context_only"),"pass","review/block"))</x:f>
      </x:c>
      <x:c r="AL200" s="81" t="str">
        <x:f>IF($E200="","",IF($AK200="pass","eligible",IF(OR($M200="no",$O200="no",$P200="too_macro",$P200="too_micro",$P200="context_only",$Q200="duplicate_confirmed",$R200="context_only"),"not_eligible","review")))</x:f>
      </x:c>
      <x:c r="AM200" s="81" t="str">
        <x:f>IF($E200="","",IF($C200=0,"reentry_required",IF($C200&lt;=8,"non_competitive_inclusion","competitive_selection")))</x:f>
      </x:c>
      <x:c r="AN200" s="82" t="str">
        <x:f>IF($E200="","",AVERAGE($U200:$X200))</x:f>
      </x:c>
      <x:c r="AO200" s="82" t="str">
        <x:f>IF($E200="","",AVERAGE($S200:$T200))</x:f>
      </x:c>
      <x:c r="AP200" s="82" t="str">
        <x:f>IF($E200="","",($AF200*0.08)+($AG200*0.08)+($AH200*0.10))</x:f>
      </x:c>
      <x:c r="AQ200" s="82" t="str">
        <x:f>IF($E200="","",MAX(0,($AN200*0.30)+($Y200*0.20)+($Z200*0.15)+($AA200*0.15)+($AB200*0.10)+($AC200*0.10)+($AE200*0.05)-$AP200))</x:f>
      </x:c>
      <x:c r="AR200" s="81" t="str">
        <x:f>IF($E200="","",IF($AM200="competitive_selection",RANK.EQ($AQ200,$AQ$2:$AQ$201,0),""))</x:f>
      </x:c>
      <x:c r="AS200" s="81" t="str">
        <x:f>IF($E200="","",IF(AND($AM200="non_competitive_inclusion",$AL200="eligible"),"selected",""))</x:f>
      </x:c>
      <x:c r="AT200" s="81" t="str">
        <x:f>IF($E200="","",IF($AM200&lt;&gt;"competitive_selection","",IF(AND($AL200="eligible",$AR200&lt;=8),"selected","context/backlog")))</x:f>
      </x:c>
      <x:c r="AU200" s="81" t="str">
        <x:f>IF($E200="","",IF($AM200="reentry_required","not_selected_reentry",IF($AS200="selected","selected_for_runtime",IF($AT200="selected","selected_for_runtime",IF($AL200="review","manual_review","context_or_not_selected")))))</x:f>
      </x:c>
      <x:c r="AV200" s="81" t="str">
        <x:f>IF($E200="","",IF($AU200="selected_for_runtime",IF($AM200="competitive_selection",$AR200,COUNTIF($AU$2:AU200,"selected_for_runtime")),""))</x:f>
      </x:c>
      <x:c r="AW200" s="81" t="str">
        <x:f>IF($E200="","",IF($AU200="selected_for_runtime",IF($AD200&gt;=2,"base_40_plus_uncertainty_probes",IF($AE200&gt;=2,"base_40_plus_exploratory_probes","base_40_standard")),"no_runtime"))</x:f>
      </x:c>
      <x:c r="AX200" s="81" t="str">
        <x:f>IF($E200="","",IF($AU200&lt;&gt;"selected_for_runtime","none",IF($AE200&gt;=2,"exploratoria",IF($AQ200&gt;=2.2,"alta",IF($AQ200&gt;=1.2,"media","baja")))))</x:f>
      </x:c>
      <x:c r="AY200" s="81" t="str">
        <x:f>IF($E200="","",IF($AJ200=TRUE,"context_with_coverage_gap",IF($AI200="review","context_requires_confirmation","context_ready")))</x:f>
      </x:c>
      <x:c r="AZ200" s="81" t="str">
        <x:f>IF($E200="","",IF($AU200&lt;&gt;"selected_for_runtime","no",IF(OR($AY200="context_with_coverage_gap",$AX200="exploratoria"),"ready_with_flags","ready")))</x:f>
      </x:c>
      <x:c r="BA200" s="81" t="str"/>
      <x:c r="BB200" s="81" t="str"/>
      <x:c r="BC200" s="81" t="str"/>
      <x:c r="BD200" s="81" t="str"/>
      <x:c r="BE200" s="81" t="str"/>
    </x:row>
    <x:row r="201">
      <x:c r="A201" s="81" t="str"/>
      <x:c r="B201" s="81" t="str"/>
      <x:c r="C201" s="81" t="str"/>
      <x:c r="D201" s="81" t="str"/>
      <x:c r="E201" s="81" t="str"/>
      <x:c r="F201" s="81" t="str"/>
      <x:c r="G201" s="81" t="str"/>
      <x:c r="H201" s="81" t="str"/>
      <x:c r="I201" s="81" t="str"/>
      <x:c r="J201" s="81" t="str"/>
      <x:c r="K201" s="81" t="str"/>
      <x:c r="L201" s="81" t="str"/>
      <x:c r="M201" s="81" t="str"/>
      <x:c r="N201" s="81" t="str"/>
      <x:c r="O201" s="81" t="str"/>
      <x:c r="P201" s="81" t="str"/>
      <x:c r="Q201" s="81" t="str"/>
      <x:c r="R201" s="81" t="str"/>
      <x:c r="S201" s="82" t="str"/>
      <x:c r="T201" s="82" t="str"/>
      <x:c r="U201" s="82" t="str"/>
      <x:c r="V201" s="82" t="str"/>
      <x:c r="W201" s="82" t="str"/>
      <x:c r="X201" s="82" t="str"/>
      <x:c r="Y201" s="82" t="str"/>
      <x:c r="Z201" s="82" t="str"/>
      <x:c r="AA201" s="82" t="str"/>
      <x:c r="AB201" s="82" t="str"/>
      <x:c r="AC201" s="82" t="str"/>
      <x:c r="AD201" s="82" t="str"/>
      <x:c r="AE201" s="82" t="str"/>
      <x:c r="AF201" s="82" t="str"/>
      <x:c r="AG201" s="82" t="str"/>
      <x:c r="AH201" s="82" t="str"/>
      <x:c r="AI201" s="81" t="str"/>
      <x:c r="AJ201" s="81" t="str"/>
      <x:c r="AK201" s="81" t="str">
        <x:f>IF($E201="","",IF(AND($M201="yes",OR($N201="yes",$N201="review"),OR($O201="yes",$O201="review"),$P201="fit",OR($Q201="unique",$Q201="alias_review"),$R201&lt;&gt;"context_only"),"pass","review/block"))</x:f>
      </x:c>
      <x:c r="AL201" s="81" t="str">
        <x:f>IF($E201="","",IF($AK201="pass","eligible",IF(OR($M201="no",$O201="no",$P201="too_macro",$P201="too_micro",$P201="context_only",$Q201="duplicate_confirmed",$R201="context_only"),"not_eligible","review")))</x:f>
      </x:c>
      <x:c r="AM201" s="81" t="str">
        <x:f>IF($E201="","",IF($C201=0,"reentry_required",IF($C201&lt;=8,"non_competitive_inclusion","competitive_selection")))</x:f>
      </x:c>
      <x:c r="AN201" s="82" t="str">
        <x:f>IF($E201="","",AVERAGE($U201:$X201))</x:f>
      </x:c>
      <x:c r="AO201" s="82" t="str">
        <x:f>IF($E201="","",AVERAGE($S201:$T201))</x:f>
      </x:c>
      <x:c r="AP201" s="82" t="str">
        <x:f>IF($E201="","",($AF201*0.08)+($AG201*0.08)+($AH201*0.10))</x:f>
      </x:c>
      <x:c r="AQ201" s="82" t="str">
        <x:f>IF($E201="","",MAX(0,($AN201*0.30)+($Y201*0.20)+($Z201*0.15)+($AA201*0.15)+($AB201*0.10)+($AC201*0.10)+($AE201*0.05)-$AP201))</x:f>
      </x:c>
      <x:c r="AR201" s="81" t="str">
        <x:f>IF($E201="","",IF($AM201="competitive_selection",RANK.EQ($AQ201,$AQ$2:$AQ$201,0),""))</x:f>
      </x:c>
      <x:c r="AS201" s="81" t="str">
        <x:f>IF($E201="","",IF(AND($AM201="non_competitive_inclusion",$AL201="eligible"),"selected",""))</x:f>
      </x:c>
      <x:c r="AT201" s="81" t="str">
        <x:f>IF($E201="","",IF($AM201&lt;&gt;"competitive_selection","",IF(AND($AL201="eligible",$AR201&lt;=8),"selected","context/backlog")))</x:f>
      </x:c>
      <x:c r="AU201" s="81" t="str">
        <x:f>IF($E201="","",IF($AM201="reentry_required","not_selected_reentry",IF($AS201="selected","selected_for_runtime",IF($AT201="selected","selected_for_runtime",IF($AL201="review","manual_review","context_or_not_selected")))))</x:f>
      </x:c>
      <x:c r="AV201" s="81" t="str">
        <x:f>IF($E201="","",IF($AU201="selected_for_runtime",IF($AM201="competitive_selection",$AR201,COUNTIF($AU$2:AU201,"selected_for_runtime")),""))</x:f>
      </x:c>
      <x:c r="AW201" s="81" t="str">
        <x:f>IF($E201="","",IF($AU201="selected_for_runtime",IF($AD201&gt;=2,"base_40_plus_uncertainty_probes",IF($AE201&gt;=2,"base_40_plus_exploratory_probes","base_40_standard")),"no_runtime"))</x:f>
      </x:c>
      <x:c r="AX201" s="81" t="str">
        <x:f>IF($E201="","",IF($AU201&lt;&gt;"selected_for_runtime","none",IF($AE201&gt;=2,"exploratoria",IF($AQ201&gt;=2.2,"alta",IF($AQ201&gt;=1.2,"media","baja")))))</x:f>
      </x:c>
      <x:c r="AY201" s="81" t="str">
        <x:f>IF($E201="","",IF($AJ201=TRUE,"context_with_coverage_gap",IF($AI201="review","context_requires_confirmation","context_ready")))</x:f>
      </x:c>
      <x:c r="AZ201" s="81" t="str">
        <x:f>IF($E201="","",IF($AU201&lt;&gt;"selected_for_runtime","no",IF(OR($AY201="context_with_coverage_gap",$AX201="exploratoria"),"ready_with_flags","ready")))</x:f>
      </x:c>
      <x:c r="BA201" s="81" t="str"/>
      <x:c r="BB201" s="81" t="str"/>
      <x:c r="BC201" s="81" t="str"/>
      <x:c r="BD201" s="81" t="str"/>
      <x:c r="BE201" s="81" t="str"/>
    </x:row>
  </x:sheetData>
  <x:dataValidations count="7">
    <x:dataValidation type="list" sqref="M2:O201">
      <x:formula1>"yes,no,review"</x:formula1>
    </x:dataValidation>
    <x:dataValidation type="list" sqref="P2:P201">
      <x:formula1>"fit,too_macro,too_micro,context_only,review"</x:formula1>
    </x:dataValidation>
    <x:dataValidation type="list" sqref="Q2:Q201">
      <x:formula1>"unique,alias_review,duplicate_confirmed,consolidated"</x:formula1>
    </x:dataValidation>
    <x:dataValidation type="list" sqref="R2:R201">
      <x:formula1>"primary_candidate,context_only"</x:formula1>
    </x:dataValidation>
    <x:dataValidation type="list" sqref="AI2:AI201">
      <x:formula1>"ok,review,gap"</x:formula1>
    </x:dataValidation>
    <x:dataValidation type="list" sqref="AJ2:AJ201">
      <x:formula1>"TRUE,FALSE"</x:formula1>
    </x:dataValidation>
    <x:dataValidation type="list" sqref="S2:AH201">
      <x:formula1>"0,1,2,3"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</x:cols>
  <x:sheetData>
    <x:row r="1">
      <x:c r="A1" s="80" t="str">
        <x:v>Dictionary</x:v>
      </x:c>
      <x:c r="B1" s="80" t="str">
        <x:v>Allowed Values</x:v>
      </x:c>
      <x:c r="C1" s="80" t="str">
        <x:v>Applies to</x:v>
      </x:c>
      <x:c r="D1" s="80" t="str">
        <x:v>Meaning</x:v>
      </x:c>
    </x:row>
    <x:row r="2">
      <x:c r="A2" s="81" t="str">
        <x:v>yes_no_review</x:v>
      </x:c>
      <x:c r="B2" s="81" t="str">
        <x:v>yes;no;review</x:v>
      </x:c>
      <x:c r="C2" s="81" t="str">
        <x:v>workmap_trace_ok, belongs_to_role, is_work_activity</x:v>
      </x:c>
      <x:c r="D2" s="81" t="str">
        <x:v>Minimum gate values.</x:v>
      </x:c>
    </x:row>
    <x:row r="3">
      <x:c r="A3" s="81" t="str">
        <x:v>granularity_status</x:v>
      </x:c>
      <x:c r="B3" s="81" t="str">
        <x:v>fit;too_macro;too_micro;context_only;review</x:v>
      </x:c>
      <x:c r="C3" s="81" t="str">
        <x:v>granularity_status</x:v>
      </x:c>
      <x:c r="D3" s="81" t="str">
        <x:v>Whether the activity is delimitable for Runtime.</x:v>
      </x:c>
    </x:row>
    <x:row r="4">
      <x:c r="A4" s="81" t="str">
        <x:v>duplicate_or_alias_status</x:v>
      </x:c>
      <x:c r="B4" s="81" t="str">
        <x:v>unique;alias_review;duplicate_confirmed;consolidated</x:v>
      </x:c>
      <x:c r="C4" s="81" t="str">
        <x:v>duplicate_or_alias_status</x:v>
      </x:c>
      <x:c r="D4" s="81" t="str">
        <x:v>Alias/duplicate handling before Runtime.</x:v>
      </x:c>
    </x:row>
    <x:row r="5">
      <x:c r="A5" s="81" t="str">
        <x:v>context_status</x:v>
      </x:c>
      <x:c r="B5" s="81" t="str">
        <x:v>primary_candidate;context_only</x:v>
      </x:c>
      <x:c r="C5" s="81" t="str">
        <x:v>context_status</x:v>
      </x:c>
      <x:c r="D5" s="81" t="str">
        <x:v>Whether activity can be primary or only context.</x:v>
      </x:c>
    </x:row>
    <x:row r="6">
      <x:c r="A6" s="81" t="str">
        <x:v>role_coverage_flag</x:v>
      </x:c>
      <x:c r="B6" s="81" t="str">
        <x:v>ok;review;gap</x:v>
      </x:c>
      <x:c r="C6" s="81" t="str">
        <x:v>role_coverage_flag</x:v>
      </x:c>
      <x:c r="D6" s="81" t="str">
        <x:v>Coverage warning from Estado A vs WorkMap.</x:v>
      </x:c>
    </x:row>
    <x:row r="7">
      <x:c r="A7" s="81" t="str">
        <x:v>selection_mode</x:v>
      </x:c>
      <x:c r="B7" s="81" t="str">
        <x:v>reentry_required;non_competitive_inclusion;competitive_selection;manual_review_required</x:v>
      </x:c>
      <x:c r="C7" s="81" t="str">
        <x:v>Selection_Mode</x:v>
      </x:c>
      <x:c r="D7" s="81" t="str">
        <x:v>Mode applied by selector.</x:v>
      </x:c>
    </x:row>
    <x:row r="8">
      <x:c r="A8" s="81" t="str">
        <x:v>runtime_probe_priority</x:v>
      </x:c>
      <x:c r="B8" s="81" t="str">
        <x:v>alta;media;baja;exploratoria;none</x:v>
      </x:c>
      <x:c r="C8" s="81" t="str">
        <x:v>Runtime_Probe_Priority</x:v>
      </x:c>
      <x:c r="D8" s="81" t="str">
        <x:v>Opening priority for Runtime probes.</x:v>
      </x:c>
    </x:row>
    <x:row r="9">
      <x:c r="A9" s="81" t="str">
        <x:v>epistemic_status</x:v>
      </x:c>
      <x:c r="B9" s="81" t="str">
        <x:v>captured_user_evidence;inferred_from_workmap;confirmed_in_runtime;derived_internal;context_only;gap;contradiction_flag;manual_review_required</x:v>
      </x:c>
      <x:c r="C9" s="81" t="str">
        <x:v>Context_Bundle</x:v>
      </x:c>
      <x:c r="D9" s="81" t="str">
        <x:v>Status of information provenance.</x:v>
      </x:c>
    </x:row>
    <x:row r="10">
      <x:c r="A10" s="81" t="str">
        <x:v>readiness</x:v>
      </x:c>
      <x:c r="B10" s="81" t="str">
        <x:v>ready;ready_with_flags;blocked_by_missing_evidence;blocked_by_contradiction;blocked_by_missing_canonical_route;manual_review_required;reentry_required</x:v>
      </x:c>
      <x:c r="C10" s="81" t="str">
        <x:v>Runtime_Handoff_Ready/QA</x:v>
      </x:c>
      <x:c r="D10" s="81" t="str">
        <x:v>Readiness state.</x:v>
      </x:c>
    </x:row>
    <x:row r="11">
      <x:c r="A11" s="81" t="str">
        <x:v>screen_role</x:v>
      </x:c>
      <x:c r="B11" s="81" t="str">
        <x:v>Estado A;WorkMap;Selector interno EVE;Significado de tu Trabajo;Producción Paralela;Capas posteriores</x:v>
      </x:c>
      <x:c r="C11" s="81" t="str">
        <x:v>Screen sequence</x:v>
      </x:c>
      <x:c r="D11" s="81" t="str">
        <x:v>Platform stage.</x:v>
      </x:c>
    </x:row>
    <x:row r="12">
      <x:c r="A12" s="81" t="str">
        <x:v>boolean</x:v>
      </x:c>
      <x:c r="B12" s="81" t="str">
        <x:v>TRUE;FALSE</x:v>
      </x:c>
      <x:c r="C12" s="81" t="str">
        <x:v>workmap_coverage_gap</x:v>
      </x:c>
      <x:c r="D12" s="81" t="str">
        <x:v>Boolean flag.</x:v>
      </x:c>
    </x:row>
    <x:row r="14" ht="211.1999969482422" hidden="0" customHeight="1">
      <x:c r="A14" s="92" t="str">
        <x:v>selection_reason_code_v1_3</x:v>
      </x:c>
      <x:c r="B14" s="92" t="str">
        <x:v>selected_for_high_architectural_signal | selected_for_transformation_object_signal | selected_for_handoff_timer_signal | selected_for_governance_synchronization_signal | selected_for_pf_olc_risk_signal | selected_for_friction_exception_signal | selected_for_exploratory_signal | selected_for_coverage_diversity_tiebreaker</x:v>
      </x:c>
    </x:row>
    <x:row r="15" ht="79.19999694824219" hidden="0" customHeight="1">
      <x:c r="A15" s="81" t="str">
        <x:v>preferred_slot_candidate_v1_3</x:v>
      </x:c>
      <x:c r="B15" s="81" t="str">
        <x:v>overall_high_signal | transformation_object | handoff_timer | sync_governance | pf_olc_risk | score_pool | exploratory_context</x:v>
      </x:c>
    </x:row>
    <x:row r="16" ht="66" hidden="0" customHeight="1">
      <x:c r="A16" s="81" t="str">
        <x:v>trace_failure_pattern_v1_3</x:v>
      </x:c>
      <x:c r="B16" s="81" t="str">
        <x:v>generic_selection_reason | responsibility_balance_dominant | missing_special_slot | missing_component_scores | context_not_preserved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3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2" hidden="0" customWidth="1"/>
    <x:col min="18" max="18" width="18" hidden="0" customWidth="1"/>
    <x:col min="19" max="19" width="14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4" hidden="0" customWidth="1"/>
    <x:col min="26" max="26" width="14" hidden="0" customWidth="1"/>
    <x:col min="27" max="27" width="16" hidden="0" customWidth="1"/>
    <x:col min="28" max="28" width="16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22" hidden="0" customWidth="1"/>
    <x:col min="40" max="40" width="18" hidden="0" customWidth="1"/>
    <x:col min="41" max="41" width="18" hidden="0" customWidth="1"/>
    <x:col min="42" max="42" width="14" hidden="0" customWidth="1"/>
    <x:col min="43" max="43" width="18" hidden="0" customWidth="1"/>
    <x:col min="44" max="44" width="16" hidden="0" customWidth="1"/>
    <x:col min="45" max="45" width="16" hidden="0" customWidth="1"/>
    <x:col min="46" max="46" width="16" hidden="0" customWidth="1"/>
    <x:col min="47" max="47" width="20" hidden="0" customWidth="1"/>
    <x:col min="48" max="48" width="14" hidden="0" customWidth="1"/>
    <x:col min="49" max="49" width="24" hidden="0" customWidth="1"/>
    <x:col min="50" max="50" width="20" hidden="0" customWidth="1"/>
    <x:col min="51" max="51" width="22" hidden="0" customWidth="1"/>
    <x:col min="52" max="52" width="2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  <x:col min="57" max="57" width="36" hidden="0" customWidth="1"/>
  </x:cols>
  <x:sheetData>
    <x:row r="1">
      <x:c r="A1" s="80" t="str">
        <x:v>selection_run_id</x:v>
      </x:c>
      <x:c r="B1" s="80" t="str">
        <x:v>raw_activity_count</x:v>
      </x:c>
      <x:c r="C1" s="80" t="str">
        <x:v>eligible_activity_count</x:v>
      </x:c>
      <x:c r="D1" s="80" t="str">
        <x:v>selection_mode_input_optional</x:v>
      </x:c>
      <x:c r="E1" s="80" t="str">
        <x:v>activity_id</x:v>
      </x:c>
      <x:c r="F1" s="80" t="str">
        <x:v>responsibility_id</x:v>
      </x:c>
      <x:c r="G1" s="80" t="str">
        <x:v>area</x:v>
      </x:c>
      <x:c r="H1" s="80" t="str">
        <x:v>functional_role</x:v>
      </x:c>
      <x:c r="I1" s="80" t="str">
        <x:v>decision_level</x:v>
      </x:c>
      <x:c r="J1" s="80" t="str">
        <x:v>authority_scope</x:v>
      </x:c>
      <x:c r="K1" s="80" t="str">
        <x:v>activity_label</x:v>
      </x:c>
      <x:c r="L1" s="80" t="str">
        <x:v>activity_description</x:v>
      </x:c>
      <x:c r="M1" s="80" t="str">
        <x:v>workmap_trace_ok</x:v>
      </x:c>
      <x:c r="N1" s="80" t="str">
        <x:v>belongs_to_role</x:v>
      </x:c>
      <x:c r="O1" s="80" t="str">
        <x:v>is_work_activity</x:v>
      </x:c>
      <x:c r="P1" s="80" t="str">
        <x:v>granularity_status</x:v>
      </x:c>
      <x:c r="Q1" s="80" t="str">
        <x:v>duplicate_or_alias_status</x:v>
      </x:c>
      <x:c r="R1" s="80" t="str">
        <x:v>context_status</x:v>
      </x:c>
      <x:c r="S1" s="80" t="str">
        <x:v>user_text_density_0_3</x:v>
      </x:c>
      <x:c r="T1" s="80" t="str">
        <x:v>semantic_clarity_0_3</x:v>
      </x:c>
      <x:c r="U1" s="80" t="str">
        <x:v>pm_signal_0_3</x:v>
      </x:c>
      <x:c r="V1" s="80" t="str">
        <x:v>moc_signal_0_3</x:v>
      </x:c>
      <x:c r="W1" s="80" t="str">
        <x:v>pf_signal_0_3</x:v>
      </x:c>
      <x:c r="X1" s="80" t="str">
        <x:v>olc_signal_0_3</x:v>
      </x:c>
      <x:c r="Y1" s="80" t="str">
        <x:v>operational_centrality_0_3</x:v>
      </x:c>
      <x:c r="Z1" s="80" t="str">
        <x:v>handoff_dependency_signal_0_3</x:v>
      </x:c>
      <x:c r="AA1" s="80" t="str">
        <x:v>transformation_object_signal_0_3</x:v>
      </x:c>
      <x:c r="AB1" s="80" t="str">
        <x:v>friction_exception_signal_0_3</x:v>
      </x:c>
      <x:c r="AC1" s="80" t="str">
        <x:v>coverage_diversity_0_3</x:v>
      </x:c>
      <x:c r="AD1" s="80" t="str">
        <x:v>uncertainty_level_0_3</x:v>
      </x:c>
      <x:c r="AE1" s="80" t="str">
        <x:v>ambiguity_probe_value_0_3</x:v>
      </x:c>
      <x:c r="AF1" s="80" t="str">
        <x:v>vagueness_risk_0_3</x:v>
      </x:c>
      <x:c r="AG1" s="80" t="str">
        <x:v>granularity_risk_0_3</x:v>
      </x:c>
      <x:c r="AH1" s="80" t="str">
        <x:v>duplicate_alias_risk_0_3</x:v>
      </x:c>
      <x:c r="AI1" s="80" t="str">
        <x:v>role_coverage_flag</x:v>
      </x:c>
      <x:c r="AJ1" s="80" t="str">
        <x:v>workmap_coverage_gap</x:v>
      </x:c>
      <x:c r="AK1" s="80" t="str">
        <x:v>Hard_Gate</x:v>
      </x:c>
      <x:c r="AL1" s="80" t="str">
        <x:v>Eligibility_Status</x:v>
      </x:c>
      <x:c r="AM1" s="80" t="str">
        <x:v>Selection_Mode</x:v>
      </x:c>
      <x:c r="AN1" s="80" t="str">
        <x:v>Architectural_Signal_Potential</x:v>
      </x:c>
      <x:c r="AO1" s="80" t="str">
        <x:v>Context_Quality_Score</x:v>
      </x:c>
      <x:c r="AP1" s="80" t="str">
        <x:v>Penalty_Total</x:v>
      </x:c>
      <x:c r="AQ1" s="80" t="str">
        <x:v>PrimaryActivitySelectionScore</x:v>
      </x:c>
      <x:c r="AR1" s="80" t="str">
        <x:v>Rank_If_Competitive</x:v>
      </x:c>
      <x:c r="AS1" s="80" t="str">
        <x:v>Select_If_Under8</x:v>
      </x:c>
      <x:c r="AT1" s="80" t="str">
        <x:v>Select_If_Over8</x:v>
      </x:c>
      <x:c r="AU1" s="80" t="str">
        <x:v>Final_Selection_Status</x:v>
      </x:c>
      <x:c r="AV1" s="80" t="str">
        <x:v>Runtime_Order</x:v>
      </x:c>
      <x:c r="AW1" s="80" t="str">
        <x:v>Runtime_Opening_Profile</x:v>
      </x:c>
      <x:c r="AX1" s="80" t="str">
        <x:v>Runtime_Probe_Priority</x:v>
      </x:c>
      <x:c r="AY1" s="80" t="str">
        <x:v>PreRuntime_Context_Status</x:v>
      </x:c>
      <x:c r="AZ1" s="80" t="str">
        <x:v>Runtime_Handoff_Ready</x:v>
      </x:c>
      <x:c r="BA1" s="80" t="str">
        <x:v>PM_Probe_Hypothesis</x:v>
      </x:c>
      <x:c r="BB1" s="80" t="str">
        <x:v>MoC_Probe_Hypothesis</x:v>
      </x:c>
      <x:c r="BC1" s="80" t="str">
        <x:v>PF_Probe_Hypothesis</x:v>
      </x:c>
      <x:c r="BD1" s="80" t="str">
        <x:v>OLC_Probe_Hypothesis</x:v>
      </x:c>
      <x:c r="BE1" s="80" t="str">
        <x:v>Notes</x:v>
      </x:c>
    </x:row>
    <x:row r="2">
      <x:c r="A2" s="81" t="str">
        <x:v>RUN-U8-001</x:v>
      </x:c>
      <x:c r="B2" s="81" t="n">
        <x:v>6</x:v>
      </x:c>
      <x:c r="C2" s="81" t="n">
        <x:v>5</x:v>
      </x:c>
      <x:c r="D2" s="81" t="str"/>
      <x:c r="E2" s="81" t="str">
        <x:v>A001</x:v>
      </x:c>
      <x:c r="F2" s="81" t="str">
        <x:v>R-ORD</x:v>
      </x:c>
      <x:c r="G2" s="81" t="str">
        <x:v>Operaciones</x:v>
      </x:c>
      <x:c r="H2" s="81" t="str">
        <x:v>Coordinador de pedidos</x:v>
      </x:c>
      <x:c r="I2" s="81" t="str">
        <x:v>operativo/coordinación</x:v>
      </x:c>
      <x:c r="J2" s="81" t="str">
        <x:v>coordina y escala</x:v>
      </x:c>
      <x:c r="K2" s="81" t="str">
        <x:v>Validar pedidos antes de despacho</x:v>
      </x:c>
      <x:c r="L2" s="81" t="str">
        <x:v>Revisar que el pedido esté correcto antes de enviarlo.</x:v>
      </x:c>
      <x:c r="M2" s="81" t="str">
        <x:v>yes</x:v>
      </x:c>
      <x:c r="N2" s="81" t="str">
        <x:v>yes</x:v>
      </x:c>
      <x:c r="O2" s="81" t="str">
        <x:v>yes</x:v>
      </x:c>
      <x:c r="P2" s="81" t="str">
        <x:v>fit</x:v>
      </x:c>
      <x:c r="Q2" s="81" t="str">
        <x:v>unique</x:v>
      </x:c>
      <x:c r="R2" s="81" t="str">
        <x:v>primary_candidate</x:v>
      </x:c>
      <x:c r="S2" s="82" t="n">
        <x:v>2</x:v>
      </x:c>
      <x:c r="T2" s="82" t="n">
        <x:v>2</x:v>
      </x:c>
      <x:c r="U2" s="82" t="n">
        <x:v>2</x:v>
      </x:c>
      <x:c r="V2" s="82" t="n">
        <x:v>2</x:v>
      </x:c>
      <x:c r="W2" s="82" t="n">
        <x:v>2</x:v>
      </x:c>
      <x:c r="X2" s="82" t="n">
        <x:v>2</x:v>
      </x:c>
      <x:c r="Y2" s="82" t="n">
        <x:v>2</x:v>
      </x:c>
      <x:c r="Z2" s="82" t="n">
        <x:v>2</x:v>
      </x:c>
      <x:c r="AA2" s="82" t="n">
        <x:v>2</x:v>
      </x:c>
      <x:c r="AB2" s="82" t="n">
        <x:v>1</x:v>
      </x:c>
      <x:c r="AC2" s="82" t="n">
        <x:v>2</x:v>
      </x:c>
      <x:c r="AD2" s="82" t="n">
        <x:v>1</x:v>
      </x:c>
      <x:c r="AE2" s="82" t="n">
        <x:v>1</x:v>
      </x:c>
      <x:c r="AF2" s="82" t="n">
        <x:v>0</x:v>
      </x:c>
      <x:c r="AG2" s="82" t="n">
        <x:v>0</x:v>
      </x:c>
      <x:c r="AH2" s="82" t="n">
        <x:v>0</x:v>
      </x:c>
      <x:c r="AI2" s="81" t="str">
        <x:v>ok</x:v>
      </x:c>
      <x:c r="AJ2" s="86" t="b">
        <x:v>0</x:v>
      </x:c>
      <x:c r="AK2" s="81" t="str">
        <x:f>IF($E2="","",IF(AND($M2="yes",OR($N2="yes",$N2="review"),OR($O2="yes",$O2="review"),$P2="fit",OR($Q2="unique",$Q2="alias_review"),$R2&lt;&gt;"context_only"),"pass","review/block"))</x:f>
        <x:v>pass</x:v>
      </x:c>
      <x:c r="AL2" s="81" t="str">
        <x:f>IF($E2="","",IF($AK2="pass","eligible",IF(OR($M2="no",$O2="no",$P2="too_macro",$P2="too_micro",$P2="context_only",$Q2="duplicate_confirmed",$R2="context_only"),"not_eligible","review")))</x:f>
        <x:v>eligible</x:v>
      </x:c>
      <x:c r="AM2" s="81" t="str">
        <x:f>IF($E2="","",IF($C2=0,"reentry_required",IF($C2&lt;=8,"non_competitive_inclusion","competitive_selection")))</x:f>
        <x:v>non_competitive_inclusion</x:v>
      </x:c>
      <x:c r="AN2" s="82" t="n">
        <x:f>IF($E2="","",AVERAGE($U2:$X2))</x:f>
        <x:v>2</x:v>
      </x:c>
      <x:c r="AO2" s="82" t="n">
        <x:f>IF($E2="","",AVERAGE($S2:$T2))</x:f>
        <x:v>2</x:v>
      </x:c>
      <x:c r="AP2" s="82" t="n">
        <x:f>IF($E2="","",($AF2*0.08)+($AG2*0.08)+($AH2*0.10))</x:f>
        <x:v>0</x:v>
      </x:c>
      <x:c r="AQ2" s="82" t="n">
        <x:f>IF($E2="","",MAX(0,($AN2*0.30)+($Y2*0.20)+($Z2*0.15)+($AA2*0.15)+($AB2*0.10)+($AC2*0.10)+($AE2*0.05)-$AP2))</x:f>
        <x:v>1.9500000000000002</x:v>
      </x:c>
      <x:c r="AR2" s="81" t="str">
        <x:f>IF($E2="","",IF($AM2="competitive_selection",RANK.EQ($AQ2,$AQ$2:$AQ$201,0),""))</x:f>
      </x:c>
      <x:c r="AS2" s="81" t="str">
        <x:f>IF($E2="","",IF(AND($AM2="non_competitive_inclusion",$AL2="eligible"),"selected",""))</x:f>
        <x:v>selected</x:v>
      </x:c>
      <x:c r="AT2" s="81" t="str">
        <x:f>IF($E2="","",IF($AM2&lt;&gt;"competitive_selection","",IF(AND($AL2="eligible",$AR2&lt;=8),"selected","context/backlog")))</x:f>
      </x:c>
      <x:c r="AU2" s="81" t="str">
        <x:f>IF($E2="","",IF($AM2="reentry_required","not_selected_reentry",IF($AS2="selected","selected_for_runtime",IF($AT2="selected","selected_for_runtime",IF($AL2="review","manual_review","context_or_not_selected")))))</x:f>
        <x:v>selected_for_runtime</x:v>
      </x:c>
      <x:c r="AV2" s="81" t="n">
        <x:f>IF($E2="","",IF($AU2="selected_for_runtime",IF($AM2="competitive_selection",$AR2,COUNTIF($AU$2:AU2,"selected_for_runtime")),""))</x:f>
        <x:v>1</x:v>
      </x:c>
      <x:c r="AW2" s="81" t="str">
        <x:f>IF($E2="","",IF($AU2="selected_for_runtime",IF($AD2&gt;=2,"base_40_plus_uncertainty_probes",IF($AE2&gt;=2,"base_40_plus_exploratory_probes","base_40_standard")),"no_runtime"))</x:f>
        <x:v>base_40_standard</x:v>
      </x:c>
      <x:c r="AX2" s="81" t="str">
        <x:f>IF($E2="","",IF($AU2&lt;&gt;"selected_for_runtime","none",IF($AE2&gt;=2,"exploratoria",IF($AQ2&gt;=2.2,"alta",IF($AQ2&gt;=1.2,"media","baja")))))</x:f>
        <x:v>media</x:v>
      </x:c>
      <x:c r="AY2" s="81" t="str">
        <x:f>IF($E2="","",IF($AJ2=TRUE,"context_with_coverage_gap",IF($AI2="review","context_requires_confirmation","context_ready")))</x:f>
        <x:v>context_ready</x:v>
      </x:c>
      <x:c r="AZ2" s="81" t="str">
        <x:f>IF($E2="","",IF($AU2&lt;&gt;"selected_for_runtime","no",IF(OR($AY2="context_with_coverage_gap",$AX2="exploratoria"),"ready_with_flags","ready")))</x:f>
        <x:v>ready</x:v>
      </x:c>
      <x:c r="BA2" s="81" t="str">
        <x:v>PM: posible proceso contenedor, actor/cliente, trigger o resultado a confirmar en Runtime.</x:v>
      </x:c>
      <x:c r="BB2" s="81" t="str">
        <x:v>MoC: posibles objetos de negocio y relaciones a confirmar; no modelar sin Runtime.</x:v>
      </x:c>
      <x:c r="BC2" s="81" t="str">
        <x:v>PF: posibles pasos, handoffs, esperas o rutas a reconstruir.</x:v>
      </x:c>
      <x:c r="BD2" s="81" t="str">
        <x:v>OLC: posibles estados/transiciones a confirmar si el objeto cambia.</x:v>
      </x:c>
      <x:c r="BE2" s="81" t="str">
        <x:v>Ejemplo v1.2: muestra selección no competitiva cuando &lt;=8 y competitiva cuando &gt;8.</x:v>
      </x:c>
    </x:row>
    <x:row r="3">
      <x:c r="A3" s="81" t="str">
        <x:v>RUN-U8-001</x:v>
      </x:c>
      <x:c r="B3" s="81" t="n">
        <x:v>6</x:v>
      </x:c>
      <x:c r="C3" s="81" t="n">
        <x:v>5</x:v>
      </x:c>
      <x:c r="D3" s="81" t="str"/>
      <x:c r="E3" s="81" t="str">
        <x:v>A002</x:v>
      </x:c>
      <x:c r="F3" s="81" t="str">
        <x:v>R-ORD</x:v>
      </x:c>
      <x:c r="G3" s="81" t="str">
        <x:v>Operaciones</x:v>
      </x:c>
      <x:c r="H3" s="81" t="str">
        <x:v>Coordinador de pedidos</x:v>
      </x:c>
      <x:c r="I3" s="81" t="str">
        <x:v>operativo/coordinación</x:v>
      </x:c>
      <x:c r="J3" s="81" t="str">
        <x:v>coordina y escala</x:v>
      </x:c>
      <x:c r="K3" s="81" t="str">
        <x:v>Confirmar inventario disponible</x:v>
      </x:c>
      <x:c r="L3" s="81" t="str">
        <x:v>Confirmar disponibilidad antes de comprometer entrega.</x:v>
      </x:c>
      <x:c r="M3" s="81" t="str">
        <x:v>yes</x:v>
      </x:c>
      <x:c r="N3" s="81" t="str">
        <x:v>yes</x:v>
      </x:c>
      <x:c r="O3" s="81" t="str">
        <x:v>yes</x:v>
      </x:c>
      <x:c r="P3" s="81" t="str">
        <x:v>fit</x:v>
      </x:c>
      <x:c r="Q3" s="81" t="str">
        <x:v>unique</x:v>
      </x:c>
      <x:c r="R3" s="81" t="str">
        <x:v>primary_candidate</x:v>
      </x:c>
      <x:c r="S3" s="82" t="n">
        <x:v>2</x:v>
      </x:c>
      <x:c r="T3" s="82" t="n">
        <x:v>2</x:v>
      </x:c>
      <x:c r="U3" s="82" t="n">
        <x:v>1</x:v>
      </x:c>
      <x:c r="V3" s="82" t="n">
        <x:v>2</x:v>
      </x:c>
      <x:c r="W3" s="82" t="n">
        <x:v>2</x:v>
      </x:c>
      <x:c r="X3" s="82" t="n">
        <x:v>2</x:v>
      </x:c>
      <x:c r="Y3" s="82" t="n">
        <x:v>2</x:v>
      </x:c>
      <x:c r="Z3" s="82" t="n">
        <x:v>1</x:v>
      </x:c>
      <x:c r="AA3" s="82" t="n">
        <x:v>2</x:v>
      </x:c>
      <x:c r="AB3" s="82" t="n">
        <x:v>2</x:v>
      </x:c>
      <x:c r="AC3" s="82" t="n">
        <x:v>2</x:v>
      </x:c>
      <x:c r="AD3" s="82" t="n">
        <x:v>1</x:v>
      </x:c>
      <x:c r="AE3" s="82" t="n">
        <x:v>1</x:v>
      </x:c>
      <x:c r="AF3" s="82" t="n">
        <x:v>0</x:v>
      </x:c>
      <x:c r="AG3" s="82" t="n">
        <x:v>0</x:v>
      </x:c>
      <x:c r="AH3" s="82" t="n">
        <x:v>0</x:v>
      </x:c>
      <x:c r="AI3" s="81" t="str">
        <x:v>ok</x:v>
      </x:c>
      <x:c r="AJ3" s="86" t="b">
        <x:v>0</x:v>
      </x:c>
      <x:c r="AK3" s="81" t="str">
        <x:f>IF($E3="","",IF(AND($M3="yes",OR($N3="yes",$N3="review"),OR($O3="yes",$O3="review"),$P3="fit",OR($Q3="unique",$Q3="alias_review"),$R3&lt;&gt;"context_only"),"pass","review/block"))</x:f>
        <x:v>pass</x:v>
      </x:c>
      <x:c r="AL3" s="81" t="str">
        <x:f>IF($E3="","",IF($AK3="pass","eligible",IF(OR($M3="no",$O3="no",$P3="too_macro",$P3="too_micro",$P3="context_only",$Q3="duplicate_confirmed",$R3="context_only"),"not_eligible","review")))</x:f>
        <x:v>eligible</x:v>
      </x:c>
      <x:c r="AM3" s="81" t="str">
        <x:f>IF($E3="","",IF($C3=0,"reentry_required",IF($C3&lt;=8,"non_competitive_inclusion","competitive_selection")))</x:f>
        <x:v>non_competitive_inclusion</x:v>
      </x:c>
      <x:c r="AN3" s="82" t="n">
        <x:f>IF($E3="","",AVERAGE($U3:$X3))</x:f>
        <x:v>1.75</x:v>
      </x:c>
      <x:c r="AO3" s="82" t="n">
        <x:f>IF($E3="","",AVERAGE($S3:$T3))</x:f>
        <x:v>2</x:v>
      </x:c>
      <x:c r="AP3" s="82" t="n">
        <x:f>IF($E3="","",($AF3*0.08)+($AG3*0.08)+($AH3*0.10))</x:f>
        <x:v>0</x:v>
      </x:c>
      <x:c r="AQ3" s="82" t="n">
        <x:f>IF($E3="","",MAX(0,($AN3*0.30)+($Y3*0.20)+($Z3*0.15)+($AA3*0.15)+($AB3*0.10)+($AC3*0.10)+($AE3*0.05)-$AP3))</x:f>
        <x:v>1.825</x:v>
      </x:c>
      <x:c r="AR3" s="81" t="str">
        <x:f>IF($E3="","",IF($AM3="competitive_selection",RANK.EQ($AQ3,$AQ$2:$AQ$201,0),""))</x:f>
      </x:c>
      <x:c r="AS3" s="81" t="str">
        <x:f>IF($E3="","",IF(AND($AM3="non_competitive_inclusion",$AL3="eligible"),"selected",""))</x:f>
        <x:v>selected</x:v>
      </x:c>
      <x:c r="AT3" s="81" t="str">
        <x:f>IF($E3="","",IF($AM3&lt;&gt;"competitive_selection","",IF(AND($AL3="eligible",$AR3&lt;=8),"selected","context/backlog")))</x:f>
      </x:c>
      <x:c r="AU3" s="81" t="str">
        <x:f>IF($E3="","",IF($AM3="reentry_required","not_selected_reentry",IF($AS3="selected","selected_for_runtime",IF($AT3="selected","selected_for_runtime",IF($AL3="review","manual_review","context_or_not_selected")))))</x:f>
        <x:v>selected_for_runtime</x:v>
      </x:c>
      <x:c r="AV3" s="81" t="n">
        <x:f>IF($E3="","",IF($AU3="selected_for_runtime",IF($AM3="competitive_selection",$AR3,COUNTIF($AU$2:AU3,"selected_for_runtime")),""))</x:f>
        <x:v>2</x:v>
      </x:c>
      <x:c r="AW3" s="81" t="str">
        <x:f>IF($E3="","",IF($AU3="selected_for_runtime",IF($AD3&gt;=2,"base_40_plus_uncertainty_probes",IF($AE3&gt;=2,"base_40_plus_exploratory_probes","base_40_standard")),"no_runtime"))</x:f>
        <x:v>base_40_standard</x:v>
      </x:c>
      <x:c r="AX3" s="81" t="str">
        <x:f>IF($E3="","",IF($AU3&lt;&gt;"selected_for_runtime","none",IF($AE3&gt;=2,"exploratoria",IF($AQ3&gt;=2.2,"alta",IF($AQ3&gt;=1.2,"media","baja")))))</x:f>
        <x:v>media</x:v>
      </x:c>
      <x:c r="AY3" s="81" t="str">
        <x:f>IF($E3="","",IF($AJ3=TRUE,"context_with_coverage_gap",IF($AI3="review","context_requires_confirmation","context_ready")))</x:f>
        <x:v>context_ready</x:v>
      </x:c>
      <x:c r="AZ3" s="81" t="str">
        <x:f>IF($E3="","",IF($AU3&lt;&gt;"selected_for_runtime","no",IF(OR($AY3="context_with_coverage_gap",$AX3="exploratoria"),"ready_with_flags","ready")))</x:f>
        <x:v>ready</x:v>
      </x:c>
      <x:c r="BA3" s="81" t="str">
        <x:v>PM: posible proceso contenedor, actor/cliente, trigger o resultado a confirmar en Runtime.</x:v>
      </x:c>
      <x:c r="BB3" s="81" t="str">
        <x:v>MoC: posibles objetos de negocio y relaciones a confirmar; no modelar sin Runtime.</x:v>
      </x:c>
      <x:c r="BC3" s="81" t="str">
        <x:v>PF: posibles pasos, handoffs, esperas o rutas a reconstruir.</x:v>
      </x:c>
      <x:c r="BD3" s="81" t="str">
        <x:v>OLC: posibles estados/transiciones a confirmar si el objeto cambia.</x:v>
      </x:c>
      <x:c r="BE3" s="81" t="str">
        <x:v>Ejemplo v1.2: muestra selección no competitiva cuando &lt;=8 y competitiva cuando &gt;8.</x:v>
      </x:c>
    </x:row>
    <x:row r="4">
      <x:c r="A4" s="81" t="str">
        <x:v>RUN-U8-001</x:v>
      </x:c>
      <x:c r="B4" s="81" t="n">
        <x:v>6</x:v>
      </x:c>
      <x:c r="C4" s="81" t="n">
        <x:v>5</x:v>
      </x:c>
      <x:c r="D4" s="81" t="str"/>
      <x:c r="E4" s="81" t="str">
        <x:v>A003</x:v>
      </x:c>
      <x:c r="F4" s="81" t="str">
        <x:v>R-DEL</x:v>
      </x:c>
      <x:c r="G4" s="81" t="str">
        <x:v>Logística</x:v>
      </x:c>
      <x:c r="H4" s="81" t="str">
        <x:v>Coordinador de pedidos</x:v>
      </x:c>
      <x:c r="I4" s="81" t="str">
        <x:v>operativo/coordinación</x:v>
      </x:c>
      <x:c r="J4" s="81" t="str">
        <x:v>coordina y escala</x:v>
      </x:c>
      <x:c r="K4" s="81" t="str">
        <x:v>Coordinar entrega con repartidor</x:v>
      </x:c>
      <x:c r="L4" s="81" t="str">
        <x:v>Coordinar salida y entrega con el repartidor asignado.</x:v>
      </x:c>
      <x:c r="M4" s="81" t="str">
        <x:v>yes</x:v>
      </x:c>
      <x:c r="N4" s="81" t="str">
        <x:v>yes</x:v>
      </x:c>
      <x:c r="O4" s="81" t="str">
        <x:v>yes</x:v>
      </x:c>
      <x:c r="P4" s="81" t="str">
        <x:v>fit</x:v>
      </x:c>
      <x:c r="Q4" s="81" t="str">
        <x:v>unique</x:v>
      </x:c>
      <x:c r="R4" s="81" t="str">
        <x:v>primary_candidate</x:v>
      </x:c>
      <x:c r="S4" s="82" t="n">
        <x:v>2</x:v>
      </x:c>
      <x:c r="T4" s="82" t="n">
        <x:v>2</x:v>
      </x:c>
      <x:c r="U4" s="82" t="n">
        <x:v>2</x:v>
      </x:c>
      <x:c r="V4" s="82" t="n">
        <x:v>1</x:v>
      </x:c>
      <x:c r="W4" s="82" t="n">
        <x:v>3</x:v>
      </x:c>
      <x:c r="X4" s="82" t="n">
        <x:v>1</x:v>
      </x:c>
      <x:c r="Y4" s="82" t="n">
        <x:v>3</x:v>
      </x:c>
      <x:c r="Z4" s="82" t="n">
        <x:v>3</x:v>
      </x:c>
      <x:c r="AA4" s="82" t="n">
        <x:v>1</x:v>
      </x:c>
      <x:c r="AB4" s="82" t="n">
        <x:v>2</x:v>
      </x:c>
      <x:c r="AC4" s="82" t="n">
        <x:v>3</x:v>
      </x:c>
      <x:c r="AD4" s="82" t="n">
        <x:v>1</x:v>
      </x:c>
      <x:c r="AE4" s="82" t="n">
        <x:v>1</x:v>
      </x:c>
      <x:c r="AF4" s="82" t="n">
        <x:v>0</x:v>
      </x:c>
      <x:c r="AG4" s="82" t="n">
        <x:v>0</x:v>
      </x:c>
      <x:c r="AH4" s="82" t="n">
        <x:v>0</x:v>
      </x:c>
      <x:c r="AI4" s="81" t="str">
        <x:v>ok</x:v>
      </x:c>
      <x:c r="AJ4" s="86" t="b">
        <x:v>0</x:v>
      </x:c>
      <x:c r="AK4" s="81" t="str">
        <x:f>IF($E4="","",IF(AND($M4="yes",OR($N4="yes",$N4="review"),OR($O4="yes",$O4="review"),$P4="fit",OR($Q4="unique",$Q4="alias_review"),$R4&lt;&gt;"context_only"),"pass","review/block"))</x:f>
        <x:v>pass</x:v>
      </x:c>
      <x:c r="AL4" s="81" t="str">
        <x:f>IF($E4="","",IF($AK4="pass","eligible",IF(OR($M4="no",$O4="no",$P4="too_macro",$P4="too_micro",$P4="context_only",$Q4="duplicate_confirmed",$R4="context_only"),"not_eligible","review")))</x:f>
        <x:v>eligible</x:v>
      </x:c>
      <x:c r="AM4" s="81" t="str">
        <x:f>IF($E4="","",IF($C4=0,"reentry_required",IF($C4&lt;=8,"non_competitive_inclusion","competitive_selection")))</x:f>
        <x:v>non_competitive_inclusion</x:v>
      </x:c>
      <x:c r="AN4" s="82" t="n">
        <x:f>IF($E4="","",AVERAGE($U4:$X4))</x:f>
        <x:v>1.75</x:v>
      </x:c>
      <x:c r="AO4" s="82" t="n">
        <x:f>IF($E4="","",AVERAGE($S4:$T4))</x:f>
        <x:v>2</x:v>
      </x:c>
      <x:c r="AP4" s="82" t="n">
        <x:f>IF($E4="","",($AF4*0.08)+($AG4*0.08)+($AH4*0.10))</x:f>
        <x:v>0</x:v>
      </x:c>
      <x:c r="AQ4" s="82" t="n">
        <x:f>IF($E4="","",MAX(0,($AN4*0.30)+($Y4*0.20)+($Z4*0.15)+($AA4*0.15)+($AB4*0.10)+($AC4*0.10)+($AE4*0.05)-$AP4))</x:f>
        <x:v>2.2749999999999995</x:v>
      </x:c>
      <x:c r="AR4" s="81" t="str">
        <x:f>IF($E4="","",IF($AM4="competitive_selection",RANK.EQ($AQ4,$AQ$2:$AQ$201,0),""))</x:f>
      </x:c>
      <x:c r="AS4" s="81" t="str">
        <x:f>IF($E4="","",IF(AND($AM4="non_competitive_inclusion",$AL4="eligible"),"selected",""))</x:f>
        <x:v>selected</x:v>
      </x:c>
      <x:c r="AT4" s="81" t="str">
        <x:f>IF($E4="","",IF($AM4&lt;&gt;"competitive_selection","",IF(AND($AL4="eligible",$AR4&lt;=8),"selected","context/backlog")))</x:f>
      </x:c>
      <x:c r="AU4" s="81" t="str">
        <x:f>IF($E4="","",IF($AM4="reentry_required","not_selected_reentry",IF($AS4="selected","selected_for_runtime",IF($AT4="selected","selected_for_runtime",IF($AL4="review","manual_review","context_or_not_selected")))))</x:f>
        <x:v>selected_for_runtime</x:v>
      </x:c>
      <x:c r="AV4" s="81" t="n">
        <x:f>IF($E4="","",IF($AU4="selected_for_runtime",IF($AM4="competitive_selection",$AR4,COUNTIF($AU$2:AU4,"selected_for_runtime")),""))</x:f>
        <x:v>3</x:v>
      </x:c>
      <x:c r="AW4" s="81" t="str">
        <x:f>IF($E4="","",IF($AU4="selected_for_runtime",IF($AD4&gt;=2,"base_40_plus_uncertainty_probes",IF($AE4&gt;=2,"base_40_plus_exploratory_probes","base_40_standard")),"no_runtime"))</x:f>
        <x:v>base_40_standard</x:v>
      </x:c>
      <x:c r="AX4" s="81" t="str">
        <x:f>IF($E4="","",IF($AU4&lt;&gt;"selected_for_runtime","none",IF($AE4&gt;=2,"exploratoria",IF($AQ4&gt;=2.2,"alta",IF($AQ4&gt;=1.2,"media","baja")))))</x:f>
        <x:v>alta</x:v>
      </x:c>
      <x:c r="AY4" s="81" t="str">
        <x:f>IF($E4="","",IF($AJ4=TRUE,"context_with_coverage_gap",IF($AI4="review","context_requires_confirmation","context_ready")))</x:f>
        <x:v>context_ready</x:v>
      </x:c>
      <x:c r="AZ4" s="81" t="str">
        <x:f>IF($E4="","",IF($AU4&lt;&gt;"selected_for_runtime","no",IF(OR($AY4="context_with_coverage_gap",$AX4="exploratoria"),"ready_with_flags","ready")))</x:f>
        <x:v>ready</x:v>
      </x:c>
      <x:c r="BA4" s="81" t="str">
        <x:v>PM: posible proceso contenedor, actor/cliente, trigger o resultado a confirmar en Runtime.</x:v>
      </x:c>
      <x:c r="BB4" s="81" t="str">
        <x:v>MoC: posibles objetos de negocio y relaciones a confirmar; no modelar sin Runtime.</x:v>
      </x:c>
      <x:c r="BC4" s="81" t="str">
        <x:v>PF: posibles pasos, handoffs, esperas o rutas a reconstruir.</x:v>
      </x:c>
      <x:c r="BD4" s="81" t="str">
        <x:v>OLC: posibles estados/transiciones a confirmar si el objeto cambia.</x:v>
      </x:c>
      <x:c r="BE4" s="81" t="str">
        <x:v>Ejemplo v1.2: muestra selección no competitiva cuando &lt;=8 y competitiva cuando &gt;8.</x:v>
      </x:c>
    </x:row>
    <x:row r="5">
      <x:c r="A5" s="81" t="str">
        <x:v>RUN-U8-001</x:v>
      </x:c>
      <x:c r="B5" s="81" t="n">
        <x:v>6</x:v>
      </x:c>
      <x:c r="C5" s="81" t="n">
        <x:v>5</x:v>
      </x:c>
      <x:c r="D5" s="81" t="str"/>
      <x:c r="E5" s="81" t="str">
        <x:v>A004</x:v>
      </x:c>
      <x:c r="F5" s="81" t="str">
        <x:v>R-CS</x:v>
      </x:c>
      <x:c r="G5" s="81" t="str">
        <x:v>Atención</x:v>
      </x:c>
      <x:c r="H5" s="81" t="str">
        <x:v>Coordinador de pedidos</x:v>
      </x:c>
      <x:c r="I5" s="81" t="str">
        <x:v>operativo/coordinación</x:v>
      </x:c>
      <x:c r="J5" s="81" t="str">
        <x:v>coordina y escala</x:v>
      </x:c>
      <x:c r="K5" s="81" t="str">
        <x:v>Resolver reclamos de clientes</x:v>
      </x:c>
      <x:c r="L5" s="81" t="str">
        <x:v>Atender reclamos cuando el cliente reporta problemas.</x:v>
      </x:c>
      <x:c r="M5" s="81" t="str">
        <x:v>yes</x:v>
      </x:c>
      <x:c r="N5" s="81" t="str">
        <x:v>yes</x:v>
      </x:c>
      <x:c r="O5" s="81" t="str">
        <x:v>yes</x:v>
      </x:c>
      <x:c r="P5" s="81" t="str">
        <x:v>fit</x:v>
      </x:c>
      <x:c r="Q5" s="81" t="str">
        <x:v>unique</x:v>
      </x:c>
      <x:c r="R5" s="81" t="str">
        <x:v>primary_candidate</x:v>
      </x:c>
      <x:c r="S5" s="82" t="n">
        <x:v>2</x:v>
      </x:c>
      <x:c r="T5" s="82" t="n">
        <x:v>2</x:v>
      </x:c>
      <x:c r="U5" s="82" t="n">
        <x:v>3</x:v>
      </x:c>
      <x:c r="V5" s="82" t="n">
        <x:v>2</x:v>
      </x:c>
      <x:c r="W5" s="82" t="n">
        <x:v>2</x:v>
      </x:c>
      <x:c r="X5" s="82" t="n">
        <x:v>2</x:v>
      </x:c>
      <x:c r="Y5" s="82" t="n">
        <x:v>2</x:v>
      </x:c>
      <x:c r="Z5" s="82" t="n">
        <x:v>2</x:v>
      </x:c>
      <x:c r="AA5" s="82" t="n">
        <x:v>2</x:v>
      </x:c>
      <x:c r="AB5" s="82" t="n">
        <x:v>3</x:v>
      </x:c>
      <x:c r="AC5" s="82" t="n">
        <x:v>3</x:v>
      </x:c>
      <x:c r="AD5" s="82" t="n">
        <x:v>2</x:v>
      </x:c>
      <x:c r="AE5" s="82" t="n">
        <x:v>2</x:v>
      </x:c>
      <x:c r="AF5" s="82" t="n">
        <x:v>0</x:v>
      </x:c>
      <x:c r="AG5" s="82" t="n">
        <x:v>0</x:v>
      </x:c>
      <x:c r="AH5" s="82" t="n">
        <x:v>0</x:v>
      </x:c>
      <x:c r="AI5" s="81" t="str">
        <x:v>ok</x:v>
      </x:c>
      <x:c r="AJ5" s="86" t="b">
        <x:v>0</x:v>
      </x:c>
      <x:c r="AK5" s="81" t="str">
        <x:f>IF($E5="","",IF(AND($M5="yes",OR($N5="yes",$N5="review"),OR($O5="yes",$O5="review"),$P5="fit",OR($Q5="unique",$Q5="alias_review"),$R5&lt;&gt;"context_only"),"pass","review/block"))</x:f>
        <x:v>pass</x:v>
      </x:c>
      <x:c r="AL5" s="81" t="str">
        <x:f>IF($E5="","",IF($AK5="pass","eligible",IF(OR($M5="no",$O5="no",$P5="too_macro",$P5="too_micro",$P5="context_only",$Q5="duplicate_confirmed",$R5="context_only"),"not_eligible","review")))</x:f>
        <x:v>eligible</x:v>
      </x:c>
      <x:c r="AM5" s="81" t="str">
        <x:f>IF($E5="","",IF($C5=0,"reentry_required",IF($C5&lt;=8,"non_competitive_inclusion","competitive_selection")))</x:f>
        <x:v>non_competitive_inclusion</x:v>
      </x:c>
      <x:c r="AN5" s="82" t="n">
        <x:f>IF($E5="","",AVERAGE($U5:$X5))</x:f>
        <x:v>2.25</x:v>
      </x:c>
      <x:c r="AO5" s="82" t="n">
        <x:f>IF($E5="","",AVERAGE($S5:$T5))</x:f>
        <x:v>2</x:v>
      </x:c>
      <x:c r="AP5" s="82" t="n">
        <x:f>IF($E5="","",($AF5*0.08)+($AG5*0.08)+($AH5*0.10))</x:f>
        <x:v>0</x:v>
      </x:c>
      <x:c r="AQ5" s="82" t="n">
        <x:f>IF($E5="","",MAX(0,($AN5*0.30)+($Y5*0.20)+($Z5*0.15)+($AA5*0.15)+($AB5*0.10)+($AC5*0.10)+($AE5*0.05)-$AP5))</x:f>
        <x:v>2.3750000000000004</x:v>
      </x:c>
      <x:c r="AR5" s="81" t="str">
        <x:f>IF($E5="","",IF($AM5="competitive_selection",RANK.EQ($AQ5,$AQ$2:$AQ$201,0),""))</x:f>
      </x:c>
      <x:c r="AS5" s="81" t="str">
        <x:f>IF($E5="","",IF(AND($AM5="non_competitive_inclusion",$AL5="eligible"),"selected",""))</x:f>
        <x:v>selected</x:v>
      </x:c>
      <x:c r="AT5" s="81" t="str">
        <x:f>IF($E5="","",IF($AM5&lt;&gt;"competitive_selection","",IF(AND($AL5="eligible",$AR5&lt;=8),"selected","context/backlog")))</x:f>
      </x:c>
      <x:c r="AU5" s="81" t="str">
        <x:f>IF($E5="","",IF($AM5="reentry_required","not_selected_reentry",IF($AS5="selected","selected_for_runtime",IF($AT5="selected","selected_for_runtime",IF($AL5="review","manual_review","context_or_not_selected")))))</x:f>
        <x:v>selected_for_runtime</x:v>
      </x:c>
      <x:c r="AV5" s="81" t="n">
        <x:f>IF($E5="","",IF($AU5="selected_for_runtime",IF($AM5="competitive_selection",$AR5,COUNTIF($AU$2:AU5,"selected_for_runtime")),""))</x:f>
        <x:v>4</x:v>
      </x:c>
      <x:c r="AW5" s="81" t="str">
        <x:f>IF($E5="","",IF($AU5="selected_for_runtime",IF($AD5&gt;=2,"base_40_plus_uncertainty_probes",IF($AE5&gt;=2,"base_40_plus_exploratory_probes","base_40_standard")),"no_runtime"))</x:f>
        <x:v>base_40_plus_uncertainty_probes</x:v>
      </x:c>
      <x:c r="AX5" s="81" t="str">
        <x:f>IF($E5="","",IF($AU5&lt;&gt;"selected_for_runtime","none",IF($AE5&gt;=2,"exploratoria",IF($AQ5&gt;=2.2,"alta",IF($AQ5&gt;=1.2,"media","baja")))))</x:f>
        <x:v>exploratoria</x:v>
      </x:c>
      <x:c r="AY5" s="81" t="str">
        <x:f>IF($E5="","",IF($AJ5=TRUE,"context_with_coverage_gap",IF($AI5="review","context_requires_confirmation","context_ready")))</x:f>
        <x:v>context_ready</x:v>
      </x:c>
      <x:c r="AZ5" s="81" t="str">
        <x:f>IF($E5="","",IF($AU5&lt;&gt;"selected_for_runtime","no",IF(OR($AY5="context_with_coverage_gap",$AX5="exploratoria"),"ready_with_flags","ready")))</x:f>
        <x:v>ready_with_flags</x:v>
      </x:c>
      <x:c r="BA5" s="81" t="str">
        <x:v>PM: posible proceso contenedor, actor/cliente, trigger o resultado a confirmar en Runtime.</x:v>
      </x:c>
      <x:c r="BB5" s="81" t="str">
        <x:v>MoC: posibles objetos de negocio y relaciones a confirmar; no modelar sin Runtime.</x:v>
      </x:c>
      <x:c r="BC5" s="81" t="str">
        <x:v>PF: posibles pasos, handoffs, esperas o rutas a reconstruir.</x:v>
      </x:c>
      <x:c r="BD5" s="81" t="str">
        <x:v>OLC: posibles estados/transiciones a confirmar si el objeto cambia.</x:v>
      </x:c>
      <x:c r="BE5" s="81" t="str">
        <x:v>Ejemplo v1.2: muestra selección no competitiva cuando &lt;=8 y competitiva cuando &gt;8.</x:v>
      </x:c>
    </x:row>
    <x:row r="6">
      <x:c r="A6" s="81" t="str">
        <x:v>RUN-U8-001</x:v>
      </x:c>
      <x:c r="B6" s="81" t="n">
        <x:v>6</x:v>
      </x:c>
      <x:c r="C6" s="81" t="n">
        <x:v>5</x:v>
      </x:c>
      <x:c r="D6" s="81" t="str"/>
      <x:c r="E6" s="81" t="str">
        <x:v>A005</x:v>
      </x:c>
      <x:c r="F6" s="81" t="str">
        <x:v>R-ORD</x:v>
      </x:c>
      <x:c r="G6" s="81" t="str">
        <x:v>Operaciones</x:v>
      </x:c>
      <x:c r="H6" s="81" t="str">
        <x:v>Coordinador de pedidos</x:v>
      </x:c>
      <x:c r="I6" s="81" t="str">
        <x:v>operativo/coordinación</x:v>
      </x:c>
      <x:c r="J6" s="81" t="str">
        <x:v>coordina y escala</x:v>
      </x:c>
      <x:c r="K6" s="81" t="str">
        <x:v>Actualizar estado del pedido</x:v>
      </x:c>
      <x:c r="L6" s="81" t="str">
        <x:v>Actualizar el estado visible para otros equipos.</x:v>
      </x:c>
      <x:c r="M6" s="81" t="str">
        <x:v>yes</x:v>
      </x:c>
      <x:c r="N6" s="81" t="str">
        <x:v>yes</x:v>
      </x:c>
      <x:c r="O6" s="81" t="str">
        <x:v>yes</x:v>
      </x:c>
      <x:c r="P6" s="81" t="str">
        <x:v>fit</x:v>
      </x:c>
      <x:c r="Q6" s="81" t="str">
        <x:v>unique</x:v>
      </x:c>
      <x:c r="R6" s="81" t="str">
        <x:v>primary_candidate</x:v>
      </x:c>
      <x:c r="S6" s="82" t="n">
        <x:v>2</x:v>
      </x:c>
      <x:c r="T6" s="82" t="n">
        <x:v>2</x:v>
      </x:c>
      <x:c r="U6" s="82" t="n">
        <x:v>1</x:v>
      </x:c>
      <x:c r="V6" s="82" t="n">
        <x:v>2</x:v>
      </x:c>
      <x:c r="W6" s="82" t="n">
        <x:v>2</x:v>
      </x:c>
      <x:c r="X6" s="82" t="n">
        <x:v>3</x:v>
      </x:c>
      <x:c r="Y6" s="82" t="n">
        <x:v>2</x:v>
      </x:c>
      <x:c r="Z6" s="82" t="n">
        <x:v>1</x:v>
      </x:c>
      <x:c r="AA6" s="82" t="n">
        <x:v>2</x:v>
      </x:c>
      <x:c r="AB6" s="82" t="n">
        <x:v>1</x:v>
      </x:c>
      <x:c r="AC6" s="82" t="n">
        <x:v>2</x:v>
      </x:c>
      <x:c r="AD6" s="82" t="n">
        <x:v>1</x:v>
      </x:c>
      <x:c r="AE6" s="82" t="n">
        <x:v>1</x:v>
      </x:c>
      <x:c r="AF6" s="82" t="n">
        <x:v>0</x:v>
      </x:c>
      <x:c r="AG6" s="82" t="n">
        <x:v>0</x:v>
      </x:c>
      <x:c r="AH6" s="82" t="n">
        <x:v>0</x:v>
      </x:c>
      <x:c r="AI6" s="81" t="str">
        <x:v>ok</x:v>
      </x:c>
      <x:c r="AJ6" s="86" t="b">
        <x:v>0</x:v>
      </x:c>
      <x:c r="AK6" s="81" t="str">
        <x:f>IF($E6="","",IF(AND($M6="yes",OR($N6="yes",$N6="review"),OR($O6="yes",$O6="review"),$P6="fit",OR($Q6="unique",$Q6="alias_review"),$R6&lt;&gt;"context_only"),"pass","review/block"))</x:f>
        <x:v>pass</x:v>
      </x:c>
      <x:c r="AL6" s="81" t="str">
        <x:f>IF($E6="","",IF($AK6="pass","eligible",IF(OR($M6="no",$O6="no",$P6="too_macro",$P6="too_micro",$P6="context_only",$Q6="duplicate_confirmed",$R6="context_only"),"not_eligible","review")))</x:f>
        <x:v>eligible</x:v>
      </x:c>
      <x:c r="AM6" s="81" t="str">
        <x:f>IF($E6="","",IF($C6=0,"reentry_required",IF($C6&lt;=8,"non_competitive_inclusion","competitive_selection")))</x:f>
        <x:v>non_competitive_inclusion</x:v>
      </x:c>
      <x:c r="AN6" s="82" t="n">
        <x:f>IF($E6="","",AVERAGE($U6:$X6))</x:f>
        <x:v>2</x:v>
      </x:c>
      <x:c r="AO6" s="82" t="n">
        <x:f>IF($E6="","",AVERAGE($S6:$T6))</x:f>
        <x:v>2</x:v>
      </x:c>
      <x:c r="AP6" s="82" t="n">
        <x:f>IF($E6="","",($AF6*0.08)+($AG6*0.08)+($AH6*0.10))</x:f>
        <x:v>0</x:v>
      </x:c>
      <x:c r="AQ6" s="82" t="n">
        <x:f>IF($E6="","",MAX(0,($AN6*0.30)+($Y6*0.20)+($Z6*0.15)+($AA6*0.15)+($AB6*0.10)+($AC6*0.10)+($AE6*0.05)-$AP6))</x:f>
        <x:v>1.8</x:v>
      </x:c>
      <x:c r="AR6" s="81" t="str">
        <x:f>IF($E6="","",IF($AM6="competitive_selection",RANK.EQ($AQ6,$AQ$2:$AQ$201,0),""))</x:f>
      </x:c>
      <x:c r="AS6" s="81" t="str">
        <x:f>IF($E6="","",IF(AND($AM6="non_competitive_inclusion",$AL6="eligible"),"selected",""))</x:f>
        <x:v>selected</x:v>
      </x:c>
      <x:c r="AT6" s="81" t="str">
        <x:f>IF($E6="","",IF($AM6&lt;&gt;"competitive_selection","",IF(AND($AL6="eligible",$AR6&lt;=8),"selected","context/backlog")))</x:f>
      </x:c>
      <x:c r="AU6" s="81" t="str">
        <x:f>IF($E6="","",IF($AM6="reentry_required","not_selected_reentry",IF($AS6="selected","selected_for_runtime",IF($AT6="selected","selected_for_runtime",IF($AL6="review","manual_review","context_or_not_selected")))))</x:f>
        <x:v>selected_for_runtime</x:v>
      </x:c>
      <x:c r="AV6" s="81" t="n">
        <x:f>IF($E6="","",IF($AU6="selected_for_runtime",IF($AM6="competitive_selection",$AR6,COUNTIF($AU$2:AU6,"selected_for_runtime")),""))</x:f>
        <x:v>5</x:v>
      </x:c>
      <x:c r="AW6" s="81" t="str">
        <x:f>IF($E6="","",IF($AU6="selected_for_runtime",IF($AD6&gt;=2,"base_40_plus_uncertainty_probes",IF($AE6&gt;=2,"base_40_plus_exploratory_probes","base_40_standard")),"no_runtime"))</x:f>
        <x:v>base_40_standard</x:v>
      </x:c>
      <x:c r="AX6" s="81" t="str">
        <x:f>IF($E6="","",IF($AU6&lt;&gt;"selected_for_runtime","none",IF($AE6&gt;=2,"exploratoria",IF($AQ6&gt;=2.2,"alta",IF($AQ6&gt;=1.2,"media","baja")))))</x:f>
        <x:v>media</x:v>
      </x:c>
      <x:c r="AY6" s="81" t="str">
        <x:f>IF($E6="","",IF($AJ6=TRUE,"context_with_coverage_gap",IF($AI6="review","context_requires_confirmation","context_ready")))</x:f>
        <x:v>context_ready</x:v>
      </x:c>
      <x:c r="AZ6" s="81" t="str">
        <x:f>IF($E6="","",IF($AU6&lt;&gt;"selected_for_runtime","no",IF(OR($AY6="context_with_coverage_gap",$AX6="exploratoria"),"ready_with_flags","ready")))</x:f>
        <x:v>ready</x:v>
      </x:c>
      <x:c r="BA6" s="81" t="str">
        <x:v>PM: posible proceso contenedor, actor/cliente, trigger o resultado a confirmar en Runtime.</x:v>
      </x:c>
      <x:c r="BB6" s="81" t="str">
        <x:v>MoC: posibles objetos de negocio y relaciones a confirmar; no modelar sin Runtime.</x:v>
      </x:c>
      <x:c r="BC6" s="81" t="str">
        <x:v>PF: posibles pasos, handoffs, esperas o rutas a reconstruir.</x:v>
      </x:c>
      <x:c r="BD6" s="81" t="str">
        <x:v>OLC: posibles estados/transiciones a confirmar si el objeto cambia.</x:v>
      </x:c>
      <x:c r="BE6" s="81" t="str">
        <x:v>Ejemplo v1.2: muestra selección no competitiva cuando &lt;=8 y competitiva cuando &gt;8.</x:v>
      </x:c>
    </x:row>
    <x:row r="7">
      <x:c r="A7" s="81" t="str">
        <x:v>RUN-U8-001</x:v>
      </x:c>
      <x:c r="B7" s="81" t="n">
        <x:v>6</x:v>
      </x:c>
      <x:c r="C7" s="81" t="n">
        <x:v>5</x:v>
      </x:c>
      <x:c r="D7" s="81" t="str"/>
      <x:c r="E7" s="81" t="str">
        <x:v>A006</x:v>
      </x:c>
      <x:c r="F7" s="81" t="str">
        <x:v>R-ORD</x:v>
      </x:c>
      <x:c r="G7" s="81" t="str">
        <x:v>Operaciones</x:v>
      </x:c>
      <x:c r="H7" s="81" t="str">
        <x:v>Coordinador de pedidos</x:v>
      </x:c>
      <x:c r="I7" s="81" t="str">
        <x:v>operativo</x:v>
      </x:c>
      <x:c r="J7" s="81" t="str">
        <x:v>ejecuta</x:v>
      </x:c>
      <x:c r="K7" s="81" t="str">
        <x:v>Abrir Excel</x:v>
      </x:c>
      <x:c r="L7" s="81" t="str">
        <x:v>Abrir el archivo donde se revisan pedidos.</x:v>
      </x:c>
      <x:c r="M7" s="81" t="str">
        <x:v>yes</x:v>
      </x:c>
      <x:c r="N7" s="81" t="str">
        <x:v>yes</x:v>
      </x:c>
      <x:c r="O7" s="81" t="str">
        <x:v>yes</x:v>
      </x:c>
      <x:c r="P7" s="81" t="str">
        <x:v>too_micro</x:v>
      </x:c>
      <x:c r="Q7" s="81" t="str">
        <x:v>unique</x:v>
      </x:c>
      <x:c r="R7" s="81" t="str">
        <x:v>context_only</x:v>
      </x:c>
      <x:c r="S7" s="82" t="n">
        <x:v>1</x:v>
      </x:c>
      <x:c r="T7" s="82" t="n">
        <x:v>2</x:v>
      </x:c>
      <x:c r="U7" s="82" t="n">
        <x:v>0</x:v>
      </x:c>
      <x:c r="V7" s="82" t="n">
        <x:v>0</x:v>
      </x:c>
      <x:c r="W7" s="82" t="n">
        <x:v>1</x:v>
      </x:c>
      <x:c r="X7" s="82" t="n">
        <x:v>0</x:v>
      </x:c>
      <x:c r="Y7" s="82" t="n">
        <x:v>0</x:v>
      </x:c>
      <x:c r="Z7" s="82" t="n">
        <x:v>0</x:v>
      </x:c>
      <x:c r="AA7" s="82" t="n">
        <x:v>0</x:v>
      </x:c>
      <x:c r="AB7" s="82" t="n">
        <x:v>0</x:v>
      </x:c>
      <x:c r="AC7" s="82" t="n">
        <x:v>0</x:v>
      </x:c>
      <x:c r="AD7" s="82" t="n">
        <x:v>1</x:v>
      </x:c>
      <x:c r="AE7" s="82" t="n">
        <x:v>1</x:v>
      </x:c>
      <x:c r="AF7" s="82" t="n">
        <x:v>0</x:v>
      </x:c>
      <x:c r="AG7" s="82" t="n">
        <x:v>3</x:v>
      </x:c>
      <x:c r="AH7" s="82" t="n">
        <x:v>0</x:v>
      </x:c>
      <x:c r="AI7" s="81" t="str">
        <x:v>ok</x:v>
      </x:c>
      <x:c r="AJ7" s="86" t="b">
        <x:v>0</x:v>
      </x:c>
      <x:c r="AK7" s="81" t="str">
        <x:f>IF($E7="","",IF(AND($M7="yes",OR($N7="yes",$N7="review"),OR($O7="yes",$O7="review"),$P7="fit",OR($Q7="unique",$Q7="alias_review"),$R7&lt;&gt;"context_only"),"pass","review/block"))</x:f>
        <x:v>review/block</x:v>
      </x:c>
      <x:c r="AL7" s="81" t="str">
        <x:f>IF($E7="","",IF($AK7="pass","eligible",IF(OR($M7="no",$O7="no",$P7="too_macro",$P7="too_micro",$P7="context_only",$Q7="duplicate_confirmed",$R7="context_only"),"not_eligible","review")))</x:f>
        <x:v>not_eligible</x:v>
      </x:c>
      <x:c r="AM7" s="81" t="str">
        <x:f>IF($E7="","",IF($C7=0,"reentry_required",IF($C7&lt;=8,"non_competitive_inclusion","competitive_selection")))</x:f>
        <x:v>non_competitive_inclusion</x:v>
      </x:c>
      <x:c r="AN7" s="82" t="n">
        <x:f>IF($E7="","",AVERAGE($U7:$X7))</x:f>
        <x:v>0.25</x:v>
      </x:c>
      <x:c r="AO7" s="82" t="n">
        <x:f>IF($E7="","",AVERAGE($S7:$T7))</x:f>
        <x:v>1.5</x:v>
      </x:c>
      <x:c r="AP7" s="82" t="n">
        <x:f>IF($E7="","",($AF7*0.08)+($AG7*0.08)+($AH7*0.10))</x:f>
        <x:v>0.24</x:v>
      </x:c>
      <x:c r="AQ7" s="82" t="n">
        <x:f>IF($E7="","",MAX(0,($AN7*0.30)+($Y7*0.20)+($Z7*0.15)+($AA7*0.15)+($AB7*0.10)+($AC7*0.10)+($AE7*0.05)-$AP7))</x:f>
        <x:v>0</x:v>
      </x:c>
      <x:c r="AR7" s="81" t="str">
        <x:f>IF($E7="","",IF($AM7="competitive_selection",RANK.EQ($AQ7,$AQ$2:$AQ$201,0),""))</x:f>
      </x:c>
      <x:c r="AS7" s="81" t="str">
        <x:f>IF($E7="","",IF(AND($AM7="non_competitive_inclusion",$AL7="eligible"),"selected",""))</x:f>
      </x:c>
      <x:c r="AT7" s="81" t="str">
        <x:f>IF($E7="","",IF($AM7&lt;&gt;"competitive_selection","",IF(AND($AL7="eligible",$AR7&lt;=8),"selected","context/backlog")))</x:f>
      </x:c>
      <x:c r="AU7" s="81" t="str">
        <x:f>IF($E7="","",IF($AM7="reentry_required","not_selected_reentry",IF($AS7="selected","selected_for_runtime",IF($AT7="selected","selected_for_runtime",IF($AL7="review","manual_review","context_or_not_selected")))))</x:f>
        <x:v>context_or_not_selected</x:v>
      </x:c>
      <x:c r="AV7" s="81" t="str">
        <x:f>IF($E7="","",IF($AU7="selected_for_runtime",IF($AM7="competitive_selection",$AR7,COUNTIF($AU$2:AU7,"selected_for_runtime")),""))</x:f>
      </x:c>
      <x:c r="AW7" s="81" t="str">
        <x:f>IF($E7="","",IF($AU7="selected_for_runtime",IF($AD7&gt;=2,"base_40_plus_uncertainty_probes",IF($AE7&gt;=2,"base_40_plus_exploratory_probes","base_40_standard")),"no_runtime"))</x:f>
        <x:v>no_runtime</x:v>
      </x:c>
      <x:c r="AX7" s="81" t="str">
        <x:f>IF($E7="","",IF($AU7&lt;&gt;"selected_for_runtime","none",IF($AE7&gt;=2,"exploratoria",IF($AQ7&gt;=2.2,"alta",IF($AQ7&gt;=1.2,"media","baja")))))</x:f>
        <x:v>none</x:v>
      </x:c>
      <x:c r="AY7" s="81" t="str">
        <x:f>IF($E7="","",IF($AJ7=TRUE,"context_with_coverage_gap",IF($AI7="review","context_requires_confirmation","context_ready")))</x:f>
        <x:v>context_ready</x:v>
      </x:c>
      <x:c r="AZ7" s="81" t="str">
        <x:f>IF($E7="","",IF($AU7&lt;&gt;"selected_for_runtime","no",IF(OR($AY7="context_with_coverage_gap",$AX7="exploratoria"),"ready_with_flags","ready")))</x:f>
        <x:v>no</x:v>
      </x:c>
      <x:c r="BA7" s="81" t="str">
        <x:v>PM: posible proceso contenedor, actor/cliente, trigger o resultado a confirmar en Runtime.</x:v>
      </x:c>
      <x:c r="BB7" s="81" t="str">
        <x:v>MoC: posibles objetos de negocio y relaciones a confirmar; no modelar sin Runtime.</x:v>
      </x:c>
      <x:c r="BC7" s="81" t="str">
        <x:v>PF: posibles pasos, handoffs, esperas o rutas a reconstruir.</x:v>
      </x:c>
      <x:c r="BD7" s="81" t="str">
        <x:v>OLC: posibles estados/transiciones a confirmar si el objeto cambia.</x:v>
      </x:c>
      <x:c r="BE7" s="81" t="str">
        <x:v>Ejemplo v1.2: muestra selección no competitiva cuando &lt;=8 y competitiva cuando &gt;8.</x:v>
      </x:c>
    </x:row>
    <x:row r="8">
      <x:c r="A8" s="81" t="str">
        <x:v>RUN-O8-001</x:v>
      </x:c>
      <x:c r="B8" s="81" t="n">
        <x:v>10</x:v>
      </x:c>
      <x:c r="C8" s="81" t="n">
        <x:v>10</x:v>
      </x:c>
      <x:c r="D8" s="81" t="str"/>
      <x:c r="E8" s="81" t="str">
        <x:v>B001</x:v>
      </x:c>
      <x:c r="F8" s="81" t="str">
        <x:v>R-SAL</x:v>
      </x:c>
      <x:c r="G8" s="81" t="str">
        <x:v>Ventas</x:v>
      </x:c>
      <x:c r="H8" s="81" t="str">
        <x:v>Ejecutivo comercial</x:v>
      </x:c>
      <x:c r="I8" s="81" t="str">
        <x:v>operativo</x:v>
      </x:c>
      <x:c r="J8" s="81" t="str">
        <x:v>gestiona casos</x:v>
      </x:c>
      <x:c r="K8" s="81" t="str">
        <x:v>Registrar solicitud de cliente</x:v>
      </x:c>
      <x:c r="L8" s="81" t="str">
        <x:v>Registrar solicitud inicial del cliente.</x:v>
      </x:c>
      <x:c r="M8" s="81" t="str">
        <x:v>yes</x:v>
      </x:c>
      <x:c r="N8" s="81" t="str">
        <x:v>yes</x:v>
      </x:c>
      <x:c r="O8" s="81" t="str">
        <x:v>yes</x:v>
      </x:c>
      <x:c r="P8" s="81" t="str">
        <x:v>fit</x:v>
      </x:c>
      <x:c r="Q8" s="81" t="str">
        <x:v>unique</x:v>
      </x:c>
      <x:c r="R8" s="81" t="str">
        <x:v>primary_candidate</x:v>
      </x:c>
      <x:c r="S8" s="82" t="n">
        <x:v>2</x:v>
      </x:c>
      <x:c r="T8" s="82" t="n">
        <x:v>2</x:v>
      </x:c>
      <x:c r="U8" s="82" t="n">
        <x:v>3</x:v>
      </x:c>
      <x:c r="V8" s="82" t="n">
        <x:v>2</x:v>
      </x:c>
      <x:c r="W8" s="82" t="n">
        <x:v>2</x:v>
      </x:c>
      <x:c r="X8" s="82" t="n">
        <x:v>2</x:v>
      </x:c>
      <x:c r="Y8" s="82" t="n">
        <x:v>3</x:v>
      </x:c>
      <x:c r="Z8" s="82" t="n">
        <x:v>2</x:v>
      </x:c>
      <x:c r="AA8" s="82" t="n">
        <x:v>2</x:v>
      </x:c>
      <x:c r="AB8" s="82" t="n">
        <x:v>1</x:v>
      </x:c>
      <x:c r="AC8" s="82" t="n">
        <x:v>3</x:v>
      </x:c>
      <x:c r="AD8" s="82" t="n">
        <x:v>1</x:v>
      </x:c>
      <x:c r="AE8" s="82" t="n">
        <x:v>1</x:v>
      </x:c>
      <x:c r="AF8" s="82" t="n">
        <x:v>0</x:v>
      </x:c>
      <x:c r="AG8" s="82" t="n">
        <x:v>0</x:v>
      </x:c>
      <x:c r="AH8" s="82" t="n">
        <x:v>0</x:v>
      </x:c>
      <x:c r="AI8" s="81" t="str">
        <x:v>ok</x:v>
      </x:c>
      <x:c r="AJ8" s="86" t="b">
        <x:v>0</x:v>
      </x:c>
      <x:c r="AK8" s="81" t="str">
        <x:f>IF($E8="","",IF(AND($M8="yes",OR($N8="yes",$N8="review"),OR($O8="yes",$O8="review"),$P8="fit",OR($Q8="unique",$Q8="alias_review"),$R8&lt;&gt;"context_only"),"pass","review/block"))</x:f>
        <x:v>pass</x:v>
      </x:c>
      <x:c r="AL8" s="81" t="str">
        <x:f>IF($E8="","",IF($AK8="pass","eligible",IF(OR($M8="no",$O8="no",$P8="too_macro",$P8="too_micro",$P8="context_only",$Q8="duplicate_confirmed",$R8="context_only"),"not_eligible","review")))</x:f>
        <x:v>eligible</x:v>
      </x:c>
      <x:c r="AM8" s="81" t="str">
        <x:f>IF($E8="","",IF($C8=0,"reentry_required",IF($C8&lt;=8,"non_competitive_inclusion","competitive_selection")))</x:f>
        <x:v>competitive_selection</x:v>
      </x:c>
      <x:c r="AN8" s="82" t="n">
        <x:f>IF($E8="","",AVERAGE($U8:$X8))</x:f>
        <x:v>2.25</x:v>
      </x:c>
      <x:c r="AO8" s="82" t="n">
        <x:f>IF($E8="","",AVERAGE($S8:$T8))</x:f>
        <x:v>2</x:v>
      </x:c>
      <x:c r="AP8" s="82" t="n">
        <x:f>IF($E8="","",($AF8*0.08)+($AG8*0.08)+($AH8*0.10))</x:f>
        <x:v>0</x:v>
      </x:c>
      <x:c r="AQ8" s="82" t="n">
        <x:f>IF($E8="","",MAX(0,($AN8*0.30)+($Y8*0.20)+($Z8*0.15)+($AA8*0.15)+($AB8*0.10)+($AC8*0.10)+($AE8*0.05)-$AP8))</x:f>
        <x:v>2.325</x:v>
      </x:c>
      <x:c r="AR8" s="81" t="n">
        <x:f>IF($E8="","",IF($AM8="competitive_selection",RANK.EQ($AQ8,$AQ$2:$AQ$201,0),""))</x:f>
        <x:v>6</x:v>
      </x:c>
      <x:c r="AS8" s="81" t="str">
        <x:f>IF($E8="","",IF(AND($AM8="non_competitive_inclusion",$AL8="eligible"),"selected",""))</x:f>
      </x:c>
      <x:c r="AT8" s="81" t="str">
        <x:f>IF($E8="","",IF($AM8&lt;&gt;"competitive_selection","",IF(AND($AL8="eligible",$AR8&lt;=8),"selected","context/backlog")))</x:f>
        <x:v>selected</x:v>
      </x:c>
      <x:c r="AU8" s="81" t="str">
        <x:f>IF($E8="","",IF($AM8="reentry_required","not_selected_reentry",IF($AS8="selected","selected_for_runtime",IF($AT8="selected","selected_for_runtime",IF($AL8="review","manual_review","context_or_not_selected")))))</x:f>
        <x:v>selected_for_runtime</x:v>
      </x:c>
      <x:c r="AV8" s="81" t="n">
        <x:f>IF($E8="","",IF($AU8="selected_for_runtime",IF($AM8="competitive_selection",$AR8,COUNTIF($AU$2:AU8,"selected_for_runtime")),""))</x:f>
        <x:v>6</x:v>
      </x:c>
      <x:c r="AW8" s="81" t="str">
        <x:f>IF($E8="","",IF($AU8="selected_for_runtime",IF($AD8&gt;=2,"base_40_plus_uncertainty_probes",IF($AE8&gt;=2,"base_40_plus_exploratory_probes","base_40_standard")),"no_runtime"))</x:f>
        <x:v>base_40_standard</x:v>
      </x:c>
      <x:c r="AX8" s="81" t="str">
        <x:f>IF($E8="","",IF($AU8&lt;&gt;"selected_for_runtime","none",IF($AE8&gt;=2,"exploratoria",IF($AQ8&gt;=2.2,"alta",IF($AQ8&gt;=1.2,"media","baja")))))</x:f>
        <x:v>alta</x:v>
      </x:c>
      <x:c r="AY8" s="81" t="str">
        <x:f>IF($E8="","",IF($AJ8=TRUE,"context_with_coverage_gap",IF($AI8="review","context_requires_confirmation","context_ready")))</x:f>
        <x:v>context_ready</x:v>
      </x:c>
      <x:c r="AZ8" s="81" t="str">
        <x:f>IF($E8="","",IF($AU8&lt;&gt;"selected_for_runtime","no",IF(OR($AY8="context_with_coverage_gap",$AX8="exploratoria"),"ready_with_flags","ready")))</x:f>
        <x:v>ready</x:v>
      </x:c>
      <x:c r="BA8" s="81" t="str">
        <x:v>PM: posible proceso contenedor, actor/cliente, trigger o resultado a confirmar en Runtime.</x:v>
      </x:c>
      <x:c r="BB8" s="81" t="str">
        <x:v>MoC: posibles objetos de negocio y relaciones a confirmar; no modelar sin Runtime.</x:v>
      </x:c>
      <x:c r="BC8" s="81" t="str">
        <x:v>PF: posibles pasos, handoffs, esperas o rutas a reconstruir.</x:v>
      </x:c>
      <x:c r="BD8" s="81" t="str">
        <x:v>OLC: posibles estados/transiciones a confirmar si el objeto cambia.</x:v>
      </x:c>
      <x:c r="BE8" s="81" t="str">
        <x:v>Ejemplo v1.2: muestra selección no competitiva cuando &lt;=8 y competitiva cuando &gt;8.</x:v>
      </x:c>
    </x:row>
    <x:row r="9">
      <x:c r="A9" s="81" t="str">
        <x:v>RUN-O8-001</x:v>
      </x:c>
      <x:c r="B9" s="81" t="n">
        <x:v>10</x:v>
      </x:c>
      <x:c r="C9" s="81" t="n">
        <x:v>10</x:v>
      </x:c>
      <x:c r="D9" s="81" t="str"/>
      <x:c r="E9" s="81" t="str">
        <x:v>B002</x:v>
      </x:c>
      <x:c r="F9" s="81" t="str">
        <x:v>R-SAL</x:v>
      </x:c>
      <x:c r="G9" s="81" t="str">
        <x:v>Ventas</x:v>
      </x:c>
      <x:c r="H9" s="81" t="str">
        <x:v>Ejecutivo comercial</x:v>
      </x:c>
      <x:c r="I9" s="81" t="str">
        <x:v>operativo</x:v>
      </x:c>
      <x:c r="J9" s="81" t="str">
        <x:v>gestiona casos</x:v>
      </x:c>
      <x:c r="K9" s="81" t="str">
        <x:v>Validar datos del cliente</x:v>
      </x:c>
      <x:c r="L9" s="81" t="str">
        <x:v>Verificar datos obligatorios antes de avanzar.</x:v>
      </x:c>
      <x:c r="M9" s="81" t="str">
        <x:v>yes</x:v>
      </x:c>
      <x:c r="N9" s="81" t="str">
        <x:v>yes</x:v>
      </x:c>
      <x:c r="O9" s="81" t="str">
        <x:v>yes</x:v>
      </x:c>
      <x:c r="P9" s="81" t="str">
        <x:v>fit</x:v>
      </x:c>
      <x:c r="Q9" s="81" t="str">
        <x:v>unique</x:v>
      </x:c>
      <x:c r="R9" s="81" t="str">
        <x:v>primary_candidate</x:v>
      </x:c>
      <x:c r="S9" s="82" t="n">
        <x:v>2</x:v>
      </x:c>
      <x:c r="T9" s="82" t="n">
        <x:v>2</x:v>
      </x:c>
      <x:c r="U9" s="82" t="n">
        <x:v>1</x:v>
      </x:c>
      <x:c r="V9" s="82" t="n">
        <x:v>3</x:v>
      </x:c>
      <x:c r="W9" s="82" t="n">
        <x:v>2</x:v>
      </x:c>
      <x:c r="X9" s="82" t="n">
        <x:v>2</x:v>
      </x:c>
      <x:c r="Y9" s="82" t="n">
        <x:v>2</x:v>
      </x:c>
      <x:c r="Z9" s="82" t="n">
        <x:v>1</x:v>
      </x:c>
      <x:c r="AA9" s="82" t="n">
        <x:v>2</x:v>
      </x:c>
      <x:c r="AB9" s="82" t="n">
        <x:v>1</x:v>
      </x:c>
      <x:c r="AC9" s="82" t="n">
        <x:v>2</x:v>
      </x:c>
      <x:c r="AD9" s="82" t="n">
        <x:v>1</x:v>
      </x:c>
      <x:c r="AE9" s="82" t="n">
        <x:v>1</x:v>
      </x:c>
      <x:c r="AF9" s="82" t="n">
        <x:v>0</x:v>
      </x:c>
      <x:c r="AG9" s="82" t="n">
        <x:v>0</x:v>
      </x:c>
      <x:c r="AH9" s="82" t="n">
        <x:v>0</x:v>
      </x:c>
      <x:c r="AI9" s="81" t="str">
        <x:v>ok</x:v>
      </x:c>
      <x:c r="AJ9" s="86" t="b">
        <x:v>0</x:v>
      </x:c>
      <x:c r="AK9" s="81" t="str">
        <x:f>IF($E9="","",IF(AND($M9="yes",OR($N9="yes",$N9="review"),OR($O9="yes",$O9="review"),$P9="fit",OR($Q9="unique",$Q9="alias_review"),$R9&lt;&gt;"context_only"),"pass","review/block"))</x:f>
        <x:v>pass</x:v>
      </x:c>
      <x:c r="AL9" s="81" t="str">
        <x:f>IF($E9="","",IF($AK9="pass","eligible",IF(OR($M9="no",$O9="no",$P9="too_macro",$P9="too_micro",$P9="context_only",$Q9="duplicate_confirmed",$R9="context_only"),"not_eligible","review")))</x:f>
        <x:v>eligible</x:v>
      </x:c>
      <x:c r="AM9" s="81" t="str">
        <x:f>IF($E9="","",IF($C9=0,"reentry_required",IF($C9&lt;=8,"non_competitive_inclusion","competitive_selection")))</x:f>
        <x:v>competitive_selection</x:v>
      </x:c>
      <x:c r="AN9" s="82" t="n">
        <x:f>IF($E9="","",AVERAGE($U9:$X9))</x:f>
        <x:v>2</x:v>
      </x:c>
      <x:c r="AO9" s="82" t="n">
        <x:f>IF($E9="","",AVERAGE($S9:$T9))</x:f>
        <x:v>2</x:v>
      </x:c>
      <x:c r="AP9" s="82" t="n">
        <x:f>IF($E9="","",($AF9*0.08)+($AG9*0.08)+($AH9*0.10))</x:f>
        <x:v>0</x:v>
      </x:c>
      <x:c r="AQ9" s="82" t="n">
        <x:f>IF($E9="","",MAX(0,($AN9*0.30)+($Y9*0.20)+($Z9*0.15)+($AA9*0.15)+($AB9*0.10)+($AC9*0.10)+($AE9*0.05)-$AP9))</x:f>
        <x:v>1.8</x:v>
      </x:c>
      <x:c r="AR9" s="81" t="n">
        <x:f>IF($E9="","",IF($AM9="competitive_selection",RANK.EQ($AQ9,$AQ$2:$AQ$201,0),""))</x:f>
        <x:v>13</x:v>
      </x:c>
      <x:c r="AS9" s="81" t="str">
        <x:f>IF($E9="","",IF(AND($AM9="non_competitive_inclusion",$AL9="eligible"),"selected",""))</x:f>
      </x:c>
      <x:c r="AT9" s="81" t="str">
        <x:f>IF($E9="","",IF($AM9&lt;&gt;"competitive_selection","",IF(AND($AL9="eligible",$AR9&lt;=8),"selected","context/backlog")))</x:f>
        <x:v>context/backlog</x:v>
      </x:c>
      <x:c r="AU9" s="81" t="str">
        <x:f>IF($E9="","",IF($AM9="reentry_required","not_selected_reentry",IF($AS9="selected","selected_for_runtime",IF($AT9="selected","selected_for_runtime",IF($AL9="review","manual_review","context_or_not_selected")))))</x:f>
        <x:v>context_or_not_selected</x:v>
      </x:c>
      <x:c r="AV9" s="81" t="str">
        <x:f>IF($E9="","",IF($AU9="selected_for_runtime",IF($AM9="competitive_selection",$AR9,COUNTIF($AU$2:AU9,"selected_for_runtime")),""))</x:f>
      </x:c>
      <x:c r="AW9" s="81" t="str">
        <x:f>IF($E9="","",IF($AU9="selected_for_runtime",IF($AD9&gt;=2,"base_40_plus_uncertainty_probes",IF($AE9&gt;=2,"base_40_plus_exploratory_probes","base_40_standard")),"no_runtime"))</x:f>
        <x:v>no_runtime</x:v>
      </x:c>
      <x:c r="AX9" s="81" t="str">
        <x:f>IF($E9="","",IF($AU9&lt;&gt;"selected_for_runtime","none",IF($AE9&gt;=2,"exploratoria",IF($AQ9&gt;=2.2,"alta",IF($AQ9&gt;=1.2,"media","baja")))))</x:f>
        <x:v>none</x:v>
      </x:c>
      <x:c r="AY9" s="81" t="str">
        <x:f>IF($E9="","",IF($AJ9=TRUE,"context_with_coverage_gap",IF($AI9="review","context_requires_confirmation","context_ready")))</x:f>
        <x:v>context_ready</x:v>
      </x:c>
      <x:c r="AZ9" s="81" t="str">
        <x:f>IF($E9="","",IF($AU9&lt;&gt;"selected_for_runtime","no",IF(OR($AY9="context_with_coverage_gap",$AX9="exploratoria"),"ready_with_flags","ready")))</x:f>
        <x:v>no</x:v>
      </x:c>
      <x:c r="BA9" s="81" t="str">
        <x:v>PM: posible proceso contenedor, actor/cliente, trigger o resultado a confirmar en Runtime.</x:v>
      </x:c>
      <x:c r="BB9" s="81" t="str">
        <x:v>MoC: posibles objetos de negocio y relaciones a confirmar; no modelar sin Runtime.</x:v>
      </x:c>
      <x:c r="BC9" s="81" t="str">
        <x:v>PF: posibles pasos, handoffs, esperas o rutas a reconstruir.</x:v>
      </x:c>
      <x:c r="BD9" s="81" t="str">
        <x:v>OLC: posibles estados/transiciones a confirmar si el objeto cambia.</x:v>
      </x:c>
      <x:c r="BE9" s="81" t="str">
        <x:v>Ejemplo v1.2: muestra selección no competitiva cuando &lt;=8 y competitiva cuando &gt;8.</x:v>
      </x:c>
    </x:row>
    <x:row r="10">
      <x:c r="A10" s="81" t="str">
        <x:v>RUN-O8-001</x:v>
      </x:c>
      <x:c r="B10" s="81" t="n">
        <x:v>10</x:v>
      </x:c>
      <x:c r="C10" s="81" t="n">
        <x:v>10</x:v>
      </x:c>
      <x:c r="D10" s="81" t="str"/>
      <x:c r="E10" s="81" t="str">
        <x:v>B003</x:v>
      </x:c>
      <x:c r="F10" s="81" t="str">
        <x:v>R-CRE</x:v>
      </x:c>
      <x:c r="G10" s="81" t="str">
        <x:v>Crédito</x:v>
      </x:c>
      <x:c r="H10" s="81" t="str">
        <x:v>Ejecutivo comercial</x:v>
      </x:c>
      <x:c r="I10" s="81" t="str">
        <x:v>coordinación</x:v>
      </x:c>
      <x:c r="J10" s="81" t="str">
        <x:v>escala a crédito</x:v>
      </x:c>
      <x:c r="K10" s="81" t="str">
        <x:v>Enviar caso a evaluación</x:v>
      </x:c>
      <x:c r="L10" s="81" t="str">
        <x:v>Enviar documentación al equipo de crédito.</x:v>
      </x:c>
      <x:c r="M10" s="81" t="str">
        <x:v>yes</x:v>
      </x:c>
      <x:c r="N10" s="81" t="str">
        <x:v>yes</x:v>
      </x:c>
      <x:c r="O10" s="81" t="str">
        <x:v>yes</x:v>
      </x:c>
      <x:c r="P10" s="81" t="str">
        <x:v>fit</x:v>
      </x:c>
      <x:c r="Q10" s="81" t="str">
        <x:v>unique</x:v>
      </x:c>
      <x:c r="R10" s="81" t="str">
        <x:v>primary_candidate</x:v>
      </x:c>
      <x:c r="S10" s="82" t="n">
        <x:v>2</x:v>
      </x:c>
      <x:c r="T10" s="82" t="n">
        <x:v>2</x:v>
      </x:c>
      <x:c r="U10" s="82" t="n">
        <x:v>2</x:v>
      </x:c>
      <x:c r="V10" s="82" t="n">
        <x:v>2</x:v>
      </x:c>
      <x:c r="W10" s="82" t="n">
        <x:v>3</x:v>
      </x:c>
      <x:c r="X10" s="82" t="n">
        <x:v>2</x:v>
      </x:c>
      <x:c r="Y10" s="82" t="n">
        <x:v>3</x:v>
      </x:c>
      <x:c r="Z10" s="82" t="n">
        <x:v>3</x:v>
      </x:c>
      <x:c r="AA10" s="82" t="n">
        <x:v>2</x:v>
      </x:c>
      <x:c r="AB10" s="82" t="n">
        <x:v>2</x:v>
      </x:c>
      <x:c r="AC10" s="82" t="n">
        <x:v>3</x:v>
      </x:c>
      <x:c r="AD10" s="82" t="n">
        <x:v>1</x:v>
      </x:c>
      <x:c r="AE10" s="82" t="n">
        <x:v>1</x:v>
      </x:c>
      <x:c r="AF10" s="82" t="n">
        <x:v>0</x:v>
      </x:c>
      <x:c r="AG10" s="82" t="n">
        <x:v>0</x:v>
      </x:c>
      <x:c r="AH10" s="82" t="n">
        <x:v>0</x:v>
      </x:c>
      <x:c r="AI10" s="81" t="str">
        <x:v>ok</x:v>
      </x:c>
      <x:c r="AJ10" s="86" t="b">
        <x:v>0</x:v>
      </x:c>
      <x:c r="AK10" s="81" t="str">
        <x:f>IF($E10="","",IF(AND($M10="yes",OR($N10="yes",$N10="review"),OR($O10="yes",$O10="review"),$P10="fit",OR($Q10="unique",$Q10="alias_review"),$R10&lt;&gt;"context_only"),"pass","review/block"))</x:f>
        <x:v>pass</x:v>
      </x:c>
      <x:c r="AL10" s="81" t="str">
        <x:f>IF($E10="","",IF($AK10="pass","eligible",IF(OR($M10="no",$O10="no",$P10="too_macro",$P10="too_micro",$P10="context_only",$Q10="duplicate_confirmed",$R10="context_only"),"not_eligible","review")))</x:f>
        <x:v>eligible</x:v>
      </x:c>
      <x:c r="AM10" s="81" t="str">
        <x:f>IF($E10="","",IF($C10=0,"reentry_required",IF($C10&lt;=8,"non_competitive_inclusion","competitive_selection")))</x:f>
        <x:v>competitive_selection</x:v>
      </x:c>
      <x:c r="AN10" s="82" t="n">
        <x:f>IF($E10="","",AVERAGE($U10:$X10))</x:f>
        <x:v>2.25</x:v>
      </x:c>
      <x:c r="AO10" s="82" t="n">
        <x:f>IF($E10="","",AVERAGE($S10:$T10))</x:f>
        <x:v>2</x:v>
      </x:c>
      <x:c r="AP10" s="82" t="n">
        <x:f>IF($E10="","",($AF10*0.08)+($AG10*0.08)+($AH10*0.10))</x:f>
        <x:v>0</x:v>
      </x:c>
      <x:c r="AQ10" s="82" t="n">
        <x:f>IF($E10="","",MAX(0,($AN10*0.30)+($Y10*0.20)+($Z10*0.15)+($AA10*0.15)+($AB10*0.10)+($AC10*0.10)+($AE10*0.05)-$AP10))</x:f>
        <x:v>2.575</x:v>
      </x:c>
      <x:c r="AR10" s="81" t="n">
        <x:f>IF($E10="","",IF($AM10="competitive_selection",RANK.EQ($AQ10,$AQ$2:$AQ$201,0),""))</x:f>
        <x:v>4</x:v>
      </x:c>
      <x:c r="AS10" s="81" t="str">
        <x:f>IF($E10="","",IF(AND($AM10="non_competitive_inclusion",$AL10="eligible"),"selected",""))</x:f>
      </x:c>
      <x:c r="AT10" s="81" t="str">
        <x:f>IF($E10="","",IF($AM10&lt;&gt;"competitive_selection","",IF(AND($AL10="eligible",$AR10&lt;=8),"selected","context/backlog")))</x:f>
        <x:v>selected</x:v>
      </x:c>
      <x:c r="AU10" s="81" t="str">
        <x:f>IF($E10="","",IF($AM10="reentry_required","not_selected_reentry",IF($AS10="selected","selected_for_runtime",IF($AT10="selected","selected_for_runtime",IF($AL10="review","manual_review","context_or_not_selected")))))</x:f>
        <x:v>selected_for_runtime</x:v>
      </x:c>
      <x:c r="AV10" s="81" t="n">
        <x:f>IF($E10="","",IF($AU10="selected_for_runtime",IF($AM10="competitive_selection",$AR10,COUNTIF($AU$2:AU10,"selected_for_runtime")),""))</x:f>
        <x:v>4</x:v>
      </x:c>
      <x:c r="AW10" s="81" t="str">
        <x:f>IF($E10="","",IF($AU10="selected_for_runtime",IF($AD10&gt;=2,"base_40_plus_uncertainty_probes",IF($AE10&gt;=2,"base_40_plus_exploratory_probes","base_40_standard")),"no_runtime"))</x:f>
        <x:v>base_40_standard</x:v>
      </x:c>
      <x:c r="AX10" s="81" t="str">
        <x:f>IF($E10="","",IF($AU10&lt;&gt;"selected_for_runtime","none",IF($AE10&gt;=2,"exploratoria",IF($AQ10&gt;=2.2,"alta",IF($AQ10&gt;=1.2,"media","baja")))))</x:f>
        <x:v>alta</x:v>
      </x:c>
      <x:c r="AY10" s="81" t="str">
        <x:f>IF($E10="","",IF($AJ10=TRUE,"context_with_coverage_gap",IF($AI10="review","context_requires_confirmation","context_ready")))</x:f>
        <x:v>context_ready</x:v>
      </x:c>
      <x:c r="AZ10" s="81" t="str">
        <x:f>IF($E10="","",IF($AU10&lt;&gt;"selected_for_runtime","no",IF(OR($AY10="context_with_coverage_gap",$AX10="exploratoria"),"ready_with_flags","ready")))</x:f>
        <x:v>ready</x:v>
      </x:c>
      <x:c r="BA10" s="81" t="str">
        <x:v>PM: posible proceso contenedor, actor/cliente, trigger o resultado a confirmar en Runtime.</x:v>
      </x:c>
      <x:c r="BB10" s="81" t="str">
        <x:v>MoC: posibles objetos de negocio y relaciones a confirmar; no modelar sin Runtime.</x:v>
      </x:c>
      <x:c r="BC10" s="81" t="str">
        <x:v>PF: posibles pasos, handoffs, esperas o rutas a reconstruir.</x:v>
      </x:c>
      <x:c r="BD10" s="81" t="str">
        <x:v>OLC: posibles estados/transiciones a confirmar si el objeto cambia.</x:v>
      </x:c>
      <x:c r="BE10" s="81" t="str">
        <x:v>Ejemplo v1.2: muestra selección no competitiva cuando &lt;=8 y competitiva cuando &gt;8.</x:v>
      </x:c>
    </x:row>
    <x:row r="11">
      <x:c r="A11" s="81" t="str">
        <x:v>RUN-O8-001</x:v>
      </x:c>
      <x:c r="B11" s="81" t="n">
        <x:v>10</x:v>
      </x:c>
      <x:c r="C11" s="81" t="n">
        <x:v>10</x:v>
      </x:c>
      <x:c r="D11" s="81" t="str"/>
      <x:c r="E11" s="81" t="str">
        <x:v>B004</x:v>
      </x:c>
      <x:c r="F11" s="81" t="str">
        <x:v>R-CRE</x:v>
      </x:c>
      <x:c r="G11" s="81" t="str">
        <x:v>Crédito</x:v>
      </x:c>
      <x:c r="H11" s="81" t="str">
        <x:v>Ejecutivo comercial</x:v>
      </x:c>
      <x:c r="I11" s="81" t="str">
        <x:v>coordinación</x:v>
      </x:c>
      <x:c r="J11" s="81" t="str">
        <x:v>escala a crédito</x:v>
      </x:c>
      <x:c r="K11" s="81" t="str">
        <x:v>Responder observaciones de crédito</x:v>
      </x:c>
      <x:c r="L11" s="81" t="str">
        <x:v>Resolver observaciones que devuelven desde crédito.</x:v>
      </x:c>
      <x:c r="M11" s="81" t="str">
        <x:v>yes</x:v>
      </x:c>
      <x:c r="N11" s="81" t="str">
        <x:v>yes</x:v>
      </x:c>
      <x:c r="O11" s="81" t="str">
        <x:v>yes</x:v>
      </x:c>
      <x:c r="P11" s="81" t="str">
        <x:v>fit</x:v>
      </x:c>
      <x:c r="Q11" s="81" t="str">
        <x:v>unique</x:v>
      </x:c>
      <x:c r="R11" s="81" t="str">
        <x:v>primary_candidate</x:v>
      </x:c>
      <x:c r="S11" s="82" t="n">
        <x:v>2</x:v>
      </x:c>
      <x:c r="T11" s="82" t="n">
        <x:v>2</x:v>
      </x:c>
      <x:c r="U11" s="82" t="n">
        <x:v>2</x:v>
      </x:c>
      <x:c r="V11" s="82" t="n">
        <x:v>2</x:v>
      </x:c>
      <x:c r="W11" s="82" t="n">
        <x:v>3</x:v>
      </x:c>
      <x:c r="X11" s="82" t="n">
        <x:v>2</x:v>
      </x:c>
      <x:c r="Y11" s="82" t="n">
        <x:v>3</x:v>
      </x:c>
      <x:c r="Z11" s="82" t="n">
        <x:v>3</x:v>
      </x:c>
      <x:c r="AA11" s="82" t="n">
        <x:v>2</x:v>
      </x:c>
      <x:c r="AB11" s="82" t="n">
        <x:v>3</x:v>
      </x:c>
      <x:c r="AC11" s="82" t="n">
        <x:v>3</x:v>
      </x:c>
      <x:c r="AD11" s="82" t="n">
        <x:v>2</x:v>
      </x:c>
      <x:c r="AE11" s="82" t="n">
        <x:v>2</x:v>
      </x:c>
      <x:c r="AF11" s="82" t="n">
        <x:v>0</x:v>
      </x:c>
      <x:c r="AG11" s="82" t="n">
        <x:v>0</x:v>
      </x:c>
      <x:c r="AH11" s="82" t="n">
        <x:v>0</x:v>
      </x:c>
      <x:c r="AI11" s="81" t="str">
        <x:v>ok</x:v>
      </x:c>
      <x:c r="AJ11" s="86" t="b">
        <x:v>0</x:v>
      </x:c>
      <x:c r="AK11" s="81" t="str">
        <x:f>IF($E11="","",IF(AND($M11="yes",OR($N11="yes",$N11="review"),OR($O11="yes",$O11="review"),$P11="fit",OR($Q11="unique",$Q11="alias_review"),$R11&lt;&gt;"context_only"),"pass","review/block"))</x:f>
        <x:v>pass</x:v>
      </x:c>
      <x:c r="AL11" s="81" t="str">
        <x:f>IF($E11="","",IF($AK11="pass","eligible",IF(OR($M11="no",$O11="no",$P11="too_macro",$P11="too_micro",$P11="context_only",$Q11="duplicate_confirmed",$R11="context_only"),"not_eligible","review")))</x:f>
        <x:v>eligible</x:v>
      </x:c>
      <x:c r="AM11" s="81" t="str">
        <x:f>IF($E11="","",IF($C11=0,"reentry_required",IF($C11&lt;=8,"non_competitive_inclusion","competitive_selection")))</x:f>
        <x:v>competitive_selection</x:v>
      </x:c>
      <x:c r="AN11" s="82" t="n">
        <x:f>IF($E11="","",AVERAGE($U11:$X11))</x:f>
        <x:v>2.25</x:v>
      </x:c>
      <x:c r="AO11" s="82" t="n">
        <x:f>IF($E11="","",AVERAGE($S11:$T11))</x:f>
        <x:v>2</x:v>
      </x:c>
      <x:c r="AP11" s="82" t="n">
        <x:f>IF($E11="","",($AF11*0.08)+($AG11*0.08)+($AH11*0.10))</x:f>
        <x:v>0</x:v>
      </x:c>
      <x:c r="AQ11" s="82" t="n">
        <x:f>IF($E11="","",MAX(0,($AN11*0.30)+($Y11*0.20)+($Z11*0.15)+($AA11*0.15)+($AB11*0.10)+($AC11*0.10)+($AE11*0.05)-$AP11))</x:f>
        <x:v>2.725</x:v>
      </x:c>
      <x:c r="AR11" s="81" t="n">
        <x:f>IF($E11="","",IF($AM11="competitive_selection",RANK.EQ($AQ11,$AQ$2:$AQ$201,0),""))</x:f>
        <x:v>1</x:v>
      </x:c>
      <x:c r="AS11" s="81" t="str">
        <x:f>IF($E11="","",IF(AND($AM11="non_competitive_inclusion",$AL11="eligible"),"selected",""))</x:f>
      </x:c>
      <x:c r="AT11" s="81" t="str">
        <x:f>IF($E11="","",IF($AM11&lt;&gt;"competitive_selection","",IF(AND($AL11="eligible",$AR11&lt;=8),"selected","context/backlog")))</x:f>
        <x:v>selected</x:v>
      </x:c>
      <x:c r="AU11" s="81" t="str">
        <x:f>IF($E11="","",IF($AM11="reentry_required","not_selected_reentry",IF($AS11="selected","selected_for_runtime",IF($AT11="selected","selected_for_runtime",IF($AL11="review","manual_review","context_or_not_selected")))))</x:f>
        <x:v>selected_for_runtime</x:v>
      </x:c>
      <x:c r="AV11" s="81" t="n">
        <x:f>IF($E11="","",IF($AU11="selected_for_runtime",IF($AM11="competitive_selection",$AR11,COUNTIF($AU$2:AU11,"selected_for_runtime")),""))</x:f>
        <x:v>1</x:v>
      </x:c>
      <x:c r="AW11" s="81" t="str">
        <x:f>IF($E11="","",IF($AU11="selected_for_runtime",IF($AD11&gt;=2,"base_40_plus_uncertainty_probes",IF($AE11&gt;=2,"base_40_plus_exploratory_probes","base_40_standard")),"no_runtime"))</x:f>
        <x:v>base_40_plus_uncertainty_probes</x:v>
      </x:c>
      <x:c r="AX11" s="81" t="str">
        <x:f>IF($E11="","",IF($AU11&lt;&gt;"selected_for_runtime","none",IF($AE11&gt;=2,"exploratoria",IF($AQ11&gt;=2.2,"alta",IF($AQ11&gt;=1.2,"media","baja")))))</x:f>
        <x:v>exploratoria</x:v>
      </x:c>
      <x:c r="AY11" s="81" t="str">
        <x:f>IF($E11="","",IF($AJ11=TRUE,"context_with_coverage_gap",IF($AI11="review","context_requires_confirmation","context_ready")))</x:f>
        <x:v>context_ready</x:v>
      </x:c>
      <x:c r="AZ11" s="81" t="str">
        <x:f>IF($E11="","",IF($AU11&lt;&gt;"selected_for_runtime","no",IF(OR($AY11="context_with_coverage_gap",$AX11="exploratoria"),"ready_with_flags","ready")))</x:f>
        <x:v>ready_with_flags</x:v>
      </x:c>
      <x:c r="BA11" s="81" t="str">
        <x:v>PM: posible proceso contenedor, actor/cliente, trigger o resultado a confirmar en Runtime.</x:v>
      </x:c>
      <x:c r="BB11" s="81" t="str">
        <x:v>MoC: posibles objetos de negocio y relaciones a confirmar; no modelar sin Runtime.</x:v>
      </x:c>
      <x:c r="BC11" s="81" t="str">
        <x:v>PF: posibles pasos, handoffs, esperas o rutas a reconstruir.</x:v>
      </x:c>
      <x:c r="BD11" s="81" t="str">
        <x:v>OLC: posibles estados/transiciones a confirmar si el objeto cambia.</x:v>
      </x:c>
      <x:c r="BE11" s="81" t="str">
        <x:v>Ejemplo v1.2: muestra selección no competitiva cuando &lt;=8 y competitiva cuando &gt;8.</x:v>
      </x:c>
    </x:row>
    <x:row r="12">
      <x:c r="A12" s="81" t="str">
        <x:v>RUN-O8-001</x:v>
      </x:c>
      <x:c r="B12" s="81" t="n">
        <x:v>10</x:v>
      </x:c>
      <x:c r="C12" s="81" t="n">
        <x:v>10</x:v>
      </x:c>
      <x:c r="D12" s="81" t="str"/>
      <x:c r="E12" s="81" t="str">
        <x:v>B005</x:v>
      </x:c>
      <x:c r="F12" s="81" t="str">
        <x:v>R-CON</x:v>
      </x:c>
      <x:c r="G12" s="81" t="str">
        <x:v>Contratos</x:v>
      </x:c>
      <x:c r="H12" s="81" t="str">
        <x:v>Ejecutivo comercial</x:v>
      </x:c>
      <x:c r="I12" s="81" t="str">
        <x:v>operativo</x:v>
      </x:c>
      <x:c r="J12" s="81" t="str">
        <x:v>prepara</x:v>
      </x:c>
      <x:c r="K12" s="81" t="str">
        <x:v>Preparar contrato</x:v>
      </x:c>
      <x:c r="L12" s="81" t="str">
        <x:v>Preparar contrato con datos aprobados.</x:v>
      </x:c>
      <x:c r="M12" s="81" t="str">
        <x:v>yes</x:v>
      </x:c>
      <x:c r="N12" s="81" t="str">
        <x:v>yes</x:v>
      </x:c>
      <x:c r="O12" s="81" t="str">
        <x:v>yes</x:v>
      </x:c>
      <x:c r="P12" s="81" t="str">
        <x:v>fit</x:v>
      </x:c>
      <x:c r="Q12" s="81" t="str">
        <x:v>unique</x:v>
      </x:c>
      <x:c r="R12" s="81" t="str">
        <x:v>primary_candidate</x:v>
      </x:c>
      <x:c r="S12" s="82" t="n">
        <x:v>2</x:v>
      </x:c>
      <x:c r="T12" s="82" t="n">
        <x:v>2</x:v>
      </x:c>
      <x:c r="U12" s="82" t="n">
        <x:v>2</x:v>
      </x:c>
      <x:c r="V12" s="82" t="n">
        <x:v>3</x:v>
      </x:c>
      <x:c r="W12" s="82" t="n">
        <x:v>2</x:v>
      </x:c>
      <x:c r="X12" s="82" t="n">
        <x:v>3</x:v>
      </x:c>
      <x:c r="Y12" s="82" t="n">
        <x:v>2</x:v>
      </x:c>
      <x:c r="Z12" s="82" t="n">
        <x:v>2</x:v>
      </x:c>
      <x:c r="AA12" s="82" t="n">
        <x:v>3</x:v>
      </x:c>
      <x:c r="AB12" s="82" t="n">
        <x:v>1</x:v>
      </x:c>
      <x:c r="AC12" s="82" t="n">
        <x:v>2</x:v>
      </x:c>
      <x:c r="AD12" s="82" t="n">
        <x:v>1</x:v>
      </x:c>
      <x:c r="AE12" s="82" t="n">
        <x:v>1</x:v>
      </x:c>
      <x:c r="AF12" s="82" t="n">
        <x:v>0</x:v>
      </x:c>
      <x:c r="AG12" s="82" t="n">
        <x:v>0</x:v>
      </x:c>
      <x:c r="AH12" s="82" t="n">
        <x:v>0</x:v>
      </x:c>
      <x:c r="AI12" s="81" t="str">
        <x:v>ok</x:v>
      </x:c>
      <x:c r="AJ12" s="86" t="b">
        <x:v>0</x:v>
      </x:c>
      <x:c r="AK12" s="81" t="str">
        <x:f>IF($E12="","",IF(AND($M12="yes",OR($N12="yes",$N12="review"),OR($O12="yes",$O12="review"),$P12="fit",OR($Q12="unique",$Q12="alias_review"),$R12&lt;&gt;"context_only"),"pass","review/block"))</x:f>
        <x:v>pass</x:v>
      </x:c>
      <x:c r="AL12" s="81" t="str">
        <x:f>IF($E12="","",IF($AK12="pass","eligible",IF(OR($M12="no",$O12="no",$P12="too_macro",$P12="too_micro",$P12="context_only",$Q12="duplicate_confirmed",$R12="context_only"),"not_eligible","review")))</x:f>
        <x:v>eligible</x:v>
      </x:c>
      <x:c r="AM12" s="81" t="str">
        <x:f>IF($E12="","",IF($C12=0,"reentry_required",IF($C12&lt;=8,"non_competitive_inclusion","competitive_selection")))</x:f>
        <x:v>competitive_selection</x:v>
      </x:c>
      <x:c r="AN12" s="82" t="n">
        <x:f>IF($E12="","",AVERAGE($U12:$X12))</x:f>
        <x:v>2.5</x:v>
      </x:c>
      <x:c r="AO12" s="82" t="n">
        <x:f>IF($E12="","",AVERAGE($S12:$T12))</x:f>
        <x:v>2</x:v>
      </x:c>
      <x:c r="AP12" s="82" t="n">
        <x:f>IF($E12="","",($AF12*0.08)+($AG12*0.08)+($AH12*0.10))</x:f>
        <x:v>0</x:v>
      </x:c>
      <x:c r="AQ12" s="82" t="n">
        <x:f>IF($E12="","",MAX(0,($AN12*0.30)+($Y12*0.20)+($Z12*0.15)+($AA12*0.15)+($AB12*0.10)+($AC12*0.10)+($AE12*0.05)-$AP12))</x:f>
        <x:v>2.25</x:v>
      </x:c>
      <x:c r="AR12" s="81" t="n">
        <x:f>IF($E12="","",IF($AM12="competitive_selection",RANK.EQ($AQ12,$AQ$2:$AQ$201,0),""))</x:f>
        <x:v>8</x:v>
      </x:c>
      <x:c r="AS12" s="81" t="str">
        <x:f>IF($E12="","",IF(AND($AM12="non_competitive_inclusion",$AL12="eligible"),"selected",""))</x:f>
      </x:c>
      <x:c r="AT12" s="81" t="str">
        <x:f>IF($E12="","",IF($AM12&lt;&gt;"competitive_selection","",IF(AND($AL12="eligible",$AR12&lt;=8),"selected","context/backlog")))</x:f>
        <x:v>selected</x:v>
      </x:c>
      <x:c r="AU12" s="81" t="str">
        <x:f>IF($E12="","",IF($AM12="reentry_required","not_selected_reentry",IF($AS12="selected","selected_for_runtime",IF($AT12="selected","selected_for_runtime",IF($AL12="review","manual_review","context_or_not_selected")))))</x:f>
        <x:v>selected_for_runtime</x:v>
      </x:c>
      <x:c r="AV12" s="81" t="n">
        <x:f>IF($E12="","",IF($AU12="selected_for_runtime",IF($AM12="competitive_selection",$AR12,COUNTIF($AU$2:AU12,"selected_for_runtime")),""))</x:f>
        <x:v>8</x:v>
      </x:c>
      <x:c r="AW12" s="81" t="str">
        <x:f>IF($E12="","",IF($AU12="selected_for_runtime",IF($AD12&gt;=2,"base_40_plus_uncertainty_probes",IF($AE12&gt;=2,"base_40_plus_exploratory_probes","base_40_standard")),"no_runtime"))</x:f>
        <x:v>base_40_standard</x:v>
      </x:c>
      <x:c r="AX12" s="81" t="str">
        <x:f>IF($E12="","",IF($AU12&lt;&gt;"selected_for_runtime","none",IF($AE12&gt;=2,"exploratoria",IF($AQ12&gt;=2.2,"alta",IF($AQ12&gt;=1.2,"media","baja")))))</x:f>
        <x:v>alta</x:v>
      </x:c>
      <x:c r="AY12" s="81" t="str">
        <x:f>IF($E12="","",IF($AJ12=TRUE,"context_with_coverage_gap",IF($AI12="review","context_requires_confirmation","context_ready")))</x:f>
        <x:v>context_ready</x:v>
      </x:c>
      <x:c r="AZ12" s="81" t="str">
        <x:f>IF($E12="","",IF($AU12&lt;&gt;"selected_for_runtime","no",IF(OR($AY12="context_with_coverage_gap",$AX12="exploratoria"),"ready_with_flags","ready")))</x:f>
        <x:v>ready</x:v>
      </x:c>
      <x:c r="BA12" s="81" t="str">
        <x:v>PM: posible proceso contenedor, actor/cliente, trigger o resultado a confirmar en Runtime.</x:v>
      </x:c>
      <x:c r="BB12" s="81" t="str">
        <x:v>MoC: posibles objetos de negocio y relaciones a confirmar; no modelar sin Runtime.</x:v>
      </x:c>
      <x:c r="BC12" s="81" t="str">
        <x:v>PF: posibles pasos, handoffs, esperas o rutas a reconstruir.</x:v>
      </x:c>
      <x:c r="BD12" s="81" t="str">
        <x:v>OLC: posibles estados/transiciones a confirmar si el objeto cambia.</x:v>
      </x:c>
      <x:c r="BE12" s="81" t="str">
        <x:v>Ejemplo v1.2: muestra selección no competitiva cuando &lt;=8 y competitiva cuando &gt;8.</x:v>
      </x:c>
    </x:row>
    <x:row r="13">
      <x:c r="A13" s="81" t="str">
        <x:v>RUN-O8-001</x:v>
      </x:c>
      <x:c r="B13" s="81" t="n">
        <x:v>10</x:v>
      </x:c>
      <x:c r="C13" s="81" t="n">
        <x:v>10</x:v>
      </x:c>
      <x:c r="D13" s="81" t="str"/>
      <x:c r="E13" s="81" t="str">
        <x:v>B006</x:v>
      </x:c>
      <x:c r="F13" s="81" t="str">
        <x:v>R-CON</x:v>
      </x:c>
      <x:c r="G13" s="81" t="str">
        <x:v>Contratos</x:v>
      </x:c>
      <x:c r="H13" s="81" t="str">
        <x:v>Ejecutivo comercial</x:v>
      </x:c>
      <x:c r="I13" s="81" t="str">
        <x:v>operativo</x:v>
      </x:c>
      <x:c r="J13" s="81" t="str">
        <x:v>coordina firma</x:v>
      </x:c>
      <x:c r="K13" s="81" t="str">
        <x:v>Coordinar firma del contrato</x:v>
      </x:c>
      <x:c r="L13" s="81" t="str">
        <x:v>Coordinar firma y envío del contrato.</x:v>
      </x:c>
      <x:c r="M13" s="81" t="str">
        <x:v>yes</x:v>
      </x:c>
      <x:c r="N13" s="81" t="str">
        <x:v>yes</x:v>
      </x:c>
      <x:c r="O13" s="81" t="str">
        <x:v>yes</x:v>
      </x:c>
      <x:c r="P13" s="81" t="str">
        <x:v>fit</x:v>
      </x:c>
      <x:c r="Q13" s="81" t="str">
        <x:v>unique</x:v>
      </x:c>
      <x:c r="R13" s="81" t="str">
        <x:v>primary_candidate</x:v>
      </x:c>
      <x:c r="S13" s="82" t="n">
        <x:v>2</x:v>
      </x:c>
      <x:c r="T13" s="82" t="n">
        <x:v>2</x:v>
      </x:c>
      <x:c r="U13" s="82" t="n">
        <x:v>2</x:v>
      </x:c>
      <x:c r="V13" s="82" t="n">
        <x:v>2</x:v>
      </x:c>
      <x:c r="W13" s="82" t="n">
        <x:v>3</x:v>
      </x:c>
      <x:c r="X13" s="82" t="n">
        <x:v>3</x:v>
      </x:c>
      <x:c r="Y13" s="82" t="n">
        <x:v>3</x:v>
      </x:c>
      <x:c r="Z13" s="82" t="n">
        <x:v>3</x:v>
      </x:c>
      <x:c r="AA13" s="82" t="n">
        <x:v>3</x:v>
      </x:c>
      <x:c r="AB13" s="82" t="n">
        <x:v>2</x:v>
      </x:c>
      <x:c r="AC13" s="82" t="n">
        <x:v>2</x:v>
      </x:c>
      <x:c r="AD13" s="82" t="n">
        <x:v>1</x:v>
      </x:c>
      <x:c r="AE13" s="82" t="n">
        <x:v>1</x:v>
      </x:c>
      <x:c r="AF13" s="82" t="n">
        <x:v>0</x:v>
      </x:c>
      <x:c r="AG13" s="82" t="n">
        <x:v>0</x:v>
      </x:c>
      <x:c r="AH13" s="82" t="n">
        <x:v>0</x:v>
      </x:c>
      <x:c r="AI13" s="81" t="str">
        <x:v>ok</x:v>
      </x:c>
      <x:c r="AJ13" s="86" t="b">
        <x:v>0</x:v>
      </x:c>
      <x:c r="AK13" s="81" t="str">
        <x:f>IF($E13="","",IF(AND($M13="yes",OR($N13="yes",$N13="review"),OR($O13="yes",$O13="review"),$P13="fit",OR($Q13="unique",$Q13="alias_review"),$R13&lt;&gt;"context_only"),"pass","review/block"))</x:f>
        <x:v>pass</x:v>
      </x:c>
      <x:c r="AL13" s="81" t="str">
        <x:f>IF($E13="","",IF($AK13="pass","eligible",IF(OR($M13="no",$O13="no",$P13="too_macro",$P13="too_micro",$P13="context_only",$Q13="duplicate_confirmed",$R13="context_only"),"not_eligible","review")))</x:f>
        <x:v>eligible</x:v>
      </x:c>
      <x:c r="AM13" s="81" t="str">
        <x:f>IF($E13="","",IF($C13=0,"reentry_required",IF($C13&lt;=8,"non_competitive_inclusion","competitive_selection")))</x:f>
        <x:v>competitive_selection</x:v>
      </x:c>
      <x:c r="AN13" s="82" t="n">
        <x:f>IF($E13="","",AVERAGE($U13:$X13))</x:f>
        <x:v>2.5</x:v>
      </x:c>
      <x:c r="AO13" s="82" t="n">
        <x:f>IF($E13="","",AVERAGE($S13:$T13))</x:f>
        <x:v>2</x:v>
      </x:c>
      <x:c r="AP13" s="82" t="n">
        <x:f>IF($E13="","",($AF13*0.08)+($AG13*0.08)+($AH13*0.10))</x:f>
        <x:v>0</x:v>
      </x:c>
      <x:c r="AQ13" s="82" t="n">
        <x:f>IF($E13="","",MAX(0,($AN13*0.30)+($Y13*0.20)+($Z13*0.15)+($AA13*0.15)+($AB13*0.10)+($AC13*0.10)+($AE13*0.05)-$AP13))</x:f>
        <x:v>2.7</x:v>
      </x:c>
      <x:c r="AR13" s="81" t="n">
        <x:f>IF($E13="","",IF($AM13="competitive_selection",RANK.EQ($AQ13,$AQ$2:$AQ$201,0),""))</x:f>
        <x:v>2</x:v>
      </x:c>
      <x:c r="AS13" s="81" t="str">
        <x:f>IF($E13="","",IF(AND($AM13="non_competitive_inclusion",$AL13="eligible"),"selected",""))</x:f>
      </x:c>
      <x:c r="AT13" s="81" t="str">
        <x:f>IF($E13="","",IF($AM13&lt;&gt;"competitive_selection","",IF(AND($AL13="eligible",$AR13&lt;=8),"selected","context/backlog")))</x:f>
        <x:v>selected</x:v>
      </x:c>
      <x:c r="AU13" s="81" t="str">
        <x:f>IF($E13="","",IF($AM13="reentry_required","not_selected_reentry",IF($AS13="selected","selected_for_runtime",IF($AT13="selected","selected_for_runtime",IF($AL13="review","manual_review","context_or_not_selected")))))</x:f>
        <x:v>selected_for_runtime</x:v>
      </x:c>
      <x:c r="AV13" s="81" t="n">
        <x:f>IF($E13="","",IF($AU13="selected_for_runtime",IF($AM13="competitive_selection",$AR13,COUNTIF($AU$2:AU13,"selected_for_runtime")),""))</x:f>
        <x:v>2</x:v>
      </x:c>
      <x:c r="AW13" s="81" t="str">
        <x:f>IF($E13="","",IF($AU13="selected_for_runtime",IF($AD13&gt;=2,"base_40_plus_uncertainty_probes",IF($AE13&gt;=2,"base_40_plus_exploratory_probes","base_40_standard")),"no_runtime"))</x:f>
        <x:v>base_40_standard</x:v>
      </x:c>
      <x:c r="AX13" s="81" t="str">
        <x:f>IF($E13="","",IF($AU13&lt;&gt;"selected_for_runtime","none",IF($AE13&gt;=2,"exploratoria",IF($AQ13&gt;=2.2,"alta",IF($AQ13&gt;=1.2,"media","baja")))))</x:f>
        <x:v>alta</x:v>
      </x:c>
      <x:c r="AY13" s="81" t="str">
        <x:f>IF($E13="","",IF($AJ13=TRUE,"context_with_coverage_gap",IF($AI13="review","context_requires_confirmation","context_ready")))</x:f>
        <x:v>context_ready</x:v>
      </x:c>
      <x:c r="AZ13" s="81" t="str">
        <x:f>IF($E13="","",IF($AU13&lt;&gt;"selected_for_runtime","no",IF(OR($AY13="context_with_coverage_gap",$AX13="exploratoria"),"ready_with_flags","ready")))</x:f>
        <x:v>ready</x:v>
      </x:c>
      <x:c r="BA13" s="81" t="str">
        <x:v>PM: posible proceso contenedor, actor/cliente, trigger o resultado a confirmar en Runtime.</x:v>
      </x:c>
      <x:c r="BB13" s="81" t="str">
        <x:v>MoC: posibles objetos de negocio y relaciones a confirmar; no modelar sin Runtime.</x:v>
      </x:c>
      <x:c r="BC13" s="81" t="str">
        <x:v>PF: posibles pasos, handoffs, esperas o rutas a reconstruir.</x:v>
      </x:c>
      <x:c r="BD13" s="81" t="str">
        <x:v>OLC: posibles estados/transiciones a confirmar si el objeto cambia.</x:v>
      </x:c>
      <x:c r="BE13" s="81" t="str">
        <x:v>Ejemplo v1.2: muestra selección no competitiva cuando &lt;=8 y competitiva cuando &gt;8.</x:v>
      </x:c>
    </x:row>
    <x:row r="14">
      <x:c r="A14" s="81" t="str">
        <x:v>RUN-O8-001</x:v>
      </x:c>
      <x:c r="B14" s="81" t="n">
        <x:v>10</x:v>
      </x:c>
      <x:c r="C14" s="81" t="n">
        <x:v>10</x:v>
      </x:c>
      <x:c r="D14" s="81" t="str"/>
      <x:c r="E14" s="81" t="str">
        <x:v>B007</x:v>
      </x:c>
      <x:c r="F14" s="81" t="str">
        <x:v>R-SEG</x:v>
      </x:c>
      <x:c r="G14" s="81" t="str">
        <x:v>Seguimiento</x:v>
      </x:c>
      <x:c r="H14" s="81" t="str">
        <x:v>Ejecutivo comercial</x:v>
      </x:c>
      <x:c r="I14" s="81" t="str">
        <x:v>operativo</x:v>
      </x:c>
      <x:c r="J14" s="81" t="str">
        <x:v>seguimiento</x:v>
      </x:c>
      <x:c r="K14" s="81" t="str">
        <x:v>Actualizar CRM</x:v>
      </x:c>
      <x:c r="L14" s="81" t="str">
        <x:v>Actualizar CRM con datos del avance.</x:v>
      </x:c>
      <x:c r="M14" s="81" t="str">
        <x:v>yes</x:v>
      </x:c>
      <x:c r="N14" s="81" t="str">
        <x:v>yes</x:v>
      </x:c>
      <x:c r="O14" s="81" t="str">
        <x:v>yes</x:v>
      </x:c>
      <x:c r="P14" s="81" t="str">
        <x:v>fit</x:v>
      </x:c>
      <x:c r="Q14" s="81" t="str">
        <x:v>unique</x:v>
      </x:c>
      <x:c r="R14" s="81" t="str">
        <x:v>primary_candidate</x:v>
      </x:c>
      <x:c r="S14" s="82" t="n">
        <x:v>2</x:v>
      </x:c>
      <x:c r="T14" s="82" t="n">
        <x:v>2</x:v>
      </x:c>
      <x:c r="U14" s="82" t="n">
        <x:v>1</x:v>
      </x:c>
      <x:c r="V14" s="82" t="n">
        <x:v>2</x:v>
      </x:c>
      <x:c r="W14" s="82" t="n">
        <x:v>1</x:v>
      </x:c>
      <x:c r="X14" s="82" t="n">
        <x:v>2</x:v>
      </x:c>
      <x:c r="Y14" s="82" t="n">
        <x:v>1</x:v>
      </x:c>
      <x:c r="Z14" s="82" t="n">
        <x:v>1</x:v>
      </x:c>
      <x:c r="AA14" s="82" t="n">
        <x:v>1</x:v>
      </x:c>
      <x:c r="AB14" s="82" t="n">
        <x:v>0</x:v>
      </x:c>
      <x:c r="AC14" s="82" t="n">
        <x:v>1</x:v>
      </x:c>
      <x:c r="AD14" s="82" t="n">
        <x:v>1</x:v>
      </x:c>
      <x:c r="AE14" s="82" t="n">
        <x:v>1</x:v>
      </x:c>
      <x:c r="AF14" s="82" t="n">
        <x:v>0</x:v>
      </x:c>
      <x:c r="AG14" s="82" t="n">
        <x:v>0</x:v>
      </x:c>
      <x:c r="AH14" s="82" t="n">
        <x:v>0</x:v>
      </x:c>
      <x:c r="AI14" s="81" t="str">
        <x:v>ok</x:v>
      </x:c>
      <x:c r="AJ14" s="86" t="b">
        <x:v>0</x:v>
      </x:c>
      <x:c r="AK14" s="81" t="str">
        <x:f>IF($E14="","",IF(AND($M14="yes",OR($N14="yes",$N14="review"),OR($O14="yes",$O14="review"),$P14="fit",OR($Q14="unique",$Q14="alias_review"),$R14&lt;&gt;"context_only"),"pass","review/block"))</x:f>
        <x:v>pass</x:v>
      </x:c>
      <x:c r="AL14" s="81" t="str">
        <x:f>IF($E14="","",IF($AK14="pass","eligible",IF(OR($M14="no",$O14="no",$P14="too_macro",$P14="too_micro",$P14="context_only",$Q14="duplicate_confirmed",$R14="context_only"),"not_eligible","review")))</x:f>
        <x:v>eligible</x:v>
      </x:c>
      <x:c r="AM14" s="81" t="str">
        <x:f>IF($E14="","",IF($C14=0,"reentry_required",IF($C14&lt;=8,"non_competitive_inclusion","competitive_selection")))</x:f>
        <x:v>competitive_selection</x:v>
      </x:c>
      <x:c r="AN14" s="82" t="n">
        <x:f>IF($E14="","",AVERAGE($U14:$X14))</x:f>
        <x:v>1.5</x:v>
      </x:c>
      <x:c r="AO14" s="82" t="n">
        <x:f>IF($E14="","",AVERAGE($S14:$T14))</x:f>
        <x:v>2</x:v>
      </x:c>
      <x:c r="AP14" s="82" t="n">
        <x:f>IF($E14="","",($AF14*0.08)+($AG14*0.08)+($AH14*0.10))</x:f>
        <x:v>0</x:v>
      </x:c>
      <x:c r="AQ14" s="82" t="n">
        <x:f>IF($E14="","",MAX(0,($AN14*0.30)+($Y14*0.20)+($Z14*0.15)+($AA14*0.15)+($AB14*0.10)+($AC14*0.10)+($AE14*0.05)-$AP14))</x:f>
        <x:v>1.1</x:v>
      </x:c>
      <x:c r="AR14" s="81" t="n">
        <x:f>IF($E14="","",IF($AM14="competitive_selection",RANK.EQ($AQ14,$AQ$2:$AQ$201,0),""))</x:f>
        <x:v>15</x:v>
      </x:c>
      <x:c r="AS14" s="81" t="str">
        <x:f>IF($E14="","",IF(AND($AM14="non_competitive_inclusion",$AL14="eligible"),"selected",""))</x:f>
      </x:c>
      <x:c r="AT14" s="81" t="str">
        <x:f>IF($E14="","",IF($AM14&lt;&gt;"competitive_selection","",IF(AND($AL14="eligible",$AR14&lt;=8),"selected","context/backlog")))</x:f>
        <x:v>context/backlog</x:v>
      </x:c>
      <x:c r="AU14" s="81" t="str">
        <x:f>IF($E14="","",IF($AM14="reentry_required","not_selected_reentry",IF($AS14="selected","selected_for_runtime",IF($AT14="selected","selected_for_runtime",IF($AL14="review","manual_review","context_or_not_selected")))))</x:f>
        <x:v>context_or_not_selected</x:v>
      </x:c>
      <x:c r="AV14" s="81" t="str">
        <x:f>IF($E14="","",IF($AU14="selected_for_runtime",IF($AM14="competitive_selection",$AR14,COUNTIF($AU$2:AU14,"selected_for_runtime")),""))</x:f>
      </x:c>
      <x:c r="AW14" s="81" t="str">
        <x:f>IF($E14="","",IF($AU14="selected_for_runtime",IF($AD14&gt;=2,"base_40_plus_uncertainty_probes",IF($AE14&gt;=2,"base_40_plus_exploratory_probes","base_40_standard")),"no_runtime"))</x:f>
        <x:v>no_runtime</x:v>
      </x:c>
      <x:c r="AX14" s="81" t="str">
        <x:f>IF($E14="","",IF($AU14&lt;&gt;"selected_for_runtime","none",IF($AE14&gt;=2,"exploratoria",IF($AQ14&gt;=2.2,"alta",IF($AQ14&gt;=1.2,"media","baja")))))</x:f>
        <x:v>none</x:v>
      </x:c>
      <x:c r="AY14" s="81" t="str">
        <x:f>IF($E14="","",IF($AJ14=TRUE,"context_with_coverage_gap",IF($AI14="review","context_requires_confirmation","context_ready")))</x:f>
        <x:v>context_ready</x:v>
      </x:c>
      <x:c r="AZ14" s="81" t="str">
        <x:f>IF($E14="","",IF($AU14&lt;&gt;"selected_for_runtime","no",IF(OR($AY14="context_with_coverage_gap",$AX14="exploratoria"),"ready_with_flags","ready")))</x:f>
        <x:v>no</x:v>
      </x:c>
      <x:c r="BA14" s="81" t="str">
        <x:v>PM: posible proceso contenedor, actor/cliente, trigger o resultado a confirmar en Runtime.</x:v>
      </x:c>
      <x:c r="BB14" s="81" t="str">
        <x:v>MoC: posibles objetos de negocio y relaciones a confirmar; no modelar sin Runtime.</x:v>
      </x:c>
      <x:c r="BC14" s="81" t="str">
        <x:v>PF: posibles pasos, handoffs, esperas o rutas a reconstruir.</x:v>
      </x:c>
      <x:c r="BD14" s="81" t="str">
        <x:v>OLC: posibles estados/transiciones a confirmar si el objeto cambia.</x:v>
      </x:c>
      <x:c r="BE14" s="81" t="str">
        <x:v>Ejemplo v1.2: muestra selección no competitiva cuando &lt;=8 y competitiva cuando &gt;8.</x:v>
      </x:c>
    </x:row>
    <x:row r="15">
      <x:c r="A15" s="81" t="str">
        <x:v>RUN-O8-001</x:v>
      </x:c>
      <x:c r="B15" s="81" t="n">
        <x:v>10</x:v>
      </x:c>
      <x:c r="C15" s="81" t="n">
        <x:v>10</x:v>
      </x:c>
      <x:c r="D15" s="81" t="str"/>
      <x:c r="E15" s="81" t="str">
        <x:v>B008</x:v>
      </x:c>
      <x:c r="F15" s="81" t="str">
        <x:v>R-SAL</x:v>
      </x:c>
      <x:c r="G15" s="81" t="str">
        <x:v>Ventas</x:v>
      </x:c>
      <x:c r="H15" s="81" t="str">
        <x:v>Ejecutivo comercial</x:v>
      </x:c>
      <x:c r="I15" s="81" t="str">
        <x:v>operativo</x:v>
      </x:c>
      <x:c r="J15" s="81" t="str">
        <x:v>gestiona</x:v>
      </x:c>
      <x:c r="K15" s="81" t="str">
        <x:v>Enviar propuesta comercial</x:v>
      </x:c>
      <x:c r="L15" s="81" t="str">
        <x:v>Enviar propuesta y registrar respuesta.</x:v>
      </x:c>
      <x:c r="M15" s="81" t="str">
        <x:v>yes</x:v>
      </x:c>
      <x:c r="N15" s="81" t="str">
        <x:v>yes</x:v>
      </x:c>
      <x:c r="O15" s="81" t="str">
        <x:v>yes</x:v>
      </x:c>
      <x:c r="P15" s="81" t="str">
        <x:v>fit</x:v>
      </x:c>
      <x:c r="Q15" s="81" t="str">
        <x:v>unique</x:v>
      </x:c>
      <x:c r="R15" s="81" t="str">
        <x:v>primary_candidate</x:v>
      </x:c>
      <x:c r="S15" s="82" t="n">
        <x:v>2</x:v>
      </x:c>
      <x:c r="T15" s="82" t="n">
        <x:v>2</x:v>
      </x:c>
      <x:c r="U15" s="82" t="n">
        <x:v>3</x:v>
      </x:c>
      <x:c r="V15" s="82" t="n">
        <x:v>2</x:v>
      </x:c>
      <x:c r="W15" s="82" t="n">
        <x:v>3</x:v>
      </x:c>
      <x:c r="X15" s="82" t="n">
        <x:v>2</x:v>
      </x:c>
      <x:c r="Y15" s="82" t="n">
        <x:v>3</x:v>
      </x:c>
      <x:c r="Z15" s="82" t="n">
        <x:v>3</x:v>
      </x:c>
      <x:c r="AA15" s="82" t="n">
        <x:v>2</x:v>
      </x:c>
      <x:c r="AB15" s="82" t="n">
        <x:v>2</x:v>
      </x:c>
      <x:c r="AC15" s="82" t="n">
        <x:v>3</x:v>
      </x:c>
      <x:c r="AD15" s="82" t="n">
        <x:v>1</x:v>
      </x:c>
      <x:c r="AE15" s="82" t="n">
        <x:v>1</x:v>
      </x:c>
      <x:c r="AF15" s="82" t="n">
        <x:v>0</x:v>
      </x:c>
      <x:c r="AG15" s="82" t="n">
        <x:v>0</x:v>
      </x:c>
      <x:c r="AH15" s="82" t="n">
        <x:v>0</x:v>
      </x:c>
      <x:c r="AI15" s="81" t="str">
        <x:v>ok</x:v>
      </x:c>
      <x:c r="AJ15" s="86" t="b">
        <x:v>0</x:v>
      </x:c>
      <x:c r="AK15" s="81" t="str">
        <x:f>IF($E15="","",IF(AND($M15="yes",OR($N15="yes",$N15="review"),OR($O15="yes",$O15="review"),$P15="fit",OR($Q15="unique",$Q15="alias_review"),$R15&lt;&gt;"context_only"),"pass","review/block"))</x:f>
        <x:v>pass</x:v>
      </x:c>
      <x:c r="AL15" s="81" t="str">
        <x:f>IF($E15="","",IF($AK15="pass","eligible",IF(OR($M15="no",$O15="no",$P15="too_macro",$P15="too_micro",$P15="context_only",$Q15="duplicate_confirmed",$R15="context_only"),"not_eligible","review")))</x:f>
        <x:v>eligible</x:v>
      </x:c>
      <x:c r="AM15" s="81" t="str">
        <x:f>IF($E15="","",IF($C15=0,"reentry_required",IF($C15&lt;=8,"non_competitive_inclusion","competitive_selection")))</x:f>
        <x:v>competitive_selection</x:v>
      </x:c>
      <x:c r="AN15" s="82" t="n">
        <x:f>IF($E15="","",AVERAGE($U15:$X15))</x:f>
        <x:v>2.5</x:v>
      </x:c>
      <x:c r="AO15" s="82" t="n">
        <x:f>IF($E15="","",AVERAGE($S15:$T15))</x:f>
        <x:v>2</x:v>
      </x:c>
      <x:c r="AP15" s="82" t="n">
        <x:f>IF($E15="","",($AF15*0.08)+($AG15*0.08)+($AH15*0.10))</x:f>
        <x:v>0</x:v>
      </x:c>
      <x:c r="AQ15" s="82" t="n">
        <x:f>IF($E15="","",MAX(0,($AN15*0.30)+($Y15*0.20)+($Z15*0.15)+($AA15*0.15)+($AB15*0.10)+($AC15*0.10)+($AE15*0.05)-$AP15))</x:f>
        <x:v>2.6500000000000004</x:v>
      </x:c>
      <x:c r="AR15" s="81" t="n">
        <x:f>IF($E15="","",IF($AM15="competitive_selection",RANK.EQ($AQ15,$AQ$2:$AQ$201,0),""))</x:f>
        <x:v>3</x:v>
      </x:c>
      <x:c r="AS15" s="81" t="str">
        <x:f>IF($E15="","",IF(AND($AM15="non_competitive_inclusion",$AL15="eligible"),"selected",""))</x:f>
      </x:c>
      <x:c r="AT15" s="81" t="str">
        <x:f>IF($E15="","",IF($AM15&lt;&gt;"competitive_selection","",IF(AND($AL15="eligible",$AR15&lt;=8),"selected","context/backlog")))</x:f>
        <x:v>selected</x:v>
      </x:c>
      <x:c r="AU15" s="81" t="str">
        <x:f>IF($E15="","",IF($AM15="reentry_required","not_selected_reentry",IF($AS15="selected","selected_for_runtime",IF($AT15="selected","selected_for_runtime",IF($AL15="review","manual_review","context_or_not_selected")))))</x:f>
        <x:v>selected_for_runtime</x:v>
      </x:c>
      <x:c r="AV15" s="81" t="n">
        <x:f>IF($E15="","",IF($AU15="selected_for_runtime",IF($AM15="competitive_selection",$AR15,COUNTIF($AU$2:AU15,"selected_for_runtime")),""))</x:f>
        <x:v>3</x:v>
      </x:c>
      <x:c r="AW15" s="81" t="str">
        <x:f>IF($E15="","",IF($AU15="selected_for_runtime",IF($AD15&gt;=2,"base_40_plus_uncertainty_probes",IF($AE15&gt;=2,"base_40_plus_exploratory_probes","base_40_standard")),"no_runtime"))</x:f>
        <x:v>base_40_standard</x:v>
      </x:c>
      <x:c r="AX15" s="81" t="str">
        <x:f>IF($E15="","",IF($AU15&lt;&gt;"selected_for_runtime","none",IF($AE15&gt;=2,"exploratoria",IF($AQ15&gt;=2.2,"alta",IF($AQ15&gt;=1.2,"media","baja")))))</x:f>
        <x:v>alta</x:v>
      </x:c>
      <x:c r="AY15" s="81" t="str">
        <x:f>IF($E15="","",IF($AJ15=TRUE,"context_with_coverage_gap",IF($AI15="review","context_requires_confirmation","context_ready")))</x:f>
        <x:v>context_ready</x:v>
      </x:c>
      <x:c r="AZ15" s="81" t="str">
        <x:f>IF($E15="","",IF($AU15&lt;&gt;"selected_for_runtime","no",IF(OR($AY15="context_with_coverage_gap",$AX15="exploratoria"),"ready_with_flags","ready")))</x:f>
        <x:v>ready</x:v>
      </x:c>
      <x:c r="BA15" s="81" t="str">
        <x:v>PM: posible proceso contenedor, actor/cliente, trigger o resultado a confirmar en Runtime.</x:v>
      </x:c>
      <x:c r="BB15" s="81" t="str">
        <x:v>MoC: posibles objetos de negocio y relaciones a confirmar; no modelar sin Runtime.</x:v>
      </x:c>
      <x:c r="BC15" s="81" t="str">
        <x:v>PF: posibles pasos, handoffs, esperas o rutas a reconstruir.</x:v>
      </x:c>
      <x:c r="BD15" s="81" t="str">
        <x:v>OLC: posibles estados/transiciones a confirmar si el objeto cambia.</x:v>
      </x:c>
      <x:c r="BE15" s="81" t="str">
        <x:v>Ejemplo v1.2: muestra selección no competitiva cuando &lt;=8 y competitiva cuando &gt;8.</x:v>
      </x:c>
    </x:row>
    <x:row r="16">
      <x:c r="A16" s="81" t="str">
        <x:v>RUN-O8-001</x:v>
      </x:c>
      <x:c r="B16" s="81" t="n">
        <x:v>10</x:v>
      </x:c>
      <x:c r="C16" s="81" t="n">
        <x:v>10</x:v>
      </x:c>
      <x:c r="D16" s="81" t="str"/>
      <x:c r="E16" s="81" t="str">
        <x:v>B009</x:v>
      </x:c>
      <x:c r="F16" s="81" t="str">
        <x:v>R-POST</x:v>
      </x:c>
      <x:c r="G16" s="81" t="str">
        <x:v>Postventa</x:v>
      </x:c>
      <x:c r="H16" s="81" t="str">
        <x:v>Ejecutivo comercial</x:v>
      </x:c>
      <x:c r="I16" s="81" t="str">
        <x:v>operativo</x:v>
      </x:c>
      <x:c r="J16" s="81" t="str">
        <x:v>coordina</x:v>
      </x:c>
      <x:c r="K16" s="81" t="str">
        <x:v>Derivar caso a postventa</x:v>
      </x:c>
      <x:c r="L16" s="81" t="str">
        <x:v>Derivar cliente a postventa si se cierra venta.</x:v>
      </x:c>
      <x:c r="M16" s="81" t="str">
        <x:v>yes</x:v>
      </x:c>
      <x:c r="N16" s="81" t="str">
        <x:v>yes</x:v>
      </x:c>
      <x:c r="O16" s="81" t="str">
        <x:v>yes</x:v>
      </x:c>
      <x:c r="P16" s="81" t="str">
        <x:v>fit</x:v>
      </x:c>
      <x:c r="Q16" s="81" t="str">
        <x:v>unique</x:v>
      </x:c>
      <x:c r="R16" s="81" t="str">
        <x:v>primary_candidate</x:v>
      </x:c>
      <x:c r="S16" s="82" t="n">
        <x:v>2</x:v>
      </x:c>
      <x:c r="T16" s="82" t="n">
        <x:v>2</x:v>
      </x:c>
      <x:c r="U16" s="82" t="n">
        <x:v>2</x:v>
      </x:c>
      <x:c r="V16" s="82" t="n">
        <x:v>2</x:v>
      </x:c>
      <x:c r="W16" s="82" t="n">
        <x:v>3</x:v>
      </x:c>
      <x:c r="X16" s="82" t="n">
        <x:v>2</x:v>
      </x:c>
      <x:c r="Y16" s="82" t="n">
        <x:v>2</x:v>
      </x:c>
      <x:c r="Z16" s="82" t="n">
        <x:v>3</x:v>
      </x:c>
      <x:c r="AA16" s="82" t="n">
        <x:v>2</x:v>
      </x:c>
      <x:c r="AB16" s="82" t="n">
        <x:v>1</x:v>
      </x:c>
      <x:c r="AC16" s="82" t="n">
        <x:v>2</x:v>
      </x:c>
      <x:c r="AD16" s="82" t="n">
        <x:v>1</x:v>
      </x:c>
      <x:c r="AE16" s="82" t="n">
        <x:v>1</x:v>
      </x:c>
      <x:c r="AF16" s="82" t="n">
        <x:v>0</x:v>
      </x:c>
      <x:c r="AG16" s="82" t="n">
        <x:v>0</x:v>
      </x:c>
      <x:c r="AH16" s="82" t="n">
        <x:v>0</x:v>
      </x:c>
      <x:c r="AI16" s="81" t="str">
        <x:v>ok</x:v>
      </x:c>
      <x:c r="AJ16" s="86" t="b">
        <x:v>0</x:v>
      </x:c>
      <x:c r="AK16" s="81" t="str">
        <x:f>IF($E16="","",IF(AND($M16="yes",OR($N16="yes",$N16="review"),OR($O16="yes",$O16="review"),$P16="fit",OR($Q16="unique",$Q16="alias_review"),$R16&lt;&gt;"context_only"),"pass","review/block"))</x:f>
        <x:v>pass</x:v>
      </x:c>
      <x:c r="AL16" s="81" t="str">
        <x:f>IF($E16="","",IF($AK16="pass","eligible",IF(OR($M16="no",$O16="no",$P16="too_macro",$P16="too_micro",$P16="context_only",$Q16="duplicate_confirmed",$R16="context_only"),"not_eligible","review")))</x:f>
        <x:v>eligible</x:v>
      </x:c>
      <x:c r="AM16" s="81" t="str">
        <x:f>IF($E16="","",IF($C16=0,"reentry_required",IF($C16&lt;=8,"non_competitive_inclusion","competitive_selection")))</x:f>
        <x:v>competitive_selection</x:v>
      </x:c>
      <x:c r="AN16" s="82" t="n">
        <x:f>IF($E16="","",AVERAGE($U16:$X16))</x:f>
        <x:v>2.25</x:v>
      </x:c>
      <x:c r="AO16" s="82" t="n">
        <x:f>IF($E16="","",AVERAGE($S16:$T16))</x:f>
        <x:v>2</x:v>
      </x:c>
      <x:c r="AP16" s="82" t="n">
        <x:f>IF($E16="","",($AF16*0.08)+($AG16*0.08)+($AH16*0.10))</x:f>
        <x:v>0</x:v>
      </x:c>
      <x:c r="AQ16" s="82" t="n">
        <x:f>IF($E16="","",MAX(0,($AN16*0.30)+($Y16*0.20)+($Z16*0.15)+($AA16*0.15)+($AB16*0.10)+($AC16*0.10)+($AE16*0.05)-$AP16))</x:f>
        <x:v>2.175</x:v>
      </x:c>
      <x:c r="AR16" s="81" t="n">
        <x:f>IF($E16="","",IF($AM16="competitive_selection",RANK.EQ($AQ16,$AQ$2:$AQ$201,0),""))</x:f>
        <x:v>9</x:v>
      </x:c>
      <x:c r="AS16" s="81" t="str">
        <x:f>IF($E16="","",IF(AND($AM16="non_competitive_inclusion",$AL16="eligible"),"selected",""))</x:f>
      </x:c>
      <x:c r="AT16" s="81" t="str">
        <x:f>IF($E16="","",IF($AM16&lt;&gt;"competitive_selection","",IF(AND($AL16="eligible",$AR16&lt;=8),"selected","context/backlog")))</x:f>
        <x:v>context/backlog</x:v>
      </x:c>
      <x:c r="AU16" s="81" t="str">
        <x:f>IF($E16="","",IF($AM16="reentry_required","not_selected_reentry",IF($AS16="selected","selected_for_runtime",IF($AT16="selected","selected_for_runtime",IF($AL16="review","manual_review","context_or_not_selected")))))</x:f>
        <x:v>context_or_not_selected</x:v>
      </x:c>
      <x:c r="AV16" s="81" t="str">
        <x:f>IF($E16="","",IF($AU16="selected_for_runtime",IF($AM16="competitive_selection",$AR16,COUNTIF($AU$2:AU16,"selected_for_runtime")),""))</x:f>
      </x:c>
      <x:c r="AW16" s="81" t="str">
        <x:f>IF($E16="","",IF($AU16="selected_for_runtime",IF($AD16&gt;=2,"base_40_plus_uncertainty_probes",IF($AE16&gt;=2,"base_40_plus_exploratory_probes","base_40_standard")),"no_runtime"))</x:f>
        <x:v>no_runtime</x:v>
      </x:c>
      <x:c r="AX16" s="81" t="str">
        <x:f>IF($E16="","",IF($AU16&lt;&gt;"selected_for_runtime","none",IF($AE16&gt;=2,"exploratoria",IF($AQ16&gt;=2.2,"alta",IF($AQ16&gt;=1.2,"media","baja")))))</x:f>
        <x:v>none</x:v>
      </x:c>
      <x:c r="AY16" s="81" t="str">
        <x:f>IF($E16="","",IF($AJ16=TRUE,"context_with_coverage_gap",IF($AI16="review","context_requires_confirmation","context_ready")))</x:f>
        <x:v>context_ready</x:v>
      </x:c>
      <x:c r="AZ16" s="81" t="str">
        <x:f>IF($E16="","",IF($AU16&lt;&gt;"selected_for_runtime","no",IF(OR($AY16="context_with_coverage_gap",$AX16="exploratoria"),"ready_with_flags","ready")))</x:f>
        <x:v>no</x:v>
      </x:c>
      <x:c r="BA16" s="81" t="str">
        <x:v>PM: posible proceso contenedor, actor/cliente, trigger o resultado a confirmar en Runtime.</x:v>
      </x:c>
      <x:c r="BB16" s="81" t="str">
        <x:v>MoC: posibles objetos de negocio y relaciones a confirmar; no modelar sin Runtime.</x:v>
      </x:c>
      <x:c r="BC16" s="81" t="str">
        <x:v>PF: posibles pasos, handoffs, esperas o rutas a reconstruir.</x:v>
      </x:c>
      <x:c r="BD16" s="81" t="str">
        <x:v>OLC: posibles estados/transiciones a confirmar si el objeto cambia.</x:v>
      </x:c>
      <x:c r="BE16" s="81" t="str">
        <x:v>Ejemplo v1.2: muestra selección no competitiva cuando &lt;=8 y competitiva cuando &gt;8.</x:v>
      </x:c>
    </x:row>
    <x:row r="17">
      <x:c r="A17" s="81" t="str">
        <x:v>RUN-O8-001</x:v>
      </x:c>
      <x:c r="B17" s="81" t="n">
        <x:v>10</x:v>
      </x:c>
      <x:c r="C17" s="81" t="n">
        <x:v>10</x:v>
      </x:c>
      <x:c r="D17" s="81" t="str"/>
      <x:c r="E17" s="81" t="str">
        <x:v>B010</x:v>
      </x:c>
      <x:c r="F17" s="81" t="str">
        <x:v>R-ISS</x:v>
      </x:c>
      <x:c r="G17" s="81" t="str">
        <x:v>Soporte</x:v>
      </x:c>
      <x:c r="H17" s="81" t="str">
        <x:v>Ejecutivo comercial</x:v>
      </x:c>
      <x:c r="I17" s="81" t="str">
        <x:v>operativo</x:v>
      </x:c>
      <x:c r="J17" s="81" t="str">
        <x:v>resuelve/excala</x:v>
      </x:c>
      <x:c r="K17" s="81" t="str">
        <x:v>Resolver datos faltantes</x:v>
      </x:c>
      <x:c r="L17" s="81" t="str">
        <x:v>Buscar datos faltantes cuando el caso se bloquea.</x:v>
      </x:c>
      <x:c r="M17" s="81" t="str">
        <x:v>yes</x:v>
      </x:c>
      <x:c r="N17" s="81" t="str">
        <x:v>yes</x:v>
      </x:c>
      <x:c r="O17" s="81" t="str">
        <x:v>yes</x:v>
      </x:c>
      <x:c r="P17" s="81" t="str">
        <x:v>fit</x:v>
      </x:c>
      <x:c r="Q17" s="81" t="str">
        <x:v>unique</x:v>
      </x:c>
      <x:c r="R17" s="81" t="str">
        <x:v>primary_candidate</x:v>
      </x:c>
      <x:c r="S17" s="82" t="n">
        <x:v>2</x:v>
      </x:c>
      <x:c r="T17" s="82" t="n">
        <x:v>2</x:v>
      </x:c>
      <x:c r="U17" s="82" t="n">
        <x:v>1</x:v>
      </x:c>
      <x:c r="V17" s="82" t="n">
        <x:v>2</x:v>
      </x:c>
      <x:c r="W17" s="82" t="n">
        <x:v>3</x:v>
      </x:c>
      <x:c r="X17" s="82" t="n">
        <x:v>1</x:v>
      </x:c>
      <x:c r="Y17" s="82" t="n">
        <x:v>2</x:v>
      </x:c>
      <x:c r="Z17" s="82" t="n">
        <x:v>2</x:v>
      </x:c>
      <x:c r="AA17" s="82" t="n">
        <x:v>1</x:v>
      </x:c>
      <x:c r="AB17" s="82" t="n">
        <x:v>3</x:v>
      </x:c>
      <x:c r="AC17" s="82" t="n">
        <x:v>2</x:v>
      </x:c>
      <x:c r="AD17" s="82" t="n">
        <x:v>2</x:v>
      </x:c>
      <x:c r="AE17" s="82" t="n">
        <x:v>3</x:v>
      </x:c>
      <x:c r="AF17" s="82" t="n">
        <x:v>0</x:v>
      </x:c>
      <x:c r="AG17" s="82" t="n">
        <x:v>0</x:v>
      </x:c>
      <x:c r="AH17" s="82" t="n">
        <x:v>0</x:v>
      </x:c>
      <x:c r="AI17" s="81" t="str">
        <x:v>ok</x:v>
      </x:c>
      <x:c r="AJ17" s="86" t="b">
        <x:v>0</x:v>
      </x:c>
      <x:c r="AK17" s="81" t="str">
        <x:f>IF($E17="","",IF(AND($M17="yes",OR($N17="yes",$N17="review"),OR($O17="yes",$O17="review"),$P17="fit",OR($Q17="unique",$Q17="alias_review"),$R17&lt;&gt;"context_only"),"pass","review/block"))</x:f>
        <x:v>pass</x:v>
      </x:c>
      <x:c r="AL17" s="81" t="str">
        <x:f>IF($E17="","",IF($AK17="pass","eligible",IF(OR($M17="no",$O17="no",$P17="too_macro",$P17="too_micro",$P17="context_only",$Q17="duplicate_confirmed",$R17="context_only"),"not_eligible","review")))</x:f>
        <x:v>eligible</x:v>
      </x:c>
      <x:c r="AM17" s="81" t="str">
        <x:f>IF($E17="","",IF($C17=0,"reentry_required",IF($C17&lt;=8,"non_competitive_inclusion","competitive_selection")))</x:f>
        <x:v>competitive_selection</x:v>
      </x:c>
      <x:c r="AN17" s="82" t="n">
        <x:f>IF($E17="","",AVERAGE($U17:$X17))</x:f>
        <x:v>1.75</x:v>
      </x:c>
      <x:c r="AO17" s="82" t="n">
        <x:f>IF($E17="","",AVERAGE($S17:$T17))</x:f>
        <x:v>2</x:v>
      </x:c>
      <x:c r="AP17" s="82" t="n">
        <x:f>IF($E17="","",($AF17*0.08)+($AG17*0.08)+($AH17*0.10))</x:f>
        <x:v>0</x:v>
      </x:c>
      <x:c r="AQ17" s="82" t="n">
        <x:f>IF($E17="","",MAX(0,($AN17*0.30)+($Y17*0.20)+($Z17*0.15)+($AA17*0.15)+($AB17*0.10)+($AC17*0.10)+($AE17*0.05)-$AP17))</x:f>
        <x:v>2.025</x:v>
      </x:c>
      <x:c r="AR17" s="81" t="n">
        <x:f>IF($E17="","",IF($AM17="competitive_selection",RANK.EQ($AQ17,$AQ$2:$AQ$201,0),""))</x:f>
        <x:v>10</x:v>
      </x:c>
      <x:c r="AS17" s="81" t="str">
        <x:f>IF($E17="","",IF(AND($AM17="non_competitive_inclusion",$AL17="eligible"),"selected",""))</x:f>
      </x:c>
      <x:c r="AT17" s="81" t="str">
        <x:f>IF($E17="","",IF($AM17&lt;&gt;"competitive_selection","",IF(AND($AL17="eligible",$AR17&lt;=8),"selected","context/backlog")))</x:f>
        <x:v>context/backlog</x:v>
      </x:c>
      <x:c r="AU17" s="81" t="str">
        <x:f>IF($E17="","",IF($AM17="reentry_required","not_selected_reentry",IF($AS17="selected","selected_for_runtime",IF($AT17="selected","selected_for_runtime",IF($AL17="review","manual_review","context_or_not_selected")))))</x:f>
        <x:v>context_or_not_selected</x:v>
      </x:c>
      <x:c r="AV17" s="81" t="str">
        <x:f>IF($E17="","",IF($AU17="selected_for_runtime",IF($AM17="competitive_selection",$AR17,COUNTIF($AU$2:AU17,"selected_for_runtime")),""))</x:f>
      </x:c>
      <x:c r="AW17" s="81" t="str">
        <x:f>IF($E17="","",IF($AU17="selected_for_runtime",IF($AD17&gt;=2,"base_40_plus_uncertainty_probes",IF($AE17&gt;=2,"base_40_plus_exploratory_probes","base_40_standard")),"no_runtime"))</x:f>
        <x:v>no_runtime</x:v>
      </x:c>
      <x:c r="AX17" s="81" t="str">
        <x:f>IF($E17="","",IF($AU17&lt;&gt;"selected_for_runtime","none",IF($AE17&gt;=2,"exploratoria",IF($AQ17&gt;=2.2,"alta",IF($AQ17&gt;=1.2,"media","baja")))))</x:f>
        <x:v>none</x:v>
      </x:c>
      <x:c r="AY17" s="81" t="str">
        <x:f>IF($E17="","",IF($AJ17=TRUE,"context_with_coverage_gap",IF($AI17="review","context_requires_confirmation","context_ready")))</x:f>
        <x:v>context_ready</x:v>
      </x:c>
      <x:c r="AZ17" s="81" t="str">
        <x:f>IF($E17="","",IF($AU17&lt;&gt;"selected_for_runtime","no",IF(OR($AY17="context_with_coverage_gap",$AX17="exploratoria"),"ready_with_flags","ready")))</x:f>
        <x:v>no</x:v>
      </x:c>
      <x:c r="BA17" s="81" t="str">
        <x:v>PM: posible proceso contenedor, actor/cliente, trigger o resultado a confirmar en Runtime.</x:v>
      </x:c>
      <x:c r="BB17" s="81" t="str">
        <x:v>MoC: posibles objetos de negocio y relaciones a confirmar; no modelar sin Runtime.</x:v>
      </x:c>
      <x:c r="BC17" s="81" t="str">
        <x:v>PF: posibles pasos, handoffs, esperas o rutas a reconstruir.</x:v>
      </x:c>
      <x:c r="BD17" s="81" t="str">
        <x:v>OLC: posibles estados/transiciones a confirmar si el objeto cambia.</x:v>
      </x:c>
      <x:c r="BE17" s="81" t="str">
        <x:v>Ejemplo v1.2: muestra selección no competitiva cuando &lt;=8 y competitiva cuando &gt;8.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52" hidden="0" customWidth="1"/>
  </x:cols>
  <x:sheetData>
    <x:row r="1">
      <x:c r="A1" s="80" t="str">
        <x:v>Métrica v1.2</x:v>
      </x:c>
      <x:c r="B1" s="80" t="str">
        <x:v>Fórmula / Valor</x:v>
      </x:c>
      <x:c r="C1" s="80" t="str">
        <x:v>Interpretación</x:v>
      </x:c>
    </x:row>
    <x:row r="2">
      <x:c r="A2" s="81" t="str">
        <x:v>Total actividades ejemplo</x:v>
      </x:c>
      <x:c r="B2" s="81" t="n">
        <x:f>COUNTA(Example_Run_v1_2!$E$2:$E$201)</x:f>
        <x:v>16</x:v>
      </x:c>
      <x:c r="C2" s="81" t="str">
        <x:v>Actividades candidatas cargadas en Example_Run_v1_2.</x:v>
      </x:c>
    </x:row>
    <x:row r="3">
      <x:c r="A3" s="81" t="str">
        <x:v>Seleccionadas para Runtime</x:v>
      </x:c>
      <x:c r="B3" s="81" t="n">
        <x:f>COUNTIF(Example_Run_v1_2!$AU$2:$AU$201,"selected_for_runtime")</x:f>
        <x:v>11</x:v>
      </x:c>
      <x:c r="C3" s="81" t="str">
        <x:v>Actividades que pasarían a Significado/Runtime.</x:v>
      </x:c>
    </x:row>
    <x:row r="4">
      <x:c r="A4" s="81" t="str">
        <x:v>Reentry required</x:v>
      </x:c>
      <x:c r="B4" s="81" t="n">
        <x:f>COUNTIF(Example_Run_v1_2!$AM$2:$AM$201,"reentry_required")</x:f>
        <x:v>0</x:v>
      </x:c>
      <x:c r="C4" s="81" t="str">
        <x:v>Candidatas sin actividades elegibles.</x:v>
      </x:c>
    </x:row>
    <x:row r="5">
      <x:c r="A5" s="81" t="str">
        <x:v>Modo no competitivo</x:v>
      </x:c>
      <x:c r="B5" s="81" t="n">
        <x:f>COUNTIF(Example_Run_v1_2!$AM$2:$AM$201,"non_competitive_inclusion")</x:f>
        <x:v>6</x:v>
      </x:c>
      <x:c r="C5" s="81" t="str">
        <x:v>Filas pertenecientes a runs con &lt;=8 actividades elegibles.</x:v>
      </x:c>
    </x:row>
    <x:row r="6">
      <x:c r="A6" s="81" t="str">
        <x:v>Modo competitivo</x:v>
      </x:c>
      <x:c r="B6" s="81" t="n">
        <x:f>COUNTIF(Example_Run_v1_2!$AM$2:$AM$201,"competitive_selection")</x:f>
        <x:v>10</x:v>
      </x:c>
      <x:c r="C6" s="81" t="str">
        <x:v>Filas pertenecientes a runs con &gt;8 actividades elegibles.</x:v>
      </x:c>
    </x:row>
    <x:row r="7">
      <x:c r="A7" s="81" t="str">
        <x:v>Manual review</x:v>
      </x:c>
      <x:c r="B7" s="81" t="n">
        <x:f>COUNTIF(Example_Run_v1_2!$AU$2:$AU$201,"manual_review")</x:f>
        <x:v>0</x:v>
      </x:c>
      <x:c r="C7" s="81" t="str">
        <x:v>Actividades que requieren microconfirmación o revisión.</x:v>
      </x:c>
    </x:row>
    <x:row r="8">
      <x:c r="A8" s="81" t="str">
        <x:v>Context/backlog</x:v>
      </x:c>
      <x:c r="B8" s="81" t="n">
        <x:f>COUNTIF(Example_Run_v1_2!$AU$2:$AU$201,"context_or_not_selected")</x:f>
        <x:v>5</x:v>
      </x:c>
      <x:c r="C8" s="81" t="str">
        <x:v>Actividades conservadas como contexto/backlog.</x:v>
      </x:c>
    </x:row>
    <x:row r="9">
      <x:c r="A9" s="81" t="str">
        <x:v>Ready with flags</x:v>
      </x:c>
      <x:c r="B9" s="81" t="n">
        <x:f>COUNTIF(Example_Run_v1_2!$AZ$2:$AZ$201,"ready_with_flags")</x:f>
        <x:v>2</x:v>
      </x:c>
      <x:c r="C9" s="81" t="str">
        <x:v>Actividades seleccionadas con flags de cobertura/exploración.</x:v>
      </x:c>
    </x:row>
    <x:row r="10">
      <x:c r="A10" s="81" t="str">
        <x:v>Regla bajo 8 activa</x:v>
      </x:c>
      <x:c r="B10" s="81" t="str">
        <x:v>Si eligible_activity_count &lt;= 8 → no ranking competitivo</x:v>
      </x:c>
      <x:c r="C10" s="81" t="str">
        <x:v>Se seleccionan todas las elegibles; el selector valida calidad/cobertura.</x:v>
      </x:c>
    </x:row>
    <x:row r="11">
      <x:c r="A11" s="81" t="str">
        <x:v>Significado ejecuta Runtime</x:v>
      </x:c>
      <x:c r="B11" s="81" t="str">
        <x:v>Sí</x:v>
      </x:c>
      <x:c r="C11" s="81" t="str">
        <x:v>La pantalla Significado recibe actividades seleccionadas y ejecuta 40 base + hasta 20 causales por actividad.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38" hidden="0" customWidth="1"/>
    <x:col min="5" max="5" width="24" hidden="0" customWidth="1"/>
    <x:col min="6" max="6" width="42" hidden="0" customWidth="1"/>
  </x:cols>
  <x:sheetData>
    <x:row r="1">
      <x:c r="A1" s="80" t="str">
        <x:v>Payload Field</x:v>
      </x:c>
      <x:c r="B1" s="80" t="str">
        <x:v>Source</x:v>
      </x:c>
      <x:c r="C1" s="80" t="str">
        <x:v>Required</x:v>
      </x:c>
      <x:c r="D1" s="80" t="str">
        <x:v>Purpose in Significado Runtime</x:v>
      </x:c>
      <x:c r="E1" s="80" t="str">
        <x:v>Epistemic Status</x:v>
      </x:c>
      <x:c r="F1" s="80" t="str">
        <x:v>Notes</x:v>
      </x:c>
    </x:row>
    <x:row r="2">
      <x:c r="A2" s="81" t="str">
        <x:v>selection_run_id</x:v>
      </x:c>
      <x:c r="B2" s="81" t="str">
        <x:v>Selector interno EVE</x:v>
      </x:c>
      <x:c r="C2" s="81" t="str">
        <x:v>Sí</x:v>
      </x:c>
      <x:c r="D2" s="81" t="str">
        <x:v>Agrupa selección y evidencia por run.</x:v>
      </x:c>
      <x:c r="E2" s="81" t="str">
        <x:v>derived_internal</x:v>
      </x:c>
      <x:c r="F2" s="81" t="str">
        <x:v>No visible necesariamente.</x:v>
      </x:c>
    </x:row>
    <x:row r="3">
      <x:c r="A3" s="81" t="str">
        <x:v>selection_mode</x:v>
      </x:c>
      <x:c r="B3" s="81" t="str">
        <x:v>Selector interno EVE</x:v>
      </x:c>
      <x:c r="C3" s="81" t="str">
        <x:v>Sí</x:v>
      </x:c>
      <x:c r="D3" s="81" t="str">
        <x:v>Explica si actividades fueron incluidas todas o priorizadas.</x:v>
      </x:c>
      <x:c r="E3" s="81" t="str">
        <x:v>derived_internal</x:v>
      </x:c>
      <x:c r="F3" s="81" t="str">
        <x:v>No se muestra como scoring técnico al usuario.</x:v>
      </x:c>
    </x:row>
    <x:row r="4">
      <x:c r="A4" s="81" t="str">
        <x:v>primary_activity_list</x:v>
      </x:c>
      <x:c r="B4" s="81" t="str">
        <x:v>Selector interno EVE</x:v>
      </x:c>
      <x:c r="C4" s="81" t="str">
        <x:v>Sí</x:v>
      </x:c>
      <x:c r="D4" s="81" t="str">
        <x:v>Lista de actividades que Significado recorrerá una por una.</x:v>
      </x:c>
      <x:c r="E4" s="81" t="str">
        <x:v>derived_internal + captured labels</x:v>
      </x:c>
      <x:c r="F4" s="81" t="str">
        <x:v>Máximo 8; si &lt;=8 elegibles, todas.</x:v>
      </x:c>
    </x:row>
    <x:row r="5">
      <x:c r="A5" s="81" t="str">
        <x:v>activity_id</x:v>
      </x:c>
      <x:c r="B5" s="81" t="str">
        <x:v>WorkMap</x:v>
      </x:c>
      <x:c r="C5" s="81" t="str">
        <x:v>Sí</x:v>
      </x:c>
      <x:c r="D5" s="81" t="str">
        <x:v>Identificador de actividad primaria en Runtime.</x:v>
      </x:c>
      <x:c r="E5" s="81" t="str">
        <x:v>captured_user_evidence</x:v>
      </x:c>
      <x:c r="F5" s="81" t="str">
        <x:v>Nunca mezclar evidence bundles entre activity_id.</x:v>
      </x:c>
    </x:row>
    <x:row r="6">
      <x:c r="A6" s="81" t="str">
        <x:v>activity_label</x:v>
      </x:c>
      <x:c r="B6" s="81" t="str">
        <x:v>WorkMap</x:v>
      </x:c>
      <x:c r="C6" s="81" t="str">
        <x:v>Sí</x:v>
      </x:c>
      <x:c r="D6" s="81" t="str">
        <x:v>Texto visible de actividad.</x:v>
      </x:c>
      <x:c r="E6" s="81" t="str">
        <x:v>captured_user_evidence</x:v>
      </x:c>
      <x:c r="F6" s="81" t="str">
        <x:v>Puede ser confirmado si hay ambigüedad.</x:v>
      </x:c>
    </x:row>
    <x:row r="7">
      <x:c r="A7" s="81" t="str">
        <x:v>area</x:v>
      </x:c>
      <x:c r="B7" s="81" t="str">
        <x:v>WorkMap</x:v>
      </x:c>
      <x:c r="C7" s="81" t="str">
        <x:v>Sí/Contextual</x:v>
      </x:c>
      <x:c r="D7" s="81" t="str">
        <x:v>Contextualiza pantalla.</x:v>
      </x:c>
      <x:c r="E7" s="81" t="str">
        <x:v>captured_user_evidence/context_only</x:v>
      </x:c>
      <x:c r="F7" s="81" t="str">
        <x:v>No convertir en swimlane PF.</x:v>
      </x:c>
    </x:row>
    <x:row r="8">
      <x:c r="A8" s="81" t="str">
        <x:v>responsibility</x:v>
      </x:c>
      <x:c r="B8" s="81" t="str">
        <x:v>WorkMap</x:v>
      </x:c>
      <x:c r="C8" s="81" t="str">
        <x:v>Sí/Contextual</x:v>
      </x:c>
      <x:c r="D8" s="81" t="str">
        <x:v>Contextualiza actividad y responsabilidad.</x:v>
      </x:c>
      <x:c r="E8" s="81" t="str">
        <x:v>captured_user_evidence/context_only</x:v>
      </x:c>
      <x:c r="F8" s="81" t="str">
        <x:v>No sustituye actividad.</x:v>
      </x:c>
    </x:row>
    <x:row r="9">
      <x:c r="A9" s="81" t="str">
        <x:v>functional_role</x:v>
      </x:c>
      <x:c r="B9" s="81" t="str">
        <x:v>Estado A</x:v>
      </x:c>
      <x:c r="C9" s="81" t="str">
        <x:v>Sí</x:v>
      </x:c>
      <x:c r="D9" s="81" t="str">
        <x:v>Personaliza wording y frontera.</x:v>
      </x:c>
      <x:c r="E9" s="81" t="str">
        <x:v>captured_user_evidence</x:v>
      </x:c>
      <x:c r="F9" s="81" t="str">
        <x:v>Delimita perspectiva del usuario.</x:v>
      </x:c>
    </x:row>
    <x:row r="10">
      <x:c r="A10" s="81" t="str">
        <x:v>decision_level</x:v>
      </x:c>
      <x:c r="B10" s="81" t="str">
        <x:v>Estado A</x:v>
      </x:c>
      <x:c r="C10" s="81" t="str">
        <x:v>Sí/Contextual</x:v>
      </x:c>
      <x:c r="D10" s="81" t="str">
        <x:v>Calibra preguntas sobre discrecionalidad y escalamiento.</x:v>
      </x:c>
      <x:c r="E10" s="81" t="str">
        <x:v>captured_user_evidence</x:v>
      </x:c>
      <x:c r="F10" s="81" t="str">
        <x:v>No diagnosticar autoridad.</x:v>
      </x:c>
    </x:row>
    <x:row r="11">
      <x:c r="A11" s="81" t="str">
        <x:v>authority_scope</x:v>
      </x:c>
      <x:c r="B11" s="81" t="str">
        <x:v>Estado A</x:v>
      </x:c>
      <x:c r="C11" s="81" t="str">
        <x:v>Sí/Contextual</x:v>
      </x:c>
      <x:c r="D11" s="81" t="str">
        <x:v>Detecta tensión de frontera si aparece en Runtime.</x:v>
      </x:c>
      <x:c r="E11" s="81" t="str">
        <x:v>captured_user_evidence</x:v>
      </x:c>
      <x:c r="F11" s="81" t="str">
        <x:v>Si contradice WorkMap, flag no corrección silenciosa.</x:v>
      </x:c>
    </x:row>
    <x:row r="12">
      <x:c r="A12" s="81" t="str">
        <x:v>non_primary_context</x:v>
      </x:c>
      <x:c r="B12" s="81" t="str">
        <x:v>WorkMap/Selector</x:v>
      </x:c>
      <x:c r="C12" s="81" t="str">
        <x:v>Sí si existe</x:v>
      </x:c>
      <x:c r="D12" s="81" t="str">
        <x:v>Conservar contexto total del rol.</x:v>
      </x:c>
      <x:c r="E12" s="81" t="str">
        <x:v>context_only</x:v>
      </x:c>
      <x:c r="F12" s="81" t="str">
        <x:v>No recibe Runtime profundo salvo reentry/promoción posterior.</x:v>
      </x:c>
    </x:row>
    <x:row r="13">
      <x:c r="A13" s="81" t="str">
        <x:v>role_coverage_flag</x:v>
      </x:c>
      <x:c r="B13" s="81" t="str">
        <x:v>Selector</x:v>
      </x:c>
      <x:c r="C13" s="81" t="str">
        <x:v>Sí</x:v>
      </x:c>
      <x:c r="D13" s="81" t="str">
        <x:v>Decide si mostrar microconfirmación de cobertura.</x:v>
      </x:c>
      <x:c r="E13" s="81" t="str">
        <x:v>derived_internal</x:v>
      </x:c>
      <x:c r="F13" s="81" t="str">
        <x:v>Especialmente si 1–3 actividades elegibles.</x:v>
      </x:c>
    </x:row>
    <x:row r="14">
      <x:c r="A14" s="81" t="str">
        <x:v>workmap_coverage_gap</x:v>
      </x:c>
      <x:c r="B14" s="81" t="str">
        <x:v>Selector</x:v>
      </x:c>
      <x:c r="C14" s="81" t="str">
        <x:v>Sí</x:v>
      </x:c>
      <x:c r="D14" s="81" t="str">
        <x:v>Activa microconfirmación antes/durante Significado.</x:v>
      </x:c>
      <x:c r="E14" s="81" t="str">
        <x:v>derived_internal/gap</x:v>
      </x:c>
      <x:c r="F14" s="81" t="str">
        <x:v>No inventar actividades.</x:v>
      </x:c>
    </x:row>
    <x:row r="15">
      <x:c r="A15" s="81" t="str">
        <x:v>runtime_budget</x:v>
      </x:c>
      <x:c r="B15" s="81" t="str">
        <x:v>Catálogo Runtime</x:v>
      </x:c>
      <x:c r="C15" s="81" t="str">
        <x:v>Sí</x:v>
      </x:c>
      <x:c r="D15" s="81" t="str">
        <x:v>40 base + hasta 20 causales por actividad.</x:v>
      </x:c>
      <x:c r="E15" s="81" t="str">
        <x:v>system_rule</x:v>
      </x:c>
      <x:c r="F15" s="81" t="str">
        <x:v>No presentar como 60 preguntas crudas.</x:v>
      </x:c>
    </x:row>
    <x:row r="16">
      <x:c r="A16" s="81" t="str">
        <x:v>runtime_order</x:v>
      </x:c>
      <x:c r="B16" s="81" t="str">
        <x:v>Selector</x:v>
      </x:c>
      <x:c r="C16" s="81" t="str">
        <x:v>Sí</x:v>
      </x:c>
      <x:c r="D16" s="81" t="str">
        <x:v>Orden de actividades en pantalla.</x:v>
      </x:c>
      <x:c r="E16" s="81" t="str">
        <x:v>derived_internal</x:v>
      </x:c>
      <x:c r="F16" s="81" t="str">
        <x:v>Puede priorizar continuidad y fatiga.</x:v>
      </x:c>
    </x:row>
    <x:row r="17">
      <x:c r="A17" s="81" t="str">
        <x:v>opening_message_template</x:v>
      </x:c>
      <x:c r="B17" s="81" t="str">
        <x:v>UX/Runtime</x:v>
      </x:c>
      <x:c r="C17" s="81" t="str">
        <x:v>Sí</x:v>
      </x:c>
      <x:c r="D17" s="81" t="str">
        <x:v>Explica al usuario qué pasará.</x:v>
      </x:c>
      <x:c r="E17" s="81" t="str">
        <x:v>system_copy</x:v>
      </x:c>
      <x:c r="F17" s="81" t="str">
        <x:v>Debe evitar jerga MMABP/VSM/AHE.</x:v>
      </x:c>
    </x:row>
    <x:row r="18">
      <x:c r="A18" s="81" t="str">
        <x:v>activity_evidence_bundle_target</x:v>
      </x:c>
      <x:c r="B18" s="81" t="str">
        <x:v>Runtime</x:v>
      </x:c>
      <x:c r="C18" s="81" t="str">
        <x:v>Sí</x:v>
      </x:c>
      <x:c r="D18" s="81" t="str">
        <x:v>Destino por actividad para respuestas.</x:v>
      </x:c>
      <x:c r="E18" s="81" t="str">
        <x:v>system_target</x:v>
      </x:c>
      <x:c r="F18" s="81" t="str">
        <x:v>Separar por activity_id y role context.</x:v>
      </x:c>
    </x:row>
    <x:row r="19">
      <x:c r="A19" s="81" t="str">
        <x:v>pre_filled_context_claims</x:v>
      </x:c>
      <x:c r="B19" s="81" t="str">
        <x:v>Estado A/WorkMap</x:v>
      </x:c>
      <x:c r="C19" s="81" t="str">
        <x:v>Condicional</x:v>
      </x:c>
      <x:c r="D19" s="81" t="str">
        <x:v>Sugerencias confirmables.</x:v>
      </x:c>
      <x:c r="E19" s="81" t="str">
        <x:v>inferred_from_workmap</x:v>
      </x:c>
      <x:c r="F19" s="81" t="str">
        <x:v>Si afecta variable canónica, confirmar.</x:v>
      </x:c>
    </x:row>
    <x:row r="20">
      <x:c r="A20" s="81" t="str">
        <x:v>runtime_start_condition</x:v>
      </x:c>
      <x:c r="B20" s="81" t="str">
        <x:v>Selector + Significado</x:v>
      </x:c>
      <x:c r="C20" s="81" t="str">
        <x:v>Sí</x:v>
      </x:c>
      <x:c r="D20" s="81" t="str">
        <x:v>Solo iniciar si hay actividad primaria seleccionada y payload válido.</x:v>
      </x:c>
      <x:c r="E20" s="81" t="str">
        <x:v>derived_internal</x:v>
      </x:c>
      <x:c r="F20" s="81" t="str">
        <x:v>Si no, reentry a WorkMap.</x:v>
      </x:c>
    </x:row>
    <x:row r="21">
      <x:c r="A21" s="81" t="str">
        <x:v>runtime_end_condition</x:v>
      </x:c>
      <x:c r="B21" s="81" t="str">
        <x:v>Runtime</x:v>
      </x:c>
      <x:c r="C21" s="81" t="str">
        <x:v>Sí</x:v>
      </x:c>
      <x:c r="D21" s="81" t="str">
        <x:v>Cerrar actividad con readiness/gaps/reentry.</x:v>
      </x:c>
      <x:c r="E21" s="81" t="str">
        <x:v>system_rule</x:v>
      </x:c>
      <x:c r="F21" s="81" t="str">
        <x:v>No diagnóstico final.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55" hidden="0" customWidth="1"/>
    <x:col min="4" max="4" width="55" hidden="0" customWidth="1"/>
    <x:col min="5" max="5" width="35" hidden="0" customWidth="1"/>
  </x:cols>
  <x:sheetData>
    <x:row r="1" ht="15" hidden="0" customHeight="1">
      <x:c r="A1" s="90" t="str">
        <x:v>Orden</x:v>
      </x:c>
      <x:c r="B1" s="90" t="str">
        <x:v>Regla normativa</x:v>
      </x:c>
      <x:c r="C1" s="90" t="str">
        <x:v>Implementación obligatoria</x:v>
      </x:c>
      <x:c r="D1" s="90" t="str">
        <x:v>Prohibición / falla a evitar</x:v>
      </x:c>
      <x:c r="E1" s="90" t="str">
        <x:v>Trazabilidad esperada</x:v>
      </x:c>
    </x:row>
    <x:row r="2" ht="15" hidden="0" customHeight="1">
      <x:c r="A2" s="81" t="n">
        <x:v>1</x:v>
      </x:c>
      <x:c r="B2" s="81" t="str">
        <x:v>Aplicar gates de elegibilidad antes de cualquier scoring.</x:v>
      </x:c>
      <x:c r="C2" s="81" t="str">
        <x:v>Excluir o enviar a reentrada actividades vacías, duplicadas, macro, micro, contextuales o sin trazabilidad WorkMap.</x:v>
      </x:c>
      <x:c r="D2" s="81" t="str">
        <x:v>No rankear texto que no representa actividad de trabajo accionable.</x:v>
      </x:c>
      <x:c r="E2" s="81" t="str">
        <x:v>eligibility_status; exclusion_reason; reentry_target</x:v>
      </x:c>
    </x:row>
    <x:row r="3" ht="15" hidden="0" customHeight="1">
      <x:c r="A3" s="81" t="n">
        <x:v>2</x:v>
      </x:c>
      <x:c r="B3" s="81" t="str">
        <x:v>Determinar modo de selección por conteo elegible.</x:v>
      </x:c>
      <x:c r="C3" s="81" t="str">
        <x:v>0 = reentry_required; 1-8 = non_competitive_inclusion controlada; &gt;8 = competitive_selection.</x:v>
      </x:c>
      <x:c r="D3" s="81" t="str">
        <x:v>No llenar cupos artificialmente; no aplicar ranking competitivo con &lt;=8 elegibles.</x:v>
      </x:c>
      <x:c r="E3" s="81" t="str">
        <x:v>selection_mode; eligible_count; selected_count; non_primary_context_count</x:v>
      </x:c>
    </x:row>
    <x:row r="4" ht="15" hidden="0" customHeight="1">
      <x:c r="A4" s="81" t="n">
        <x:v>3</x:v>
      </x:c>
      <x:c r="B4" s="81" t="str">
        <x:v>La selección pre-Runtime opera bajo incertidumbre.</x:v>
      </x:c>
      <x:c r="C4" s="81" t="str">
        <x:v>Evaluar potencial de señal arquitectónica, no evidencia diagramable confirmada.</x:v>
      </x:c>
      <x:c r="D4" s="81" t="str">
        <x:v>No exigir cliente, objeto, estado, transición o timer explícitos antes de Runtime.</x:v>
      </x:c>
      <x:c r="E4" s="81" t="str">
        <x:v>signal_potential_fields; confidence_level</x:v>
      </x:c>
    </x:row>
    <x:row r="5" ht="15" hidden="0" customHeight="1">
      <x:c r="A5" s="81" t="n">
        <x:v>4</x:v>
      </x:c>
      <x:c r="B5" s="81" t="str">
        <x:v>Responsibility balance es corrección de diversidad, no motor principal.</x:v>
      </x:c>
      <x:c r="C5" s="81" t="str">
        <x:v>Usarlo solo como desempate, cobertura mínima o ajuste pequeño máximo 0.05.</x:v>
      </x:c>
      <x:c r="D5" s="81" t="str">
        <x:v>No seleccionar por representar responsabilidades si desplaza actividades de mayor señal arquitectónica.</x:v>
      </x:c>
      <x:c r="E5" s="81" t="str">
        <x:v>responsibility_balance_adjustment; diversity_note</x:v>
      </x:c>
    </x:row>
    <x:row r="6" ht="15" hidden="0" customHeight="1">
      <x:c r="A6" s="81" t="n">
        <x:v>5</x:v>
      </x:c>
      <x:c r="B6" s="81" t="str">
        <x:v>Structural score no puede ser solo léxico.</x:v>
      </x:c>
      <x:c r="C6" s="81" t="str">
        <x:v>Debe combinar señales PM/MoC/PF/OLC, transformación, handoff, timer, sincronización, fricción y centralidad.</x:v>
      </x:c>
      <x:c r="D6" s="81" t="str">
        <x:v>No usar conteo de verbos/sustantivos como proxy suficiente.</x:v>
      </x:c>
      <x:c r="E6" s="81" t="str">
        <x:v>architectural_signal_potential; component_scores</x:v>
      </x:c>
    </x:row>
    <x:row r="7" ht="15" hidden="0" customHeight="1">
      <x:c r="A7" s="81" t="n">
        <x:v>6</x:v>
      </x:c>
      <x:c r="B7" s="81" t="str">
        <x:v>Aplicar boosts críticos por señal arquitectónica.</x:v>
      </x:c>
      <x:c r="C7" s="81" t="str">
        <x:v>Aumentar prioridad de actividades con transformación/objeto, handoff/timer, sincronización transversal, PF/OLC risk o feedback externo probable.</x:v>
      </x:c>
      <x:c r="D7" s="81" t="str">
        <x:v>No dejar fuera señales fuertes porque otra responsabilidad necesita balance.</x:v>
      </x:c>
      <x:c r="E7" s="81" t="str">
        <x:v>boost_fields; preferred_slot_candidate</x:v>
      </x:c>
    </x:row>
    <x:row r="8" ht="15" hidden="0" customHeight="1">
      <x:c r="A8" s="81" t="n">
        <x:v>7</x:v>
      </x:c>
      <x:c r="B8" s="81" t="str">
        <x:v>Aplicar política de slots especiales antes de completar por score.</x:v>
      </x:c>
      <x:c r="C8" s="81" t="str">
        <x:v>Reservar slots funcionales para alta señal total, transformación/objeto, handoff/timer, sincronización/gobernanza, PF/OLC risk y exploratorio.</x:v>
      </x:c>
      <x:c r="D8" s="81" t="str">
        <x:v>No llenar los 8 solo con ranking plano.</x:v>
      </x:c>
      <x:c r="E8" s="81" t="str">
        <x:v>selected_slot; slot_reason</x:v>
      </x:c>
    </x:row>
    <x:row r="9" ht="15" hidden="0" customHeight="1">
      <x:c r="A9" s="81" t="n">
        <x:v>8</x:v>
      </x:c>
      <x:c r="B9" s="81" t="str">
        <x:v>Aplicar penalizaciones prudentes.</x:v>
      </x:c>
      <x:c r="C9" s="81" t="str">
        <x:v>Penalizar duplicado, macro, micro, excesiva especificidad de herramienta, lateralidad contextual y baja capacidad de indagación.</x:v>
      </x:c>
      <x:c r="D9" s="81" t="str">
        <x:v>No castigar unknown como inexistente; solo penalizar imposibilidad de preguntar.</x:v>
      </x:c>
      <x:c r="E9" s="81" t="str">
        <x:v>penalty_fields; unknown_policy</x:v>
      </x:c>
    </x:row>
    <x:row r="10" ht="15" hidden="0" customHeight="1">
      <x:c r="A10" s="81" t="n">
        <x:v>9</x:v>
      </x:c>
      <x:c r="B10" s="81" t="str">
        <x:v>Conservar no primarias como contexto estructural.</x:v>
      </x:c>
      <x:c r="C10" s="81" t="str">
        <x:v>Guardar actividad, responsabilidad, score, razón, posible promoción y relación con seleccionadas.</x:v>
      </x:c>
      <x:c r="D10" s="81" t="str">
        <x:v>No borrar realidad ni llamar irrelevante a lo no seleccionado.</x:v>
      </x:c>
      <x:c r="E10" s="81" t="str">
        <x:v>non_primary_context_status; promotion_condition</x:v>
      </x:c>
    </x:row>
    <x:row r="11" ht="15" hidden="0" customHeight="1">
      <x:c r="A11" s="81" t="n">
        <x:v>10</x:v>
      </x:c>
      <x:c r="B11" s="81" t="str">
        <x:v>Generar razón específica por actividad seleccionada.</x:v>
      </x:c>
      <x:c r="C11" s="81" t="str">
        <x:v>Cada selected_primary_activity debe tener selection_reason_code específico y texto trazable.</x:v>
      </x:c>
      <x:c r="D11" s="81" t="str">
        <x:v>No usar razones genéricas como única explicación: 'Selected by R2.3 structural score with responsibility balance'.</x:v>
      </x:c>
      <x:c r="E11" s="81" t="str">
        <x:v>selection_reason_code; selection_reason_text; trace_flags</x:v>
      </x:c>
    </x:row>
    <x:row r="12" ht="15" hidden="0" customHeight="1">
      <x:c r="A12" s="81" t="n">
        <x:v>11</x:v>
      </x:c>
      <x:c r="B12" s="81" t="str">
        <x:v>La pantalla Significado recibe actividades ya seleccionadas.</x:v>
      </x:c>
      <x:c r="C12" s="81" t="str">
        <x:v>Debe ejecutar Runtime 40/20 por actividad seleccionada, no pedir al usuario que seleccione las 8.</x:v>
      </x:c>
      <x:c r="D12" s="81" t="str">
        <x:v>No delegar metodología de selección al usuario.</x:v>
      </x:c>
      <x:c r="E12" s="81" t="str">
        <x:v>runtime_handoff_payload; currentActivityIndex</x:v>
      </x:c>
    </x:row>
    <x:row r="13" ht="15" hidden="0" customHeight="1">
      <x:c r="A13" s="81" t="n">
        <x:v>12</x:v>
      </x:c>
      <x:c r="B13" s="81" t="str">
        <x:v>Prefill B0 desde WorkMap es candidato, no evidencia cerrada.</x:v>
      </x:c>
      <x:c r="C13" s="81" t="str">
        <x:v>Marcar inferred_from_workmap/context_from_workmap y solicitar confirmación/corrección en Significado.</x:v>
      </x:c>
      <x:c r="D13" s="81" t="str">
        <x:v>No convertir prefill en captured_user_evidence sin confirmación.</x:v>
      </x:c>
      <x:c r="E13" s="81" t="str">
        <x:v>epistemic_status; confirmation_policy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  <x:col min="4" max="4" width="15" hidden="0" customWidth="1"/>
    <x:col min="5" max="5" width="60" hidden="0" customWidth="1"/>
  </x:cols>
  <x:sheetData>
    <x:row r="1" ht="15" hidden="0" customHeight="1">
      <x:c r="A1" s="90" t="str">
        <x:v>Campo</x:v>
      </x:c>
      <x:c r="B1" s="90" t="str">
        <x:v>Tipo / escala</x:v>
      </x:c>
      <x:c r="C1" s="90" t="str">
        <x:v>Regla de cálculo</x:v>
      </x:c>
      <x:c r="D1" s="90" t="str">
        <x:v>Peso / límite</x:v>
      </x:c>
      <x:c r="E1" s="90" t="str">
        <x:v>Uso implementable</x:v>
      </x:c>
    </x:row>
    <x:row r="2" ht="15" hidden="0" customHeight="1">
      <x:c r="A2" s="81" t="str">
        <x:v>pmSignalPotential</x:v>
      </x:c>
      <x:c r="B2" s="81" t="str">
        <x:v>0-1</x:v>
      </x:c>
      <x:c r="C2" s="81" t="str">
        <x:v>Señal débil de cliente, necesidad, proceso contenedor, trigger, resultado o soporte.</x:v>
      </x:c>
      <x:c r="D2" s="81" t="str">
        <x:v>Componente</x:v>
      </x:c>
      <x:c r="E2" s="81" t="str">
        <x:v>No requiere evidencia PM confirmada; solo promesa de indagación.</x:v>
      </x:c>
    </x:row>
    <x:row r="3" ht="15" hidden="0" customHeight="1">
      <x:c r="A3" s="81" t="str">
        <x:v>mocSignalPotential</x:v>
      </x:c>
      <x:c r="B3" s="81" t="str">
        <x:v>0-1</x:v>
      </x:c>
      <x:c r="C3" s="81" t="str">
        <x:v>Señal débil de objeto de negocio, clase candidata, atributo, relación, role, phase, end o alias.</x:v>
      </x:c>
      <x:c r="D3" s="81" t="str">
        <x:v>Componente</x:v>
      </x:c>
      <x:c r="E3" s="81" t="str">
        <x:v>Sustantivos de negocio elevan señal, pero no se convierten en clase hasta Runtime/Producción Paralela.</x:v>
      </x:c>
    </x:row>
    <x:row r="4" ht="15" hidden="0" customHeight="1">
      <x:c r="A4" s="81" t="str">
        <x:v>pfSignalPotential</x:v>
      </x:c>
      <x:c r="B4" s="81" t="str">
        <x:v>0-1</x:v>
      </x:c>
      <x:c r="C4" s="81" t="str">
        <x:v>Señal débil de secuencia, tarea, handoff, espera, ruta alternativa, loop o bloqueo.</x:v>
      </x:c>
      <x:c r="D4" s="81" t="str">
        <x:v>Componente</x:v>
      </x:c>
      <x:c r="E4" s="81" t="str">
        <x:v>Verbos operativos y conectores temporales elevan señal.</x:v>
      </x:c>
    </x:row>
    <x:row r="5" ht="15" hidden="0" customHeight="1">
      <x:c r="A5" s="81" t="str">
        <x:v>olcSignalPotential</x:v>
      </x:c>
      <x:c r="B5" s="81" t="str">
        <x:v>0-1</x:v>
      </x:c>
      <x:c r="C5" s="81" t="str">
        <x:v>Señal débil de nacimiento, cambio, aprobación, rechazo, cancelación, cierre o estado producido.</x:v>
      </x:c>
      <x:c r="D5" s="81" t="str">
        <x:v>Componente</x:v>
      </x:c>
      <x:c r="E5" s="81" t="str">
        <x:v>Cambia estados potenciales; no valida OLC todavía.</x:v>
      </x:c>
    </x:row>
    <x:row r="6" ht="15" hidden="0" customHeight="1">
      <x:c r="A6" s="81" t="str">
        <x:v>architecturalSignalPotential</x:v>
      </x:c>
      <x:c r="B6" s="81" t="str">
        <x:v>0-1</x:v>
      </x:c>
      <x:c r="C6" s="81" t="str">
        <x:v>PROMEDIO(pmSignalPotential:mocSignalPotential:pfSignalPotential:olcSignalPotential).</x:v>
      </x:c>
      <x:c r="D6" s="81" t="str">
        <x:v>0.30</x:v>
      </x:c>
      <x:c r="E6" s="81" t="str">
        <x:v>Criterio principal de priorización bajo incertidumbre.</x:v>
      </x:c>
    </x:row>
    <x:row r="7" ht="15" hidden="0" customHeight="1">
      <x:c r="A7" s="81" t="str">
        <x:v>operationalCentrality</x:v>
      </x:c>
      <x:c r="B7" s="81" t="str">
        <x:v>0-1</x:v>
      </x:c>
      <x:c r="C7" s="81" t="str">
        <x:v>Grado en que la actividad parece central para responsabilidad/rol o continuidad del trabajo.</x:v>
      </x:c>
      <x:c r="D7" s="81" t="str">
        <x:v>0.15</x:v>
      </x:c>
      <x:c r="E7" s="81" t="str">
        <x:v>No equivale a preferencia del usuario.</x:v>
      </x:c>
    </x:row>
    <x:row r="8" ht="15" hidden="0" customHeight="1">
      <x:c r="A8" s="81" t="str">
        <x:v>transformationObjectSignal</x:v>
      </x:c>
      <x:c r="B8" s="81" t="str">
        <x:v>0-1</x:v>
      </x:c>
      <x:c r="C8" s="81" t="str">
        <x:v>Presencia de transformación de objeto, insumo, producto, documento, presupuesto, cotización, estimación, factura, proyecto, activo.</x:v>
      </x:c>
      <x:c r="D8" s="81" t="str">
        <x:v>0.15</x:v>
      </x:c>
      <x:c r="E8" s="81" t="str">
        <x:v>Debe elevar actividades que prometen MoC/OLC y PF productivo.</x:v>
      </x:c>
    </x:row>
    <x:row r="9" ht="15" hidden="0" customHeight="1">
      <x:c r="A9" s="81" t="str">
        <x:v>handoffDependencySignal</x:v>
      </x:c>
      <x:c r="B9" s="81" t="str">
        <x:v>0-1</x:v>
      </x:c>
      <x:c r="C9" s="81" t="str">
        <x:v>Presencia de receptor, proveedor, compras, contratista, dirección, contraloría, operaciones, finanzas, residente, sistema externo o entrega a otro actor.</x:v>
      </x:c>
      <x:c r="D9" s="81" t="str">
        <x:v>0.15</x:v>
      </x:c>
      <x:c r="E9" s="81" t="str">
        <x:v>Protege PM/PF y rutas de feedback/rework.</x:v>
      </x:c>
    </x:row>
    <x:row r="10" ht="15" hidden="0" customHeight="1">
      <x:c r="A10" s="81" t="str">
        <x:v>timerWaitSignal</x:v>
      </x:c>
      <x:c r="B10" s="81" t="str">
        <x:v>0-1</x:v>
      </x:c>
      <x:c r="C10" s="81" t="str">
        <x:v>Presencia de fecha, calendario, compromiso, vencimiento, aprobación esperada, firma pendiente o respuesta externa.</x:v>
      </x:c>
      <x:c r="D10" s="81" t="str">
        <x:v>0.05</x:v>
      </x:c>
      <x:c r="E10" s="81" t="str">
        <x:v>Protege Process State/timer.</x:v>
      </x:c>
    </x:row>
    <x:row r="11" ht="15" hidden="0" customHeight="1">
      <x:c r="A11" s="81" t="str">
        <x:v>synchronizationGovernanceSignal</x:v>
      </x:c>
      <x:c r="B11" s="81" t="str">
        <x:v>0-1</x:v>
      </x:c>
      <x:c r="C11" s="81" t="str">
        <x:v>Presencia de firmas transversales, autorización, aprobación, protocolo, control, regulación, validación institucional.</x:v>
      </x:c>
      <x:c r="D11" s="81" t="str">
        <x:v>0.10</x:v>
      </x:c>
      <x:c r="E11" s="81" t="str">
        <x:v>Protege sincronización PM/PF y gobernanza.</x:v>
      </x:c>
    </x:row>
    <x:row r="12" ht="15" hidden="0" customHeight="1">
      <x:c r="A12" s="81" t="str">
        <x:v>frictionExceptionSignal</x:v>
      </x:c>
      <x:c r="B12" s="81" t="str">
        <x:v>0-1</x:v>
      </x:c>
      <x:c r="C12" s="81" t="str">
        <x:v>Señal de desviación, causa raíz, conciliación, comparación contra sistema/documento, conflicto, rechazo o corrección probable.</x:v>
      </x:c>
      <x:c r="D12" s="81" t="str">
        <x:v>0.10</x:v>
      </x:c>
      <x:c r="E12" s="81" t="str">
        <x:v>Aumenta probabilidad de abrir causales Runtime.</x:v>
      </x:c>
    </x:row>
    <x:row r="13" ht="15" hidden="0" customHeight="1">
      <x:c r="A13" s="81" t="str">
        <x:v>pfOlcRiskSignal</x:v>
      </x:c>
      <x:c r="B13" s="81" t="str">
        <x:v>0-1</x:v>
      </x:c>
      <x:c r="C13" s="81" t="str">
        <x:v>Posibilidad de que el proceso fuerce estados, pagos, autorizaciones, cargas o validaciones con efectos causales fuertes.</x:v>
      </x:c>
      <x:c r="D13" s="81" t="str">
        <x:v>0.05</x:v>
      </x:c>
      <x:c r="E13" s="81" t="str">
        <x:v>Protege consistencia temporal/estructural PF↔OLC.</x:v>
      </x:c>
    </x:row>
    <x:row r="14" ht="15" hidden="0" customHeight="1">
      <x:c r="A14" s="81" t="str">
        <x:v>coverageDiversityValue</x:v>
      </x:c>
      <x:c r="B14" s="81" t="str">
        <x:v>0-1</x:v>
      </x:c>
      <x:c r="C14" s="81" t="str">
        <x:v>Valor marginal de cubrir responsabilidad/área no representada cuando score es comparable.</x:v>
      </x:c>
      <x:c r="D14" s="81" t="str">
        <x:v>0.05</x:v>
      </x:c>
      <x:c r="E14" s="81" t="str">
        <x:v>No debe desplazar actividad de mayor señal crítica.</x:v>
      </x:c>
    </x:row>
    <x:row r="15" ht="15" hidden="0" customHeight="1">
      <x:c r="A15" s="81" t="str">
        <x:v>responsibilityBalanceAdjustment</x:v>
      </x:c>
      <x:c r="B15" s="81" t="str">
        <x:v>-0.05 a +0.05</x:v>
      </x:c>
      <x:c r="C15" s="81" t="str">
        <x:v>Ajuste pequeño por diversidad; tie-breaker o corrector, no driver.</x:v>
      </x:c>
      <x:c r="D15" s="81" t="str">
        <x:v>Máx +0.05</x:v>
      </x:c>
      <x:c r="E15" s="81" t="str">
        <x:v>Si el ajuste decide contra señales críticas, registrar warning.</x:v>
      </x:c>
    </x:row>
    <x:row r="16" ht="15" hidden="0" customHeight="1">
      <x:c r="A16" s="81" t="str">
        <x:v>duplicatePenalty</x:v>
      </x:c>
      <x:c r="B16" s="81" t="str">
        <x:v>0-1</x:v>
      </x:c>
      <x:c r="C16" s="81" t="str">
        <x:v>Penaliza alias o duplicados de actividad ya seleccionada.</x:v>
      </x:c>
      <x:c r="D16" s="81" t="str">
        <x:v>Resta</x:v>
      </x:c>
      <x:c r="E16" s="81" t="str">
        <x:v>Debe fusionar o preservar como contexto.</x:v>
      </x:c>
    </x:row>
    <x:row r="17" ht="15" hidden="0" customHeight="1">
      <x:c r="A17" s="81" t="str">
        <x:v>tooMacroPenalty</x:v>
      </x:c>
      <x:c r="B17" s="81" t="str">
        <x:v>0-1</x:v>
      </x:c>
      <x:c r="C17" s="81" t="str">
        <x:v>Penaliza responsabilidad/macroproceso presentado como actividad.</x:v>
      </x:c>
      <x:c r="D17" s="81" t="str">
        <x:v>Resta</x:v>
      </x:c>
      <x:c r="E17" s="81" t="str">
        <x:v>Reentry a WorkMap o microaclaración.</x:v>
      </x:c>
    </x:row>
    <x:row r="18" ht="15" hidden="0" customHeight="1">
      <x:c r="A18" s="81" t="str">
        <x:v>tooMicroPenalty</x:v>
      </x:c>
      <x:c r="B18" s="81" t="str">
        <x:v>0-1</x:v>
      </x:c>
      <x:c r="C18" s="81" t="str">
        <x:v>Penaliza tarea atómica sin capacidad de sostener Runtime 40/20.</x:v>
      </x:c>
      <x:c r="D18" s="81" t="str">
        <x:v>Resta</x:v>
      </x:c>
      <x:c r="E18" s="81" t="str">
        <x:v>Absorber como subpaso.</x:v>
      </x:c>
    </x:row>
    <x:row r="19" ht="15" hidden="0" customHeight="1">
      <x:c r="A19" s="81" t="str">
        <x:v>overlySpecificToolPenalty</x:v>
      </x:c>
      <x:c r="B19" s="81" t="str">
        <x:v>0-1</x:v>
      </x:c>
      <x:c r="C19" s="81" t="str">
        <x:v>Penaliza actividad demasiado estrecha por herramienta/caso si desplaza núcleo arquitectónico.</x:v>
      </x:c>
      <x:c r="D19" s="81" t="str">
        <x:v>Resta prudente</x:v>
      </x:c>
      <x:c r="E19" s="81" t="str">
        <x:v>No penalizar si el sistema/herramienta es central para identidad o control.</x:v>
      </x:c>
    </x:row>
    <x:row r="20" ht="15" hidden="0" customHeight="1">
      <x:c r="A20" s="81" t="str">
        <x:v>lateralContextPenalty</x:v>
      </x:c>
      <x:c r="B20" s="81" t="str">
        <x:v>0-1</x:v>
      </x:c>
      <x:c r="C20" s="81" t="str">
        <x:v>Penaliza actividad contextual/lateral respecto al rol cuando hay actividades más nucleares.</x:v>
      </x:c>
      <x:c r="D20" s="81" t="str">
        <x:v>Resta prudente</x:v>
      </x:c>
      <x:c r="E20" s="81" t="str">
        <x:v>Puede quedar como contexto o exploratoria.</x:v>
      </x:c>
    </x:row>
    <x:row r="21" ht="15" hidden="0" customHeight="1">
      <x:c r="A21" s="81" t="str">
        <x:v>finalSelectionScore</x:v>
      </x:c>
      <x:c r="B21" s="81" t="str">
        <x:v>0-1+</x:v>
      </x:c>
      <x:c r="C21" s="81" t="str">
        <x:v>0.30*architectural + 0.15*centrality + 0.15*transformation + 0.15*handoff + 0.05*timer + 0.10*sync + 0.10*friction + 0.05*pfOlcRisk + 0.05*coverage + balanceAdjustment - penalties.</x:v>
      </x:c>
      <x:c r="D21" s="81" t="str">
        <x:v>Score base</x:v>
      </x:c>
      <x:c r="E21" s="81" t="str">
        <x:v>Después del score se aplica política de slots y deduplicación.</x:v>
      </x:c>
    </x:row>
    <x:row r="22" ht="15" hidden="0" customHeight="1">
      <x:c r="A22" s="81" t="str">
        <x:v>selected_slot</x:v>
      </x:c>
      <x:c r="B22" s="81" t="str">
        <x:v>enum</x:v>
      </x:c>
      <x:c r="C22" s="81" t="str">
        <x:v>Asignado por special_slot_policy.</x:v>
      </x:c>
      <x:c r="D22" s="81" t="str">
        <x:v>No fórmula simple</x:v>
      </x:c>
      <x:c r="E22" s="81" t="str">
        <x:v>La selección final no debe ser un top 8 plano.</x:v>
      </x:c>
    </x:row>
    <x:row r="23" ht="15" hidden="0" customHeight="1">
      <x:c r="A23" s="81" t="str">
        <x:v>selection_reason_code</x:v>
      </x:c>
      <x:c r="B23" s="81" t="str">
        <x:v>enum</x:v>
      </x:c>
      <x:c r="C23" s="81" t="str">
        <x:v>Debe explicar señal primaria de selección.</x:v>
      </x:c>
      <x:c r="D23" s="81" t="str">
        <x:v>Obligatorio</x:v>
      </x:c>
      <x:c r="E23" s="81" t="str">
        <x:v>Razón genérica no aceptada.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62" hidden="0" customWidth="1"/>
    <x:col min="4" max="4" width="48" hidden="0" customWidth="1"/>
    <x:col min="5" max="5" width="48" hidden="0" customWidth="1"/>
  </x:cols>
  <x:sheetData>
    <x:row r="1" ht="15" hidden="0" customHeight="1">
      <x:c r="A1" s="90" t="str">
        <x:v>Slot</x:v>
      </x:c>
      <x:c r="B1" s="90" t="str">
        <x:v>Nombre</x:v>
      </x:c>
      <x:c r="C1" s="90" t="str">
        <x:v>Criterio de asignación</x:v>
      </x:c>
      <x:c r="D1" s="90" t="str">
        <x:v>Regla de desempate</x:v>
      </x:c>
      <x:c r="E1" s="90" t="str">
        <x:v>Riesgo que evita</x:v>
      </x:c>
    </x:row>
    <x:row r="2" ht="15" hidden="0" customHeight="1">
      <x:c r="A2" s="81" t="n">
        <x:v>1</x:v>
      </x:c>
      <x:c r="B2" s="81" t="str">
        <x:v>Mayor señal arquitectónica total</x:v>
      </x:c>
      <x:c r="C2" s="81" t="str">
        <x:v>Actividad elegible con mayor finalSelectionScore y architecturalSignalPotential alto.</x:v>
      </x:c>
      <x:c r="D2" s="81" t="str">
        <x:v>Mayor PM/MoC/PF/OLC coverage conjunta.</x:v>
      </x:c>
      <x:c r="E2" s="81" t="str">
        <x:v>Seleccionar actividad visible pero pobre.</x:v>
      </x:c>
    </x:row>
    <x:row r="3" ht="15" hidden="0" customHeight="1">
      <x:c r="A3" s="81" t="n">
        <x:v>2</x:v>
      </x:c>
      <x:c r="B3" s="81" t="str">
        <x:v>Transformación / objeto</x:v>
      </x:c>
      <x:c r="C3" s="81" t="str">
        <x:v>Mayor transformationObjectSignal no duplicado.</x:v>
      </x:c>
      <x:c r="D3" s="81" t="str">
        <x:v>Mayor MoC/OLC signal.</x:v>
      </x:c>
      <x:c r="E3" s="81" t="str">
        <x:v>Perder objetos esenciales para MoC/OLC.</x:v>
      </x:c>
    </x:row>
    <x:row r="4" ht="15" hidden="0" customHeight="1">
      <x:c r="A4" s="81" t="n">
        <x:v>3</x:v>
      </x:c>
      <x:c r="B4" s="81" t="str">
        <x:v>Handoff / dependencia / timer</x:v>
      </x:c>
      <x:c r="C4" s="81" t="str">
        <x:v>Mayor handoffDependencySignal o timerWaitSignal.</x:v>
      </x:c>
      <x:c r="D4" s="81" t="str">
        <x:v>Preferir receptor externo, fecha compromiso, espera o feedback probable.</x:v>
      </x:c>
      <x:c r="E4" s="81" t="str">
        <x:v>PF sin Process States ni eventos esperados.</x:v>
      </x:c>
    </x:row>
    <x:row r="5" ht="15" hidden="0" customHeight="1">
      <x:c r="A5" s="81" t="n">
        <x:v>4</x:v>
      </x:c>
      <x:c r="B5" s="81" t="str">
        <x:v>Sincronización / gobernanza transversal</x:v>
      </x:c>
      <x:c r="C5" s="81" t="str">
        <x:v>Mayor synchronizationGovernanceSignal.</x:v>
      </x:c>
      <x:c r="D5" s="81" t="str">
        <x:v>Preferir firmas, aprobaciones, validaciones interárea o control institucional.</x:v>
      </x:c>
      <x:c r="E5" s="81" t="str">
        <x:v>Ocultar soporte, firmas o control transversal.</x:v>
      </x:c>
    </x:row>
    <x:row r="6" ht="15" hidden="0" customHeight="1">
      <x:c r="A6" s="81" t="n">
        <x:v>5</x:v>
      </x:c>
      <x:c r="B6" s="81" t="str">
        <x:v>Riesgo PF↔OLC</x:v>
      </x:c>
      <x:c r="C6" s="81" t="str">
        <x:v>Mayor pfOlcRiskSignal o combinación de validación + autorización + estado producido.</x:v>
      </x:c>
      <x:c r="D6" s="81" t="str">
        <x:v>Preferir pagos, facturas, presupuesto, estimaciones, carga final, cierre financiero.</x:v>
      </x:c>
      <x:c r="E6" s="81" t="str">
        <x:v>Violación causal no observada.</x:v>
      </x:c>
    </x:row>
    <x:row r="7" ht="15" hidden="0" customHeight="1">
      <x:c r="A7" s="81" t="n">
        <x:v>6</x:v>
      </x:c>
      <x:c r="B7" s="81" t="str">
        <x:v>Mayor remanente por score</x:v>
      </x:c>
      <x:c r="C7" s="81" t="str">
        <x:v>Mejor actividad restante por finalSelectionScore.</x:v>
      </x:c>
      <x:c r="D7" s="81" t="str">
        <x:v>Evitar duplicados; balance solo si puntajes cercanos.</x:v>
      </x:c>
      <x:c r="E7" s="81" t="str">
        <x:v>Perder densidad general.</x:v>
      </x:c>
    </x:row>
    <x:row r="8" ht="15" hidden="0" customHeight="1">
      <x:c r="A8" s="81" t="n">
        <x:v>7</x:v>
      </x:c>
      <x:c r="B8" s="81" t="str">
        <x:v>Cobertura de responsabilidad/área con señal suficiente</x:v>
      </x:c>
      <x:c r="C8" s="81" t="str">
        <x:v>Actividad de responsabilidad poco cubierta siempre que supere umbral mínimo de señal.</x:v>
      </x:c>
      <x:c r="D8" s="81" t="str">
        <x:v>No desplazar señales críticas por balance artificial.</x:v>
      </x:c>
      <x:c r="E8" s="81" t="str">
        <x:v>Miopía de una sola responsabilidad sin forzar balance ciego.</x:v>
      </x:c>
    </x:row>
    <x:row r="9" ht="15" hidden="0" customHeight="1">
      <x:c r="A9" s="81" t="n">
        <x:v>8</x:v>
      </x:c>
      <x:c r="B9" s="81" t="str">
        <x:v>Exploratoria / ambigüedad útil</x:v>
      </x:c>
      <x:c r="C9" s="81" t="str">
        <x:v>Actividad ambigua o lateral con alta promesa de revelar soporte oculto, timer, sistema, excepción o control no cubierto.</x:v>
      </x:c>
      <x:c r="D9" s="81" t="str">
        <x:v>Debe tener señal mínima y no ser microtarea.</x:v>
      </x:c>
      <x:c r="E9" s="81" t="str">
        <x:v>Excluir lo que parece raro pero puede revelar arquitectura oculta.</x:v>
      </x:c>
    </x:row>
    <x:row r="10" ht="15" hidden="0" customHeight="1">
      <x:c r="A10" s="81" t="str">
        <x:v>Post-proceso</x:v>
      </x:c>
      <x:c r="B10" s="81" t="str">
        <x:v>Deduplicación</x:v>
      </x:c>
      <x:c r="C10" s="81" t="str">
        <x:v>Si una actividad ocupa varios slots, conservar una sola aparición y reasignar el slot vacante.</x:v>
      </x:c>
      <x:c r="D10" s="81" t="str">
        <x:v>Siguiente candidato del mismo tipo de señal.</x:v>
      </x:c>
      <x:c r="E10" s="81" t="str">
        <x:v>Doble conteo.</x:v>
      </x:c>
    </x:row>
    <x:row r="11" ht="15" hidden="0" customHeight="1">
      <x:c r="A11" s="81" t="str">
        <x:v>Post-proceso</x:v>
      </x:c>
      <x:c r="B11" s="81" t="str">
        <x:v>Promoción de contexto</x:v>
      </x:c>
      <x:c r="C11" s="81" t="str">
        <x:v>Una actividad no primaria puede promoverse si Runtime muestra gap, dependencia o soporte oculto conectado.</x:v>
      </x:c>
      <x:c r="D11" s="81" t="str">
        <x:v>Reentry controlado.</x:v>
      </x:c>
      <x:c r="E11" s="81" t="str">
        <x:v>Borrado de realidad.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70" hidden="0" customWidth="1"/>
    <x:col min="3" max="3" width="55" hidden="0" customWidth="1"/>
    <x:col min="4" max="4" width="45" hidden="0" customWidth="1"/>
  </x:cols>
  <x:sheetData>
    <x:row r="1" ht="15" hidden="0" customHeight="1">
      <x:c r="A1" s="90" t="str">
        <x:v>selection_reason_code</x:v>
      </x:c>
      <x:c r="B1" s="90" t="str">
        <x:v>Texto de razón esperado</x:v>
      </x:c>
      <x:c r="C1" s="90" t="str">
        <x:v>Cuándo se usa</x:v>
      </x:c>
      <x:c r="D1" s="90" t="str">
        <x:v>No usar si...</x:v>
      </x:c>
    </x:row>
    <x:row r="2" ht="15" hidden="0" customHeight="1">
      <x:c r="A2" s="81" t="str">
        <x:v>selected_for_high_architectural_signal</x:v>
      </x:c>
      <x:c r="B2" s="81" t="str">
        <x:v>Seleccionada por alta señal arquitectónica conjunta para PM/MoC/PF/OLC.</x:v>
      </x:c>
      <x:c r="C2" s="81" t="str">
        <x:v>Score total alto y señales distribuidas.</x:v>
      </x:c>
      <x:c r="D2" s="81" t="str">
        <x:v>Solo fue seleccionada por balance.</x:v>
      </x:c>
    </x:row>
    <x:row r="3" ht="15" hidden="0" customHeight="1">
      <x:c r="A3" s="81" t="str">
        <x:v>selected_for_transformation_object_signal</x:v>
      </x:c>
      <x:c r="B3" s="81" t="str">
        <x:v>Seleccionada por transformar un objeto de negocio relevante o producir una salida técnica/financiera significativa.</x:v>
      </x:c>
      <x:c r="C3" s="81" t="str">
        <x:v>Objeto/insumo/producto fuerte.</x:v>
      </x:c>
      <x:c r="D3" s="81" t="str">
        <x:v>La actividad es meramente normativa o contextual.</x:v>
      </x:c>
    </x:row>
    <x:row r="4" ht="15" hidden="0" customHeight="1">
      <x:c r="A4" s="81" t="str">
        <x:v>selected_for_handoff_timer_signal</x:v>
      </x:c>
      <x:c r="B4" s="81" t="str">
        <x:v>Seleccionada por dependencia, receptor externo, fecha compromiso, espera o posible Process State.</x:v>
      </x:c>
      <x:c r="C4" s="81" t="str">
        <x:v>Proveedores, firmas, compras, fecha, aprobación, respuesta externa.</x:v>
      </x:c>
      <x:c r="D4" s="81" t="str">
        <x:v>No hay dependencia observable ni timer.</x:v>
      </x:c>
    </x:row>
    <x:row r="5" ht="15" hidden="0" customHeight="1">
      <x:c r="A5" s="81" t="str">
        <x:v>selected_for_governance_synchronization_signal</x:v>
      </x:c>
      <x:c r="B5" s="81" t="str">
        <x:v>Seleccionada por sincronización transversal, firmas, aprobación, control o validación institucional.</x:v>
      </x:c>
      <x:c r="C5" s="81" t="str">
        <x:v>Contraloría, Operaciones, Finanzas, Dirección, aprobación legal, protocolo.</x:v>
      </x:c>
      <x:c r="D5" s="81" t="str">
        <x:v>Solo representa un trámite individual sin sincronización.</x:v>
      </x:c>
    </x:row>
    <x:row r="6" ht="15" hidden="0" customHeight="1">
      <x:c r="A6" s="81" t="str">
        <x:v>selected_for_pf_olc_risk_signal</x:v>
      </x:c>
      <x:c r="B6" s="81" t="str">
        <x:v>Seleccionada por alta probabilidad de revelar estados, autorizaciones, rechazos, pagos o transiciones causales críticas.</x:v>
      </x:c>
      <x:c r="C6" s="81" t="str">
        <x:v>Estimaciones, facturas, presupuesto, carga, autorización, cierre, recepción.</x:v>
      </x:c>
      <x:c r="D6" s="81" t="str">
        <x:v>No hay estado producido ni transición probable.</x:v>
      </x:c>
    </x:row>
    <x:row r="7" ht="15" hidden="0" customHeight="1">
      <x:c r="A7" s="81" t="str">
        <x:v>selected_for_friction_exception_signal</x:v>
      </x:c>
      <x:c r="B7" s="81" t="str">
        <x:v>Seleccionada por probabilidad de revelar desviaciones, conciliación, causa raíz, rework o inconsistencias sistema-realidad.</x:v>
      </x:c>
      <x:c r="C7" s="81" t="str">
        <x:v>Desviaciones, comparaciones contra Oracle/documento, conciliaciones.</x:v>
      </x:c>
      <x:c r="D7" s="81" t="str">
        <x:v>Es solo reporte rutinario sin fricción probable.</x:v>
      </x:c>
    </x:row>
    <x:row r="8" ht="15" hidden="0" customHeight="1">
      <x:c r="A8" s="81" t="str">
        <x:v>selected_for_exploratory_signal</x:v>
      </x:c>
      <x:c r="B8" s="81" t="str">
        <x:v>Seleccionada como exploratoria por ambigüedad útil o señal lateral que puede revelar soporte oculto.</x:v>
      </x:c>
      <x:c r="C8" s="81" t="str">
        <x:v>Slot 8 o reentry.</x:v>
      </x:c>
      <x:c r="D8" s="81" t="str">
        <x:v>Desplaza actividades críticas más fuertes.</x:v>
      </x:c>
    </x:row>
    <x:row r="9" ht="15" hidden="0" customHeight="1">
      <x:c r="A9" s="81" t="str">
        <x:v>selected_for_coverage_diversity_tiebreaker</x:v>
      </x:c>
      <x:c r="B9" s="81" t="str">
        <x:v>Seleccionada por diversidad de cobertura cuando el score es comparable y no desplaza señales críticas.</x:v>
      </x:c>
      <x:c r="C9" s="81" t="str">
        <x:v>Empate o diferencia pequeña entre candidatos.</x:v>
      </x:c>
      <x:c r="D9" s="81" t="str">
        <x:v>Se usa como razón única para todo el top 8.</x:v>
      </x:c>
    </x:row>
    <x:row r="10" ht="15" hidden="0" customHeight="1">
      <x:c r="A10" s="81" t="str">
        <x:v>not_selected_context_lower_signal</x:v>
      </x:c>
      <x:c r="B10" s="81" t="str">
        <x:v>No seleccionada como primaria; se conserva como contexto WorkMap por menor señal frente a seleccionadas.</x:v>
      </x:c>
      <x:c r="C10" s="81" t="str">
        <x:v>Actividad elegible pero fuera de 8.</x:v>
      </x:c>
      <x:c r="D10" s="81" t="str">
        <x:v>No se conserva contexto.</x:v>
      </x:c>
    </x:row>
    <x:row r="11" ht="15" hidden="0" customHeight="1">
      <x:c r="A11" s="81" t="str">
        <x:v>not_selected_redundant_or_alias</x:v>
      </x:c>
      <x:c r="B11" s="81" t="str">
        <x:v>No seleccionada como primaria por duplicidad o alias; se conserva vinculada a la actividad primaria equivalente.</x:v>
      </x:c>
      <x:c r="C11" s="81" t="str">
        <x:v>Duplicado o variante.</x:v>
      </x:c>
      <x:c r="D11" s="81" t="str">
        <x:v>No existe primaria equivalente.</x:v>
      </x:c>
    </x:row>
    <x:row r="12" ht="15" hidden="0" customHeight="1">
      <x:c r="A12" s="81" t="str">
        <x:v>not_selected_lateral_or_over_specific</x:v>
      </x:c>
      <x:c r="B12" s="81" t="str">
        <x:v>No seleccionada por ser lateral, muy específica de herramienta/caso o menos nuclear que alternativas.</x:v>
      </x:c>
      <x:c r="C12" s="81" t="str">
        <x:v>Ej. caso muy estrecho sin centralidad.</x:v>
      </x:c>
      <x:c r="D12" s="81" t="str">
        <x:v>La herramienta es el núcleo arquitectónico.</x:v>
      </x:c>
    </x:row>
    <x:row r="13" ht="15" hidden="0" customHeight="1">
      <x:c r="A13" s="81" t="str">
        <x:v>blocked_reentry_required</x:v>
      </x:c>
      <x:c r="B13" s="81" t="str">
        <x:v>No seleccionable hasta corregir redacción, granularidad o trazabilidad.</x:v>
      </x:c>
      <x:c r="C13" s="81" t="str">
        <x:v>Gate fallido.</x:v>
      </x:c>
      <x:c r="D13" s="81" t="str">
        <x:v>Actividad cumple gates.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60" hidden="0" customWidth="1"/>
    <x:col min="4" max="4" width="60" hidden="0" customWidth="1"/>
    <x:col min="5" max="5" width="55" hidden="0" customWidth="1"/>
  </x:cols>
  <x:sheetData>
    <x:row r="1" ht="15" hidden="0" customHeight="1">
      <x:c r="A1" s="90" t="str">
        <x:v>QA_ID</x:v>
      </x:c>
      <x:c r="B1" s="90" t="str">
        <x:v>Campo / traza</x:v>
      </x:c>
      <x:c r="C1" s="90" t="str">
        <x:v>Criterio de aprobación</x:v>
      </x:c>
      <x:c r="D1" s="90" t="str">
        <x:v>Falla típica</x:v>
      </x:c>
      <x:c r="E1" s="90" t="str">
        <x:v>Corrección requerida</x:v>
      </x:c>
    </x:row>
    <x:row r="2" ht="15" hidden="0" customHeight="1">
      <x:c r="A2" s="81" t="str">
        <x:v>TQA-01</x:v>
      </x:c>
      <x:c r="B2" s="81" t="str">
        <x:v>selectionMode</x:v>
      </x:c>
      <x:c r="C2" s="81" t="str">
        <x:v>0 elegibles = reentry_required; 1-8 = non_competitive_inclusion; &gt;8 = competitive_selection.</x:v>
      </x:c>
      <x:c r="D2" s="81" t="str">
        <x:v>competitive_selection con &lt;=8 elegibles.</x:v>
      </x:c>
      <x:c r="E2" s="81" t="str">
        <x:v>Actualizar selectionMode resolver.</x:v>
      </x:c>
    </x:row>
    <x:row r="3" ht="15" hidden="0" customHeight="1">
      <x:c r="A3" s="81" t="str">
        <x:v>TQA-02</x:v>
      </x:c>
      <x:c r="B3" s="81" t="str">
        <x:v>selectionReason</x:v>
      </x:c>
      <x:c r="C3" s="81" t="str">
        <x:v>Cada actividad seleccionada tiene reason code específico.</x:v>
      </x:c>
      <x:c r="D3" s="81" t="str">
        <x:v>Selected by R2.3 structural score with responsibility balance.</x:v>
      </x:c>
      <x:c r="E3" s="81" t="str">
        <x:v>Generar selection_reason_code y explanation por señal primaria.</x:v>
      </x:c>
    </x:row>
    <x:row r="4" ht="15" hidden="0" customHeight="1">
      <x:c r="A4" s="81" t="str">
        <x:v>TQA-03</x:v>
      </x:c>
      <x:c r="B4" s="81" t="str">
        <x:v>responsibility_balance</x:v>
      </x:c>
      <x:c r="C4" s="81" t="str">
        <x:v>Ajuste máximo +0.05 o desempate.</x:v>
      </x:c>
      <x:c r="D4" s="81" t="str">
        <x:v>Balance selecciona actividades inferiores y desplaza señales críticas.</x:v>
      </x:c>
      <x:c r="E4" s="81" t="str">
        <x:v>Convertir balance en diversity correction / tiebreaker.</x:v>
      </x:c>
    </x:row>
    <x:row r="5" ht="15" hidden="0" customHeight="1">
      <x:c r="A5" s="81" t="str">
        <x:v>TQA-04</x:v>
      </x:c>
      <x:c r="B5" s="81" t="str">
        <x:v>special_slot_policy</x:v>
      </x:c>
      <x:c r="C5" s="81" t="str">
        <x:v>La selección refleja slots de transformación, handoff/timer, sincronización, PF/OLC y exploratorio.</x:v>
      </x:c>
      <x:c r="D5" s="81" t="str">
        <x:v>Top 8 plano por score genérico.</x:v>
      </x:c>
      <x:c r="E5" s="81" t="str">
        <x:v>Implementar slot assignment antes de completar por score.</x:v>
      </x:c>
    </x:row>
    <x:row r="6" ht="15" hidden="0" customHeight="1">
      <x:c r="A6" s="81" t="str">
        <x:v>TQA-05</x:v>
      </x:c>
      <x:c r="B6" s="81" t="str">
        <x:v>nonPrimaryContext</x:v>
      </x:c>
      <x:c r="C6" s="81" t="str">
        <x:v>No seleccionadas se conservan con contexto y condición de promoción.</x:v>
      </x:c>
      <x:c r="D6" s="81" t="str">
        <x:v>No seleccionadas sin motivo o tratadas como irrelevantes.</x:v>
      </x:c>
      <x:c r="E6" s="81" t="str">
        <x:v>Asignar non_primary_context_status y promotion_condition.</x:v>
      </x:c>
    </x:row>
    <x:row r="7" ht="15" hidden="0" customHeight="1">
      <x:c r="A7" s="81" t="str">
        <x:v>TQA-06</x:v>
      </x:c>
      <x:c r="B7" s="81" t="str">
        <x:v>B0 Prefill</x:v>
      </x:c>
      <x:c r="C7" s="81" t="str">
        <x:v>Prefill WorkMap se marca inferred/context y requiere confirmación para evidencia capturada.</x:v>
      </x:c>
      <x:c r="D7" s="81" t="str">
        <x:v>Prefill pasa como captured_user_evidence.</x:v>
      </x:c>
      <x:c r="E7" s="81" t="str">
        <x:v>Aplicar confirmation_policy en Significado.</x:v>
      </x:c>
    </x:row>
    <x:row r="8" ht="15" hidden="0" customHeight="1">
      <x:c r="A8" s="81" t="str">
        <x:v>TQA-07</x:v>
      </x:c>
      <x:c r="B8" s="81" t="str">
        <x:v>Ranking de calibración</x:v>
      </x:c>
      <x:c r="C8" s="81" t="str">
        <x:v>En caso Director de Costos, actividades de estimaciones, APU, cotizaciones, protocolización y cuantificación no deben quedar fuera salvo razón fuerte.</x:v>
      </x:c>
      <x:c r="D8" s="81" t="str">
        <x:v>Se selecciona Px o manual antes que APU/estimaciones/protocolización sin justificación específica.</x:v>
      </x:c>
      <x:c r="E8" s="81" t="str">
        <x:v>Ajustar boosts y penalties.</x:v>
      </x:c>
    </x:row>
    <x:row r="9" ht="15" hidden="0" customHeight="1">
      <x:c r="A9" s="81" t="str">
        <x:v>TQA-08</x:v>
      </x:c>
      <x:c r="B9" s="81" t="str">
        <x:v>tool_specific_penalty</x:v>
      </x:c>
      <x:c r="C9" s="81" t="str">
        <x:v>Actividades demasiado específicas de sistema/caso tienen penalización si desplazan núcleos arquitectónicos.</x:v>
      </x:c>
      <x:c r="D9" s="81" t="str">
        <x:v>Px seleccionado por score léxico y balance.</x:v>
      </x:c>
      <x:c r="E9" s="81" t="str">
        <x:v>Aplicar overlySpecificToolPenalty salvo centralidad demostrada.</x:v>
      </x:c>
    </x:row>
    <x:row r="10" ht="15" hidden="0" customHeight="1">
      <x:c r="A10" s="81" t="str">
        <x:v>TQA-09</x:v>
      </x:c>
      <x:c r="B10" s="81" t="str">
        <x:v>PF/OLC protection</x:v>
      </x:c>
      <x:c r="C10" s="81" t="str">
        <x:v>Actividades con autorización, recepción, pago, firma o carga final reciben boost PF/OLC.</x:v>
      </x:c>
      <x:c r="D10" s="81" t="str">
        <x:v>Valido estimaciones o protocolizo presupuesto quedan fuera sin explicación.</x:v>
      </x:c>
      <x:c r="E10" s="81" t="str">
        <x:v>Aplicar pfOlcRiskSignal + synchronization boost.</x:v>
      </x:c>
    </x:row>
    <x:row r="11" ht="15" hidden="0" customHeight="1">
      <x:c r="A11" s="81" t="str">
        <x:v>TQA-10</x:v>
      </x:c>
      <x:c r="B11" s="81" t="str">
        <x:v>Timer/Process State protection</x:v>
      </x:c>
      <x:c r="C11" s="81" t="str">
        <x:v>Actividades con fecha compromiso/respuesta externa reciben timerWaitSignal.</x:v>
      </x:c>
      <x:c r="D11" s="81" t="str">
        <x:v>Cotizaciones con fecha compromiso quedan fuera sin razón.</x:v>
      </x:c>
      <x:c r="E11" s="81" t="str">
        <x:v>Aplicar timerWaitSignal y handoffDependencySignal.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4" hidden="0" customWidth="1"/>
    <x:col min="5" max="5" width="50" hidden="0" customWidth="1"/>
    <x:col min="6" max="6" width="60" hidden="0" customWidth="1"/>
    <x:col min="7" max="7" width="18" hidden="0" customWidth="1"/>
    <x:col min="8" max="8" width="3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4" hidden="0" customWidth="1"/>
    <x:col min="18" max="18" width="18" hidden="0" customWidth="1"/>
    <x:col min="19" max="19" width="18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  <x:col min="24" max="24" width="14" hidden="0" customWidth="1"/>
    <x:col min="25" max="25" width="18" hidden="0" customWidth="1"/>
    <x:col min="26" max="26" width="16" hidden="0" customWidth="1"/>
    <x:col min="27" max="27" width="18" hidden="0" customWidth="1"/>
    <x:col min="28" max="28" width="18" hidden="0" customWidth="1"/>
    <x:col min="29" max="29" width="24" hidden="0" customWidth="1"/>
    <x:col min="30" max="30" width="16" hidden="0" customWidth="1"/>
    <x:col min="31" max="31" width="18" hidden="0" customWidth="1"/>
    <x:col min="32" max="32" width="36" hidden="0" customWidth="1"/>
    <x:col min="33" max="33" width="70" hidden="0" customWidth="1"/>
    <x:col min="34" max="34" width="28" hidden="0" customWidth="1"/>
    <x:col min="35" max="35" width="20" hidden="0" customWidth="1"/>
    <x:col min="36" max="36" width="35" hidden="0" customWidth="1"/>
    <x:col min="37" max="37" width="18" hidden="0" customWidth="1"/>
    <x:col min="38" max="38" width="35" hidden="0" customWidth="1"/>
  </x:cols>
  <x:sheetData>
    <x:row r="1" ht="15" hidden="0" customHeight="1">
      <x:c r="A1" s="90" t="str">
        <x:v>activity_id</x:v>
      </x:c>
      <x:c r="B1" s="90" t="str">
        <x:v>responsibility_id</x:v>
      </x:c>
      <x:c r="C1" s="90" t="str">
        <x:v>responsibility_title</x:v>
      </x:c>
      <x:c r="D1" s="90" t="str">
        <x:v>activity_index</x:v>
      </x:c>
      <x:c r="E1" s="90" t="str">
        <x:v>activity_title</x:v>
      </x:c>
      <x:c r="F1" s="90" t="str">
        <x:v>activity_description</x:v>
      </x:c>
      <x:c r="G1" s="90" t="str">
        <x:v>eligibility_status</x:v>
      </x:c>
      <x:c r="H1" s="90" t="str">
        <x:v>exclusion_reason</x:v>
      </x:c>
      <x:c r="I1" s="90" t="str">
        <x:v>pmSignalPotential</x:v>
      </x:c>
      <x:c r="J1" s="90" t="str">
        <x:v>mocSignalPotential</x:v>
      </x:c>
      <x:c r="K1" s="90" t="str">
        <x:v>pfSignalPotential</x:v>
      </x:c>
      <x:c r="L1" s="90" t="str">
        <x:v>olcSignalPotential</x:v>
      </x:c>
      <x:c r="M1" s="90" t="str">
        <x:v>architecturalSignalPotential</x:v>
      </x:c>
      <x:c r="N1" s="90" t="str">
        <x:v>operationalCentrality</x:v>
      </x:c>
      <x:c r="O1" s="90" t="str">
        <x:v>transformationObjectSignal</x:v>
      </x:c>
      <x:c r="P1" s="90" t="str">
        <x:v>handoffDependencySignal</x:v>
      </x:c>
      <x:c r="Q1" s="90" t="str">
        <x:v>timerWaitSignal</x:v>
      </x:c>
      <x:c r="R1" s="90" t="str">
        <x:v>synchronizationGovernanceSignal</x:v>
      </x:c>
      <x:c r="S1" s="90" t="str">
        <x:v>frictionExceptionSignal</x:v>
      </x:c>
      <x:c r="T1" s="90" t="str">
        <x:v>pfOlcRiskSignal</x:v>
      </x:c>
      <x:c r="U1" s="90" t="str">
        <x:v>coverageDiversityValue</x:v>
      </x:c>
      <x:c r="V1" s="90" t="str">
        <x:v>duplicatePenalty</x:v>
      </x:c>
      <x:c r="W1" s="90" t="str">
        <x:v>tooMacroPenalty</x:v>
      </x:c>
      <x:c r="X1" s="90" t="str">
        <x:v>tooMicroPenalty</x:v>
      </x:c>
      <x:c r="Y1" s="90" t="str">
        <x:v>overlySpecificToolPenalty</x:v>
      </x:c>
      <x:c r="Z1" s="90" t="str">
        <x:v>lateralContextPenalty</x:v>
      </x:c>
      <x:c r="AA1" s="90" t="str">
        <x:v>responsibilityBalanceAdjustment</x:v>
      </x:c>
      <x:c r="AB1" s="90" t="str">
        <x:v>finalSelectionScore</x:v>
      </x:c>
      <x:c r="AC1" s="90" t="str">
        <x:v>preferredSlotCandidate</x:v>
      </x:c>
      <x:c r="AD1" s="90" t="str">
        <x:v>selectedSlot</x:v>
      </x:c>
      <x:c r="AE1" s="90" t="str">
        <x:v>selectionStatus</x:v>
      </x:c>
      <x:c r="AF1" s="90" t="str">
        <x:v>selectionReasonCode</x:v>
      </x:c>
      <x:c r="AG1" s="90" t="str">
        <x:v>selectionReasonText</x:v>
      </x:c>
      <x:c r="AH1" s="90" t="str">
        <x:v>nonPrimaryContextStatus</x:v>
      </x:c>
      <x:c r="AI1" s="90" t="str">
        <x:v>runtimeHandoffPriority</x:v>
      </x:c>
      <x:c r="AJ1" s="90" t="str">
        <x:v>traceFlags</x:v>
      </x:c>
      <x:c r="AK1" s="90" t="str">
        <x:v>manualReviewRequired</x:v>
      </x:c>
      <x:c r="AL1" s="90" t="str">
        <x:v>notes</x:v>
      </x:c>
    </x:row>
    <x:row r="2" ht="15" hidden="0" customHeight="1">
      <x:c r="A2" s="81" t="str"/>
      <x:c r="B2" s="81" t="str"/>
      <x:c r="C2" s="81" t="str"/>
      <x:c r="D2" s="81" t="str"/>
      <x:c r="E2" s="81" t="str"/>
      <x:c r="F2" s="81" t="str"/>
      <x:c r="G2" s="81" t="str"/>
      <x:c r="H2" s="81" t="str"/>
      <x:c r="I2" s="82" t="str"/>
      <x:c r="J2" s="82" t="str"/>
      <x:c r="K2" s="82" t="str"/>
      <x:c r="L2" s="82" t="str"/>
      <x:c r="M2" s="82" t="e">
        <x:f>IF(COUNTA(I2:L2)=0,"",AVERAGE(I2:L2))</x:f>
      </x:c>
      <x:c r="N2" s="82" t="str"/>
      <x:c r="O2" s="82" t="str"/>
      <x:c r="P2" s="82" t="str"/>
      <x:c r="Q2" s="82" t="str"/>
      <x:c r="R2" s="82" t="str"/>
      <x:c r="S2" s="82" t="str"/>
      <x:c r="T2" s="82" t="str"/>
      <x:c r="U2" s="82" t="str"/>
      <x:c r="V2" s="82" t="str"/>
      <x:c r="W2" s="82" t="str"/>
      <x:c r="X2" s="82" t="str"/>
      <x:c r="Y2" s="82" t="str"/>
      <x:c r="Z2" s="82" t="str"/>
      <x:c r="AA2" s="82" t="str"/>
      <x:c r="AB2" s="82" t="str">
        <x:f>IF(G2&lt;&gt;"eligible","",MAX(0,(0.30*M2)+(0.15*N2)+(0.15*O2)+(0.15*P2)+(0.05*Q2)+(0.10*R2)+(0.10*S2)+(0.05*T2)+(0.05*U2)+AA2-SUM(V2:Z2)))</x:f>
      </x:c>
      <x:c r="AC2" s="81" t="str">
        <x:f>IF(G2&lt;&gt;"eligible","excluded",IF(AB2&gt;=0.75,"overall_high_signal",IF(O2&gt;=0.75,"transformation_object",IF(OR(P2&gt;=0.75,Q2&gt;=0.75),"handoff_timer",IF(R2&gt;=0.75,"sync_governance",IF(T2&gt;=0.75,"pf_olc_risk","score_pool"))))))</x:f>
        <x:v>excluded</x:v>
      </x:c>
      <x:c r="AD2" s="81" t="str"/>
      <x:c r="AE2" s="81" t="str"/>
      <x:c r="AF2" s="81" t="str"/>
      <x:c r="AG2" s="81" t="str"/>
      <x:c r="AH2" s="81" t="str"/>
      <x:c r="AI2" s="81" t="str"/>
      <x:c r="AJ2" s="81" t="str"/>
      <x:c r="AK2" s="81" t="str">
        <x:f>IF(OR(G2="",G2="eligible"),"No","Sí")</x:f>
        <x:v>No</x:v>
      </x:c>
      <x:c r="AL2" s="81" t="str"/>
    </x:row>
    <x:row r="3" ht="15" hidden="0" customHeight="1">
      <x:c r="A3" s="81" t="str"/>
      <x:c r="B3" s="81" t="str"/>
      <x:c r="C3" s="81" t="str"/>
      <x:c r="D3" s="81" t="str"/>
      <x:c r="E3" s="81" t="str"/>
      <x:c r="F3" s="81" t="str"/>
      <x:c r="G3" s="81" t="str"/>
      <x:c r="H3" s="81" t="str"/>
      <x:c r="I3" s="82" t="str"/>
      <x:c r="J3" s="82" t="str"/>
      <x:c r="K3" s="82" t="str"/>
      <x:c r="L3" s="82" t="str"/>
      <x:c r="M3" s="82" t="e">
        <x:f>IF(COUNTA(I3:L3)=0,"",AVERAGE(I3:L3))</x:f>
      </x:c>
      <x:c r="N3" s="82" t="str"/>
      <x:c r="O3" s="82" t="str"/>
      <x:c r="P3" s="82" t="str"/>
      <x:c r="Q3" s="82" t="str"/>
      <x:c r="R3" s="82" t="str"/>
      <x:c r="S3" s="82" t="str"/>
      <x:c r="T3" s="82" t="str"/>
      <x:c r="U3" s="82" t="str"/>
      <x:c r="V3" s="82" t="str"/>
      <x:c r="W3" s="82" t="str"/>
      <x:c r="X3" s="82" t="str"/>
      <x:c r="Y3" s="82" t="str"/>
      <x:c r="Z3" s="82" t="str"/>
      <x:c r="AA3" s="82" t="str"/>
      <x:c r="AB3" s="82" t="str">
        <x:f>IF(G3&lt;&gt;"eligible","",MAX(0,(0.30*M3)+(0.15*N3)+(0.15*O3)+(0.15*P3)+(0.05*Q3)+(0.10*R3)+(0.10*S3)+(0.05*T3)+(0.05*U3)+AA3-SUM(V3:Z3)))</x:f>
      </x:c>
      <x:c r="AC3" s="81" t="str">
        <x:f>IF(G3&lt;&gt;"eligible","excluded",IF(AB3&gt;=0.75,"overall_high_signal",IF(O3&gt;=0.75,"transformation_object",IF(OR(P3&gt;=0.75,Q3&gt;=0.75),"handoff_timer",IF(R3&gt;=0.75,"sync_governance",IF(T3&gt;=0.75,"pf_olc_risk","score_pool"))))))</x:f>
        <x:v>excluded</x:v>
      </x:c>
      <x:c r="AD3" s="81" t="str"/>
      <x:c r="AE3" s="81" t="str"/>
      <x:c r="AF3" s="81" t="str"/>
      <x:c r="AG3" s="81" t="str"/>
      <x:c r="AH3" s="81" t="str"/>
      <x:c r="AI3" s="81" t="str"/>
      <x:c r="AJ3" s="81" t="str"/>
      <x:c r="AK3" s="81" t="str">
        <x:f>IF(OR(G3="",G3="eligible"),"No","Sí")</x:f>
        <x:v>No</x:v>
      </x:c>
      <x:c r="AL3" s="81" t="str"/>
    </x:row>
    <x:row r="4" ht="15" hidden="0" customHeight="1">
      <x:c r="A4" s="81" t="str"/>
      <x:c r="B4" s="81" t="str"/>
      <x:c r="C4" s="81" t="str"/>
      <x:c r="D4" s="81" t="str"/>
      <x:c r="E4" s="81" t="str"/>
      <x:c r="F4" s="81" t="str"/>
      <x:c r="G4" s="81" t="str"/>
      <x:c r="H4" s="81" t="str"/>
      <x:c r="I4" s="82" t="str"/>
      <x:c r="J4" s="82" t="str"/>
      <x:c r="K4" s="82" t="str"/>
      <x:c r="L4" s="82" t="str"/>
      <x:c r="M4" s="82" t="e">
        <x:f>IF(COUNTA(I4:L4)=0,"",AVERAGE(I4:L4))</x:f>
      </x:c>
      <x:c r="N4" s="82" t="str"/>
      <x:c r="O4" s="82" t="str"/>
      <x:c r="P4" s="82" t="str"/>
      <x:c r="Q4" s="82" t="str"/>
      <x:c r="R4" s="82" t="str"/>
      <x:c r="S4" s="82" t="str"/>
      <x:c r="T4" s="82" t="str"/>
      <x:c r="U4" s="82" t="str"/>
      <x:c r="V4" s="82" t="str"/>
      <x:c r="W4" s="82" t="str"/>
      <x:c r="X4" s="82" t="str"/>
      <x:c r="Y4" s="82" t="str"/>
      <x:c r="Z4" s="82" t="str"/>
      <x:c r="AA4" s="82" t="str"/>
      <x:c r="AB4" s="82" t="str">
        <x:f>IF(G4&lt;&gt;"eligible","",MAX(0,(0.30*M4)+(0.15*N4)+(0.15*O4)+(0.15*P4)+(0.05*Q4)+(0.10*R4)+(0.10*S4)+(0.05*T4)+(0.05*U4)+AA4-SUM(V4:Z4)))</x:f>
      </x:c>
      <x:c r="AC4" s="81" t="str">
        <x:f>IF(G4&lt;&gt;"eligible","excluded",IF(AB4&gt;=0.75,"overall_high_signal",IF(O4&gt;=0.75,"transformation_object",IF(OR(P4&gt;=0.75,Q4&gt;=0.75),"handoff_timer",IF(R4&gt;=0.75,"sync_governance",IF(T4&gt;=0.75,"pf_olc_risk","score_pool"))))))</x:f>
        <x:v>excluded</x:v>
      </x:c>
      <x:c r="AD4" s="81" t="str"/>
      <x:c r="AE4" s="81" t="str"/>
      <x:c r="AF4" s="81" t="str"/>
      <x:c r="AG4" s="81" t="str"/>
      <x:c r="AH4" s="81" t="str"/>
      <x:c r="AI4" s="81" t="str"/>
      <x:c r="AJ4" s="81" t="str"/>
      <x:c r="AK4" s="81" t="str">
        <x:f>IF(OR(G4="",G4="eligible"),"No","Sí")</x:f>
        <x:v>No</x:v>
      </x:c>
      <x:c r="AL4" s="81" t="str"/>
    </x:row>
    <x:row r="5" ht="15" hidden="0" customHeight="1">
      <x:c r="A5" s="81" t="str"/>
      <x:c r="B5" s="81" t="str"/>
      <x:c r="C5" s="81" t="str"/>
      <x:c r="D5" s="81" t="str"/>
      <x:c r="E5" s="81" t="str"/>
      <x:c r="F5" s="81" t="str"/>
      <x:c r="G5" s="81" t="str"/>
      <x:c r="H5" s="81" t="str"/>
      <x:c r="I5" s="82" t="str"/>
      <x:c r="J5" s="82" t="str"/>
      <x:c r="K5" s="82" t="str"/>
      <x:c r="L5" s="82" t="str"/>
      <x:c r="M5" s="82" t="e">
        <x:f>IF(COUNTA(I5:L5)=0,"",AVERAGE(I5:L5))</x:f>
      </x:c>
      <x:c r="N5" s="82" t="str"/>
      <x:c r="O5" s="82" t="str"/>
      <x:c r="P5" s="82" t="str"/>
      <x:c r="Q5" s="82" t="str"/>
      <x:c r="R5" s="82" t="str"/>
      <x:c r="S5" s="82" t="str"/>
      <x:c r="T5" s="82" t="str"/>
      <x:c r="U5" s="82" t="str"/>
      <x:c r="V5" s="82" t="str"/>
      <x:c r="W5" s="82" t="str"/>
      <x:c r="X5" s="82" t="str"/>
      <x:c r="Y5" s="82" t="str"/>
      <x:c r="Z5" s="82" t="str"/>
      <x:c r="AA5" s="82" t="str"/>
      <x:c r="AB5" s="82" t="str">
        <x:f>IF(G5&lt;&gt;"eligible","",MAX(0,(0.30*M5)+(0.15*N5)+(0.15*O5)+(0.15*P5)+(0.05*Q5)+(0.10*R5)+(0.10*S5)+(0.05*T5)+(0.05*U5)+AA5-SUM(V5:Z5)))</x:f>
      </x:c>
      <x:c r="AC5" s="81" t="str">
        <x:f>IF(G5&lt;&gt;"eligible","excluded",IF(AB5&gt;=0.75,"overall_high_signal",IF(O5&gt;=0.75,"transformation_object",IF(OR(P5&gt;=0.75,Q5&gt;=0.75),"handoff_timer",IF(R5&gt;=0.75,"sync_governance",IF(T5&gt;=0.75,"pf_olc_risk","score_pool"))))))</x:f>
        <x:v>excluded</x:v>
      </x:c>
      <x:c r="AD5" s="81" t="str"/>
      <x:c r="AE5" s="81" t="str"/>
      <x:c r="AF5" s="81" t="str"/>
      <x:c r="AG5" s="81" t="str"/>
      <x:c r="AH5" s="81" t="str"/>
      <x:c r="AI5" s="81" t="str"/>
      <x:c r="AJ5" s="81" t="str"/>
      <x:c r="AK5" s="81" t="str">
        <x:f>IF(OR(G5="",G5="eligible"),"No","Sí")</x:f>
        <x:v>No</x:v>
      </x:c>
      <x:c r="AL5" s="81" t="str"/>
    </x:row>
    <x:row r="6" ht="15" hidden="0" customHeight="1">
      <x:c r="A6" s="81" t="str"/>
      <x:c r="B6" s="81" t="str"/>
      <x:c r="C6" s="81" t="str"/>
      <x:c r="D6" s="81" t="str"/>
      <x:c r="E6" s="81" t="str"/>
      <x:c r="F6" s="81" t="str"/>
      <x:c r="G6" s="81" t="str"/>
      <x:c r="H6" s="81" t="str"/>
      <x:c r="I6" s="82" t="str"/>
      <x:c r="J6" s="82" t="str"/>
      <x:c r="K6" s="82" t="str"/>
      <x:c r="L6" s="82" t="str"/>
      <x:c r="M6" s="82" t="e">
        <x:f>IF(COUNTA(I6:L6)=0,"",AVERAGE(I6:L6))</x:f>
      </x:c>
      <x:c r="N6" s="82" t="str"/>
      <x:c r="O6" s="82" t="str"/>
      <x:c r="P6" s="82" t="str"/>
      <x:c r="Q6" s="82" t="str"/>
      <x:c r="R6" s="82" t="str"/>
      <x:c r="S6" s="82" t="str"/>
      <x:c r="T6" s="82" t="str"/>
      <x:c r="U6" s="82" t="str"/>
      <x:c r="V6" s="82" t="str"/>
      <x:c r="W6" s="82" t="str"/>
      <x:c r="X6" s="82" t="str"/>
      <x:c r="Y6" s="82" t="str"/>
      <x:c r="Z6" s="82" t="str"/>
      <x:c r="AA6" s="82" t="str"/>
      <x:c r="AB6" s="82" t="str">
        <x:f>IF(G6&lt;&gt;"eligible","",MAX(0,(0.30*M6)+(0.15*N6)+(0.15*O6)+(0.15*P6)+(0.05*Q6)+(0.10*R6)+(0.10*S6)+(0.05*T6)+(0.05*U6)+AA6-SUM(V6:Z6)))</x:f>
      </x:c>
      <x:c r="AC6" s="81" t="str">
        <x:f>IF(G6&lt;&gt;"eligible","excluded",IF(AB6&gt;=0.75,"overall_high_signal",IF(O6&gt;=0.75,"transformation_object",IF(OR(P6&gt;=0.75,Q6&gt;=0.75),"handoff_timer",IF(R6&gt;=0.75,"sync_governance",IF(T6&gt;=0.75,"pf_olc_risk","score_pool"))))))</x:f>
        <x:v>excluded</x:v>
      </x:c>
      <x:c r="AD6" s="81" t="str"/>
      <x:c r="AE6" s="81" t="str"/>
      <x:c r="AF6" s="81" t="str"/>
      <x:c r="AG6" s="81" t="str"/>
      <x:c r="AH6" s="81" t="str"/>
      <x:c r="AI6" s="81" t="str"/>
      <x:c r="AJ6" s="81" t="str"/>
      <x:c r="AK6" s="81" t="str">
        <x:f>IF(OR(G6="",G6="eligible"),"No","Sí")</x:f>
        <x:v>No</x:v>
      </x:c>
      <x:c r="AL6" s="81" t="str"/>
    </x:row>
    <x:row r="7" ht="15" hidden="0" customHeight="1">
      <x:c r="A7" s="81" t="str"/>
      <x:c r="B7" s="81" t="str"/>
      <x:c r="C7" s="81" t="str"/>
      <x:c r="D7" s="81" t="str"/>
      <x:c r="E7" s="81" t="str"/>
      <x:c r="F7" s="81" t="str"/>
      <x:c r="G7" s="81" t="str"/>
      <x:c r="H7" s="81" t="str"/>
      <x:c r="I7" s="82" t="str"/>
      <x:c r="J7" s="82" t="str"/>
      <x:c r="K7" s="82" t="str"/>
      <x:c r="L7" s="82" t="str"/>
      <x:c r="M7" s="82" t="e">
        <x:f>IF(COUNTA(I7:L7)=0,"",AVERAGE(I7:L7))</x:f>
      </x:c>
      <x:c r="N7" s="82" t="str"/>
      <x:c r="O7" s="82" t="str"/>
      <x:c r="P7" s="82" t="str"/>
      <x:c r="Q7" s="82" t="str"/>
      <x:c r="R7" s="82" t="str"/>
      <x:c r="S7" s="82" t="str"/>
      <x:c r="T7" s="82" t="str"/>
      <x:c r="U7" s="82" t="str"/>
      <x:c r="V7" s="82" t="str"/>
      <x:c r="W7" s="82" t="str"/>
      <x:c r="X7" s="82" t="str"/>
      <x:c r="Y7" s="82" t="str"/>
      <x:c r="Z7" s="82" t="str"/>
      <x:c r="AA7" s="82" t="str"/>
      <x:c r="AB7" s="82" t="str">
        <x:f>IF(G7&lt;&gt;"eligible","",MAX(0,(0.30*M7)+(0.15*N7)+(0.15*O7)+(0.15*P7)+(0.05*Q7)+(0.10*R7)+(0.10*S7)+(0.05*T7)+(0.05*U7)+AA7-SUM(V7:Z7)))</x:f>
      </x:c>
      <x:c r="AC7" s="81" t="str">
        <x:f>IF(G7&lt;&gt;"eligible","excluded",IF(AB7&gt;=0.75,"overall_high_signal",IF(O7&gt;=0.75,"transformation_object",IF(OR(P7&gt;=0.75,Q7&gt;=0.75),"handoff_timer",IF(R7&gt;=0.75,"sync_governance",IF(T7&gt;=0.75,"pf_olc_risk","score_pool"))))))</x:f>
        <x:v>excluded</x:v>
      </x:c>
      <x:c r="AD7" s="81" t="str"/>
      <x:c r="AE7" s="81" t="str"/>
      <x:c r="AF7" s="81" t="str"/>
      <x:c r="AG7" s="81" t="str"/>
      <x:c r="AH7" s="81" t="str"/>
      <x:c r="AI7" s="81" t="str"/>
      <x:c r="AJ7" s="81" t="str"/>
      <x:c r="AK7" s="81" t="str">
        <x:f>IF(OR(G7="",G7="eligible"),"No","Sí")</x:f>
        <x:v>No</x:v>
      </x:c>
      <x:c r="AL7" s="81" t="str"/>
    </x:row>
    <x:row r="8" ht="15" hidden="0" customHeight="1">
      <x:c r="A8" s="81" t="str"/>
      <x:c r="B8" s="81" t="str"/>
      <x:c r="C8" s="81" t="str"/>
      <x:c r="D8" s="81" t="str"/>
      <x:c r="E8" s="81" t="str"/>
      <x:c r="F8" s="81" t="str"/>
      <x:c r="G8" s="81" t="str"/>
      <x:c r="H8" s="81" t="str"/>
      <x:c r="I8" s="82" t="str"/>
      <x:c r="J8" s="82" t="str"/>
      <x:c r="K8" s="82" t="str"/>
      <x:c r="L8" s="82" t="str"/>
      <x:c r="M8" s="82" t="e">
        <x:f>IF(COUNTA(I8:L8)=0,"",AVERAGE(I8:L8))</x:f>
      </x:c>
      <x:c r="N8" s="82" t="str"/>
      <x:c r="O8" s="82" t="str"/>
      <x:c r="P8" s="82" t="str"/>
      <x:c r="Q8" s="82" t="str"/>
      <x:c r="R8" s="82" t="str"/>
      <x:c r="S8" s="82" t="str"/>
      <x:c r="T8" s="82" t="str"/>
      <x:c r="U8" s="82" t="str"/>
      <x:c r="V8" s="82" t="str"/>
      <x:c r="W8" s="82" t="str"/>
      <x:c r="X8" s="82" t="str"/>
      <x:c r="Y8" s="82" t="str"/>
      <x:c r="Z8" s="82" t="str"/>
      <x:c r="AA8" s="82" t="str"/>
      <x:c r="AB8" s="82" t="str">
        <x:f>IF(G8&lt;&gt;"eligible","",MAX(0,(0.30*M8)+(0.15*N8)+(0.15*O8)+(0.15*P8)+(0.05*Q8)+(0.10*R8)+(0.10*S8)+(0.05*T8)+(0.05*U8)+AA8-SUM(V8:Z8)))</x:f>
      </x:c>
      <x:c r="AC8" s="81" t="str">
        <x:f>IF(G8&lt;&gt;"eligible","excluded",IF(AB8&gt;=0.75,"overall_high_signal",IF(O8&gt;=0.75,"transformation_object",IF(OR(P8&gt;=0.75,Q8&gt;=0.75),"handoff_timer",IF(R8&gt;=0.75,"sync_governance",IF(T8&gt;=0.75,"pf_olc_risk","score_pool"))))))</x:f>
        <x:v>excluded</x:v>
      </x:c>
      <x:c r="AD8" s="81" t="str"/>
      <x:c r="AE8" s="81" t="str"/>
      <x:c r="AF8" s="81" t="str"/>
      <x:c r="AG8" s="81" t="str"/>
      <x:c r="AH8" s="81" t="str"/>
      <x:c r="AI8" s="81" t="str"/>
      <x:c r="AJ8" s="81" t="str"/>
      <x:c r="AK8" s="81" t="str">
        <x:f>IF(OR(G8="",G8="eligible"),"No","Sí")</x:f>
        <x:v>No</x:v>
      </x:c>
      <x:c r="AL8" s="81" t="str"/>
    </x:row>
    <x:row r="9" ht="15" hidden="0" customHeight="1">
      <x:c r="A9" s="81" t="str"/>
      <x:c r="B9" s="81" t="str"/>
      <x:c r="C9" s="81" t="str"/>
      <x:c r="D9" s="81" t="str"/>
      <x:c r="E9" s="81" t="str"/>
      <x:c r="F9" s="81" t="str"/>
      <x:c r="G9" s="81" t="str"/>
      <x:c r="H9" s="81" t="str"/>
      <x:c r="I9" s="82" t="str"/>
      <x:c r="J9" s="82" t="str"/>
      <x:c r="K9" s="82" t="str"/>
      <x:c r="L9" s="82" t="str"/>
      <x:c r="M9" s="82" t="e">
        <x:f>IF(COUNTA(I9:L9)=0,"",AVERAGE(I9:L9))</x:f>
      </x:c>
      <x:c r="N9" s="82" t="str"/>
      <x:c r="O9" s="82" t="str"/>
      <x:c r="P9" s="82" t="str"/>
      <x:c r="Q9" s="82" t="str"/>
      <x:c r="R9" s="82" t="str"/>
      <x:c r="S9" s="82" t="str"/>
      <x:c r="T9" s="82" t="str"/>
      <x:c r="U9" s="82" t="str"/>
      <x:c r="V9" s="82" t="str"/>
      <x:c r="W9" s="82" t="str"/>
      <x:c r="X9" s="82" t="str"/>
      <x:c r="Y9" s="82" t="str"/>
      <x:c r="Z9" s="82" t="str"/>
      <x:c r="AA9" s="82" t="str"/>
      <x:c r="AB9" s="82" t="str">
        <x:f>IF(G9&lt;&gt;"eligible","",MAX(0,(0.30*M9)+(0.15*N9)+(0.15*O9)+(0.15*P9)+(0.05*Q9)+(0.10*R9)+(0.10*S9)+(0.05*T9)+(0.05*U9)+AA9-SUM(V9:Z9)))</x:f>
      </x:c>
      <x:c r="AC9" s="81" t="str">
        <x:f>IF(G9&lt;&gt;"eligible","excluded",IF(AB9&gt;=0.75,"overall_high_signal",IF(O9&gt;=0.75,"transformation_object",IF(OR(P9&gt;=0.75,Q9&gt;=0.75),"handoff_timer",IF(R9&gt;=0.75,"sync_governance",IF(T9&gt;=0.75,"pf_olc_risk","score_pool"))))))</x:f>
        <x:v>excluded</x:v>
      </x:c>
      <x:c r="AD9" s="81" t="str"/>
      <x:c r="AE9" s="81" t="str"/>
      <x:c r="AF9" s="81" t="str"/>
      <x:c r="AG9" s="81" t="str"/>
      <x:c r="AH9" s="81" t="str"/>
      <x:c r="AI9" s="81" t="str"/>
      <x:c r="AJ9" s="81" t="str"/>
      <x:c r="AK9" s="81" t="str">
        <x:f>IF(OR(G9="",G9="eligible"),"No","Sí")</x:f>
        <x:v>No</x:v>
      </x:c>
      <x:c r="AL9" s="81" t="str"/>
    </x:row>
    <x:row r="10" ht="15" hidden="0" customHeight="1">
      <x:c r="A10" s="81" t="str"/>
      <x:c r="B10" s="81" t="str"/>
      <x:c r="C10" s="81" t="str"/>
      <x:c r="D10" s="81" t="str"/>
      <x:c r="E10" s="81" t="str"/>
      <x:c r="F10" s="81" t="str"/>
      <x:c r="G10" s="81" t="str"/>
      <x:c r="H10" s="81" t="str"/>
      <x:c r="I10" s="82" t="str"/>
      <x:c r="J10" s="82" t="str"/>
      <x:c r="K10" s="82" t="str"/>
      <x:c r="L10" s="82" t="str"/>
      <x:c r="M10" s="82" t="e">
        <x:f>IF(COUNTA(I10:L10)=0,"",AVERAGE(I10:L10))</x:f>
      </x:c>
      <x:c r="N10" s="82" t="str"/>
      <x:c r="O10" s="82" t="str"/>
      <x:c r="P10" s="82" t="str"/>
      <x:c r="Q10" s="82" t="str"/>
      <x:c r="R10" s="82" t="str"/>
      <x:c r="S10" s="82" t="str"/>
      <x:c r="T10" s="82" t="str"/>
      <x:c r="U10" s="82" t="str"/>
      <x:c r="V10" s="82" t="str"/>
      <x:c r="W10" s="82" t="str"/>
      <x:c r="X10" s="82" t="str"/>
      <x:c r="Y10" s="82" t="str"/>
      <x:c r="Z10" s="82" t="str"/>
      <x:c r="AA10" s="82" t="str"/>
      <x:c r="AB10" s="82" t="str">
        <x:f>IF(G10&lt;&gt;"eligible","",MAX(0,(0.30*M10)+(0.15*N10)+(0.15*O10)+(0.15*P10)+(0.05*Q10)+(0.10*R10)+(0.10*S10)+(0.05*T10)+(0.05*U10)+AA10-SUM(V10:Z10)))</x:f>
      </x:c>
      <x:c r="AC10" s="81" t="str">
        <x:f>IF(G10&lt;&gt;"eligible","excluded",IF(AB10&gt;=0.75,"overall_high_signal",IF(O10&gt;=0.75,"transformation_object",IF(OR(P10&gt;=0.75,Q10&gt;=0.75),"handoff_timer",IF(R10&gt;=0.75,"sync_governance",IF(T10&gt;=0.75,"pf_olc_risk","score_pool"))))))</x:f>
        <x:v>excluded</x:v>
      </x:c>
      <x:c r="AD10" s="81" t="str"/>
      <x:c r="AE10" s="81" t="str"/>
      <x:c r="AF10" s="81" t="str"/>
      <x:c r="AG10" s="81" t="str"/>
      <x:c r="AH10" s="81" t="str"/>
      <x:c r="AI10" s="81" t="str"/>
      <x:c r="AJ10" s="81" t="str"/>
      <x:c r="AK10" s="81" t="str">
        <x:f>IF(OR(G10="",G10="eligible"),"No","Sí")</x:f>
        <x:v>No</x:v>
      </x:c>
      <x:c r="AL10" s="81" t="str"/>
    </x:row>
    <x:row r="11" ht="15" hidden="0" customHeight="1">
      <x:c r="A11" s="81" t="str"/>
      <x:c r="B11" s="81" t="str"/>
      <x:c r="C11" s="81" t="str"/>
      <x:c r="D11" s="81" t="str"/>
      <x:c r="E11" s="81" t="str"/>
      <x:c r="F11" s="81" t="str"/>
      <x:c r="G11" s="81" t="str"/>
      <x:c r="H11" s="81" t="str"/>
      <x:c r="I11" s="82" t="str"/>
      <x:c r="J11" s="82" t="str"/>
      <x:c r="K11" s="82" t="str"/>
      <x:c r="L11" s="82" t="str"/>
      <x:c r="M11" s="82" t="e">
        <x:f>IF(COUNTA(I11:L11)=0,"",AVERAGE(I11:L11))</x:f>
      </x:c>
      <x:c r="N11" s="82" t="str"/>
      <x:c r="O11" s="82" t="str"/>
      <x:c r="P11" s="82" t="str"/>
      <x:c r="Q11" s="82" t="str"/>
      <x:c r="R11" s="82" t="str"/>
      <x:c r="S11" s="82" t="str"/>
      <x:c r="T11" s="82" t="str"/>
      <x:c r="U11" s="82" t="str"/>
      <x:c r="V11" s="82" t="str"/>
      <x:c r="W11" s="82" t="str"/>
      <x:c r="X11" s="82" t="str"/>
      <x:c r="Y11" s="82" t="str"/>
      <x:c r="Z11" s="82" t="str"/>
      <x:c r="AA11" s="82" t="str"/>
      <x:c r="AB11" s="82" t="str">
        <x:f>IF(G11&lt;&gt;"eligible","",MAX(0,(0.30*M11)+(0.15*N11)+(0.15*O11)+(0.15*P11)+(0.05*Q11)+(0.10*R11)+(0.10*S11)+(0.05*T11)+(0.05*U11)+AA11-SUM(V11:Z11)))</x:f>
      </x:c>
      <x:c r="AC11" s="81" t="str">
        <x:f>IF(G11&lt;&gt;"eligible","excluded",IF(AB11&gt;=0.75,"overall_high_signal",IF(O11&gt;=0.75,"transformation_object",IF(OR(P11&gt;=0.75,Q11&gt;=0.75),"handoff_timer",IF(R11&gt;=0.75,"sync_governance",IF(T11&gt;=0.75,"pf_olc_risk","score_pool"))))))</x:f>
        <x:v>excluded</x:v>
      </x:c>
      <x:c r="AD11" s="81" t="str"/>
      <x:c r="AE11" s="81" t="str"/>
      <x:c r="AF11" s="81" t="str"/>
      <x:c r="AG11" s="81" t="str"/>
      <x:c r="AH11" s="81" t="str"/>
      <x:c r="AI11" s="81" t="str"/>
      <x:c r="AJ11" s="81" t="str"/>
      <x:c r="AK11" s="81" t="str">
        <x:f>IF(OR(G11="",G11="eligible"),"No","Sí")</x:f>
        <x:v>No</x:v>
      </x:c>
      <x:c r="AL11" s="81" t="str"/>
    </x:row>
    <x:row r="12" ht="15" hidden="0" customHeight="1">
      <x:c r="A12" s="81" t="str"/>
      <x:c r="B12" s="81" t="str"/>
      <x:c r="C12" s="81" t="str"/>
      <x:c r="D12" s="81" t="str"/>
      <x:c r="E12" s="81" t="str"/>
      <x:c r="F12" s="81" t="str"/>
      <x:c r="G12" s="81" t="str"/>
      <x:c r="H12" s="81" t="str"/>
      <x:c r="I12" s="82" t="str"/>
      <x:c r="J12" s="82" t="str"/>
      <x:c r="K12" s="82" t="str"/>
      <x:c r="L12" s="82" t="str"/>
      <x:c r="M12" s="82" t="e">
        <x:f>IF(COUNTA(I12:L12)=0,"",AVERAGE(I12:L12))</x:f>
      </x:c>
      <x:c r="N12" s="82" t="str"/>
      <x:c r="O12" s="82" t="str"/>
      <x:c r="P12" s="82" t="str"/>
      <x:c r="Q12" s="82" t="str"/>
      <x:c r="R12" s="82" t="str"/>
      <x:c r="S12" s="82" t="str"/>
      <x:c r="T12" s="82" t="str"/>
      <x:c r="U12" s="82" t="str"/>
      <x:c r="V12" s="82" t="str"/>
      <x:c r="W12" s="82" t="str"/>
      <x:c r="X12" s="82" t="str"/>
      <x:c r="Y12" s="82" t="str"/>
      <x:c r="Z12" s="82" t="str"/>
      <x:c r="AA12" s="82" t="str"/>
      <x:c r="AB12" s="82" t="str">
        <x:f>IF(G12&lt;&gt;"eligible","",MAX(0,(0.30*M12)+(0.15*N12)+(0.15*O12)+(0.15*P12)+(0.05*Q12)+(0.10*R12)+(0.10*S12)+(0.05*T12)+(0.05*U12)+AA12-SUM(V12:Z12)))</x:f>
      </x:c>
      <x:c r="AC12" s="81" t="str">
        <x:f>IF(G12&lt;&gt;"eligible","excluded",IF(AB12&gt;=0.75,"overall_high_signal",IF(O12&gt;=0.75,"transformation_object",IF(OR(P12&gt;=0.75,Q12&gt;=0.75),"handoff_timer",IF(R12&gt;=0.75,"sync_governance",IF(T12&gt;=0.75,"pf_olc_risk","score_pool"))))))</x:f>
        <x:v>excluded</x:v>
      </x:c>
      <x:c r="AD12" s="81" t="str"/>
      <x:c r="AE12" s="81" t="str"/>
      <x:c r="AF12" s="81" t="str"/>
      <x:c r="AG12" s="81" t="str"/>
      <x:c r="AH12" s="81" t="str"/>
      <x:c r="AI12" s="81" t="str"/>
      <x:c r="AJ12" s="81" t="str"/>
      <x:c r="AK12" s="81" t="str">
        <x:f>IF(OR(G12="",G12="eligible"),"No","Sí")</x:f>
        <x:v>No</x:v>
      </x:c>
      <x:c r="AL12" s="81" t="str"/>
    </x:row>
    <x:row r="13" ht="15" hidden="0" customHeight="1">
      <x:c r="A13" s="81" t="str"/>
      <x:c r="B13" s="81" t="str"/>
      <x:c r="C13" s="81" t="str"/>
      <x:c r="D13" s="81" t="str"/>
      <x:c r="E13" s="81" t="str"/>
      <x:c r="F13" s="81" t="str"/>
      <x:c r="G13" s="81" t="str"/>
      <x:c r="H13" s="81" t="str"/>
      <x:c r="I13" s="82" t="str"/>
      <x:c r="J13" s="82" t="str"/>
      <x:c r="K13" s="82" t="str"/>
      <x:c r="L13" s="82" t="str"/>
      <x:c r="M13" s="82" t="e">
        <x:f>IF(COUNTA(I13:L13)=0,"",AVERAGE(I13:L13))</x:f>
      </x:c>
      <x:c r="N13" s="82" t="str"/>
      <x:c r="O13" s="82" t="str"/>
      <x:c r="P13" s="82" t="str"/>
      <x:c r="Q13" s="82" t="str"/>
      <x:c r="R13" s="82" t="str"/>
      <x:c r="S13" s="82" t="str"/>
      <x:c r="T13" s="82" t="str"/>
      <x:c r="U13" s="82" t="str"/>
      <x:c r="V13" s="82" t="str"/>
      <x:c r="W13" s="82" t="str"/>
      <x:c r="X13" s="82" t="str"/>
      <x:c r="Y13" s="82" t="str"/>
      <x:c r="Z13" s="82" t="str"/>
      <x:c r="AA13" s="82" t="str"/>
      <x:c r="AB13" s="82" t="str">
        <x:f>IF(G13&lt;&gt;"eligible","",MAX(0,(0.30*M13)+(0.15*N13)+(0.15*O13)+(0.15*P13)+(0.05*Q13)+(0.10*R13)+(0.10*S13)+(0.05*T13)+(0.05*U13)+AA13-SUM(V13:Z13)))</x:f>
      </x:c>
      <x:c r="AC13" s="81" t="str">
        <x:f>IF(G13&lt;&gt;"eligible","excluded",IF(AB13&gt;=0.75,"overall_high_signal",IF(O13&gt;=0.75,"transformation_object",IF(OR(P13&gt;=0.75,Q13&gt;=0.75),"handoff_timer",IF(R13&gt;=0.75,"sync_governance",IF(T13&gt;=0.75,"pf_olc_risk","score_pool"))))))</x:f>
        <x:v>excluded</x:v>
      </x:c>
      <x:c r="AD13" s="81" t="str"/>
      <x:c r="AE13" s="81" t="str"/>
      <x:c r="AF13" s="81" t="str"/>
      <x:c r="AG13" s="81" t="str"/>
      <x:c r="AH13" s="81" t="str"/>
      <x:c r="AI13" s="81" t="str"/>
      <x:c r="AJ13" s="81" t="str"/>
      <x:c r="AK13" s="81" t="str">
        <x:f>IF(OR(G13="",G13="eligible"),"No","Sí")</x:f>
        <x:v>No</x:v>
      </x:c>
      <x:c r="AL13" s="81" t="str"/>
    </x:row>
    <x:row r="14" ht="15" hidden="0" customHeight="1">
      <x:c r="A14" s="81" t="str"/>
      <x:c r="B14" s="81" t="str"/>
      <x:c r="C14" s="81" t="str"/>
      <x:c r="D14" s="81" t="str"/>
      <x:c r="E14" s="81" t="str"/>
      <x:c r="F14" s="81" t="str"/>
      <x:c r="G14" s="81" t="str"/>
      <x:c r="H14" s="81" t="str"/>
      <x:c r="I14" s="82" t="str"/>
      <x:c r="J14" s="82" t="str"/>
      <x:c r="K14" s="82" t="str"/>
      <x:c r="L14" s="82" t="str"/>
      <x:c r="M14" s="82" t="e">
        <x:f>IF(COUNTA(I14:L14)=0,"",AVERAGE(I14:L14))</x:f>
      </x:c>
      <x:c r="N14" s="82" t="str"/>
      <x:c r="O14" s="82" t="str"/>
      <x:c r="P14" s="82" t="str"/>
      <x:c r="Q14" s="82" t="str"/>
      <x:c r="R14" s="82" t="str"/>
      <x:c r="S14" s="82" t="str"/>
      <x:c r="T14" s="82" t="str"/>
      <x:c r="U14" s="82" t="str"/>
      <x:c r="V14" s="82" t="str"/>
      <x:c r="W14" s="82" t="str"/>
      <x:c r="X14" s="82" t="str"/>
      <x:c r="Y14" s="82" t="str"/>
      <x:c r="Z14" s="82" t="str"/>
      <x:c r="AA14" s="82" t="str"/>
      <x:c r="AB14" s="82" t="str">
        <x:f>IF(G14&lt;&gt;"eligible","",MAX(0,(0.30*M14)+(0.15*N14)+(0.15*O14)+(0.15*P14)+(0.05*Q14)+(0.10*R14)+(0.10*S14)+(0.05*T14)+(0.05*U14)+AA14-SUM(V14:Z14)))</x:f>
      </x:c>
      <x:c r="AC14" s="81" t="str">
        <x:f>IF(G14&lt;&gt;"eligible","excluded",IF(AB14&gt;=0.75,"overall_high_signal",IF(O14&gt;=0.75,"transformation_object",IF(OR(P14&gt;=0.75,Q14&gt;=0.75),"handoff_timer",IF(R14&gt;=0.75,"sync_governance",IF(T14&gt;=0.75,"pf_olc_risk","score_pool"))))))</x:f>
        <x:v>excluded</x:v>
      </x:c>
      <x:c r="AD14" s="81" t="str"/>
      <x:c r="AE14" s="81" t="str"/>
      <x:c r="AF14" s="81" t="str"/>
      <x:c r="AG14" s="81" t="str"/>
      <x:c r="AH14" s="81" t="str"/>
      <x:c r="AI14" s="81" t="str"/>
      <x:c r="AJ14" s="81" t="str"/>
      <x:c r="AK14" s="81" t="str">
        <x:f>IF(OR(G14="",G14="eligible"),"No","Sí")</x:f>
        <x:v>No</x:v>
      </x:c>
      <x:c r="AL14" s="81" t="str"/>
    </x:row>
    <x:row r="15" ht="15" hidden="0" customHeight="1">
      <x:c r="A15" s="81" t="str"/>
      <x:c r="B15" s="81" t="str"/>
      <x:c r="C15" s="81" t="str"/>
      <x:c r="D15" s="81" t="str"/>
      <x:c r="E15" s="81" t="str"/>
      <x:c r="F15" s="81" t="str"/>
      <x:c r="G15" s="81" t="str"/>
      <x:c r="H15" s="81" t="str"/>
      <x:c r="I15" s="82" t="str"/>
      <x:c r="J15" s="82" t="str"/>
      <x:c r="K15" s="82" t="str"/>
      <x:c r="L15" s="82" t="str"/>
      <x:c r="M15" s="82" t="e">
        <x:f>IF(COUNTA(I15:L15)=0,"",AVERAGE(I15:L15))</x:f>
      </x:c>
      <x:c r="N15" s="82" t="str"/>
      <x:c r="O15" s="82" t="str"/>
      <x:c r="P15" s="82" t="str"/>
      <x:c r="Q15" s="82" t="str"/>
      <x:c r="R15" s="82" t="str"/>
      <x:c r="S15" s="82" t="str"/>
      <x:c r="T15" s="82" t="str"/>
      <x:c r="U15" s="82" t="str"/>
      <x:c r="V15" s="82" t="str"/>
      <x:c r="W15" s="82" t="str"/>
      <x:c r="X15" s="82" t="str"/>
      <x:c r="Y15" s="82" t="str"/>
      <x:c r="Z15" s="82" t="str"/>
      <x:c r="AA15" s="82" t="str"/>
      <x:c r="AB15" s="82" t="str">
        <x:f>IF(G15&lt;&gt;"eligible","",MAX(0,(0.30*M15)+(0.15*N15)+(0.15*O15)+(0.15*P15)+(0.05*Q15)+(0.10*R15)+(0.10*S15)+(0.05*T15)+(0.05*U15)+AA15-SUM(V15:Z15)))</x:f>
      </x:c>
      <x:c r="AC15" s="81" t="str">
        <x:f>IF(G15&lt;&gt;"eligible","excluded",IF(AB15&gt;=0.75,"overall_high_signal",IF(O15&gt;=0.75,"transformation_object",IF(OR(P15&gt;=0.75,Q15&gt;=0.75),"handoff_timer",IF(R15&gt;=0.75,"sync_governance",IF(T15&gt;=0.75,"pf_olc_risk","score_pool"))))))</x:f>
        <x:v>excluded</x:v>
      </x:c>
      <x:c r="AD15" s="81" t="str"/>
      <x:c r="AE15" s="81" t="str"/>
      <x:c r="AF15" s="81" t="str"/>
      <x:c r="AG15" s="81" t="str"/>
      <x:c r="AH15" s="81" t="str"/>
      <x:c r="AI15" s="81" t="str"/>
      <x:c r="AJ15" s="81" t="str"/>
      <x:c r="AK15" s="81" t="str">
        <x:f>IF(OR(G15="",G15="eligible"),"No","Sí")</x:f>
        <x:v>No</x:v>
      </x:c>
      <x:c r="AL15" s="81" t="str"/>
    </x:row>
    <x:row r="16" ht="15" hidden="0" customHeight="1">
      <x:c r="A16" s="81" t="str"/>
      <x:c r="B16" s="81" t="str"/>
      <x:c r="C16" s="81" t="str"/>
      <x:c r="D16" s="81" t="str"/>
      <x:c r="E16" s="81" t="str"/>
      <x:c r="F16" s="81" t="str"/>
      <x:c r="G16" s="81" t="str"/>
      <x:c r="H16" s="81" t="str"/>
      <x:c r="I16" s="82" t="str"/>
      <x:c r="J16" s="82" t="str"/>
      <x:c r="K16" s="82" t="str"/>
      <x:c r="L16" s="82" t="str"/>
      <x:c r="M16" s="82" t="e">
        <x:f>IF(COUNTA(I16:L16)=0,"",AVERAGE(I16:L16))</x:f>
      </x:c>
      <x:c r="N16" s="82" t="str"/>
      <x:c r="O16" s="82" t="str"/>
      <x:c r="P16" s="82" t="str"/>
      <x:c r="Q16" s="82" t="str"/>
      <x:c r="R16" s="82" t="str"/>
      <x:c r="S16" s="82" t="str"/>
      <x:c r="T16" s="82" t="str"/>
      <x:c r="U16" s="82" t="str"/>
      <x:c r="V16" s="82" t="str"/>
      <x:c r="W16" s="82" t="str"/>
      <x:c r="X16" s="82" t="str"/>
      <x:c r="Y16" s="82" t="str"/>
      <x:c r="Z16" s="82" t="str"/>
      <x:c r="AA16" s="82" t="str"/>
      <x:c r="AB16" s="82" t="str">
        <x:f>IF(G16&lt;&gt;"eligible","",MAX(0,(0.30*M16)+(0.15*N16)+(0.15*O16)+(0.15*P16)+(0.05*Q16)+(0.10*R16)+(0.10*S16)+(0.05*T16)+(0.05*U16)+AA16-SUM(V16:Z16)))</x:f>
      </x:c>
      <x:c r="AC16" s="81" t="str">
        <x:f>IF(G16&lt;&gt;"eligible","excluded",IF(AB16&gt;=0.75,"overall_high_signal",IF(O16&gt;=0.75,"transformation_object",IF(OR(P16&gt;=0.75,Q16&gt;=0.75),"handoff_timer",IF(R16&gt;=0.75,"sync_governance",IF(T16&gt;=0.75,"pf_olc_risk","score_pool"))))))</x:f>
        <x:v>excluded</x:v>
      </x:c>
      <x:c r="AD16" s="81" t="str"/>
      <x:c r="AE16" s="81" t="str"/>
      <x:c r="AF16" s="81" t="str"/>
      <x:c r="AG16" s="81" t="str"/>
      <x:c r="AH16" s="81" t="str"/>
      <x:c r="AI16" s="81" t="str"/>
      <x:c r="AJ16" s="81" t="str"/>
      <x:c r="AK16" s="81" t="str">
        <x:f>IF(OR(G16="",G16="eligible"),"No","Sí")</x:f>
        <x:v>No</x:v>
      </x:c>
      <x:c r="AL16" s="81" t="str"/>
    </x:row>
    <x:row r="17" ht="15" hidden="0" customHeight="1">
      <x:c r="A17" s="81" t="str"/>
      <x:c r="B17" s="81" t="str"/>
      <x:c r="C17" s="81" t="str"/>
      <x:c r="D17" s="81" t="str"/>
      <x:c r="E17" s="81" t="str"/>
      <x:c r="F17" s="81" t="str"/>
      <x:c r="G17" s="81" t="str"/>
      <x:c r="H17" s="81" t="str"/>
      <x:c r="I17" s="82" t="str"/>
      <x:c r="J17" s="82" t="str"/>
      <x:c r="K17" s="82" t="str"/>
      <x:c r="L17" s="82" t="str"/>
      <x:c r="M17" s="82" t="e">
        <x:f>IF(COUNTA(I17:L17)=0,"",AVERAGE(I17:L17))</x:f>
      </x:c>
      <x:c r="N17" s="82" t="str"/>
      <x:c r="O17" s="82" t="str"/>
      <x:c r="P17" s="82" t="str"/>
      <x:c r="Q17" s="82" t="str"/>
      <x:c r="R17" s="82" t="str"/>
      <x:c r="S17" s="82" t="str"/>
      <x:c r="T17" s="82" t="str"/>
      <x:c r="U17" s="82" t="str"/>
      <x:c r="V17" s="82" t="str"/>
      <x:c r="W17" s="82" t="str"/>
      <x:c r="X17" s="82" t="str"/>
      <x:c r="Y17" s="82" t="str"/>
      <x:c r="Z17" s="82" t="str"/>
      <x:c r="AA17" s="82" t="str"/>
      <x:c r="AB17" s="82" t="str">
        <x:f>IF(G17&lt;&gt;"eligible","",MAX(0,(0.30*M17)+(0.15*N17)+(0.15*O17)+(0.15*P17)+(0.05*Q17)+(0.10*R17)+(0.10*S17)+(0.05*T17)+(0.05*U17)+AA17-SUM(V17:Z17)))</x:f>
      </x:c>
      <x:c r="AC17" s="81" t="str">
        <x:f>IF(G17&lt;&gt;"eligible","excluded",IF(AB17&gt;=0.75,"overall_high_signal",IF(O17&gt;=0.75,"transformation_object",IF(OR(P17&gt;=0.75,Q17&gt;=0.75),"handoff_timer",IF(R17&gt;=0.75,"sync_governance",IF(T17&gt;=0.75,"pf_olc_risk","score_pool"))))))</x:f>
        <x:v>excluded</x:v>
      </x:c>
      <x:c r="AD17" s="81" t="str"/>
      <x:c r="AE17" s="81" t="str"/>
      <x:c r="AF17" s="81" t="str"/>
      <x:c r="AG17" s="81" t="str"/>
      <x:c r="AH17" s="81" t="str"/>
      <x:c r="AI17" s="81" t="str"/>
      <x:c r="AJ17" s="81" t="str"/>
      <x:c r="AK17" s="81" t="str">
        <x:f>IF(OR(G17="",G17="eligible"),"No","Sí")</x:f>
        <x:v>No</x:v>
      </x:c>
      <x:c r="AL17" s="81" t="str"/>
    </x:row>
    <x:row r="18" ht="15" hidden="0" customHeight="1">
      <x:c r="A18" s="81" t="str"/>
      <x:c r="B18" s="81" t="str"/>
      <x:c r="C18" s="81" t="str"/>
      <x:c r="D18" s="81" t="str"/>
      <x:c r="E18" s="81" t="str"/>
      <x:c r="F18" s="81" t="str"/>
      <x:c r="G18" s="81" t="str"/>
      <x:c r="H18" s="81" t="str"/>
      <x:c r="I18" s="82" t="str"/>
      <x:c r="J18" s="82" t="str"/>
      <x:c r="K18" s="82" t="str"/>
      <x:c r="L18" s="82" t="str"/>
      <x:c r="M18" s="82" t="e">
        <x:f>IF(COUNTA(I18:L18)=0,"",AVERAGE(I18:L18))</x:f>
      </x:c>
      <x:c r="N18" s="82" t="str"/>
      <x:c r="O18" s="82" t="str"/>
      <x:c r="P18" s="82" t="str"/>
      <x:c r="Q18" s="82" t="str"/>
      <x:c r="R18" s="82" t="str"/>
      <x:c r="S18" s="82" t="str"/>
      <x:c r="T18" s="82" t="str"/>
      <x:c r="U18" s="82" t="str"/>
      <x:c r="V18" s="82" t="str"/>
      <x:c r="W18" s="82" t="str"/>
      <x:c r="X18" s="82" t="str"/>
      <x:c r="Y18" s="82" t="str"/>
      <x:c r="Z18" s="82" t="str"/>
      <x:c r="AA18" s="82" t="str"/>
      <x:c r="AB18" s="82" t="str">
        <x:f>IF(G18&lt;&gt;"eligible","",MAX(0,(0.30*M18)+(0.15*N18)+(0.15*O18)+(0.15*P18)+(0.05*Q18)+(0.10*R18)+(0.10*S18)+(0.05*T18)+(0.05*U18)+AA18-SUM(V18:Z18)))</x:f>
      </x:c>
      <x:c r="AC18" s="81" t="str">
        <x:f>IF(G18&lt;&gt;"eligible","excluded",IF(AB18&gt;=0.75,"overall_high_signal",IF(O18&gt;=0.75,"transformation_object",IF(OR(P18&gt;=0.75,Q18&gt;=0.75),"handoff_timer",IF(R18&gt;=0.75,"sync_governance",IF(T18&gt;=0.75,"pf_olc_risk","score_pool"))))))</x:f>
        <x:v>excluded</x:v>
      </x:c>
      <x:c r="AD18" s="81" t="str"/>
      <x:c r="AE18" s="81" t="str"/>
      <x:c r="AF18" s="81" t="str"/>
      <x:c r="AG18" s="81" t="str"/>
      <x:c r="AH18" s="81" t="str"/>
      <x:c r="AI18" s="81" t="str"/>
      <x:c r="AJ18" s="81" t="str"/>
      <x:c r="AK18" s="81" t="str">
        <x:f>IF(OR(G18="",G18="eligible"),"No","Sí")</x:f>
        <x:v>No</x:v>
      </x:c>
      <x:c r="AL18" s="81" t="str"/>
    </x:row>
    <x:row r="19" ht="15" hidden="0" customHeight="1">
      <x:c r="A19" s="81" t="str"/>
      <x:c r="B19" s="81" t="str"/>
      <x:c r="C19" s="81" t="str"/>
      <x:c r="D19" s="81" t="str"/>
      <x:c r="E19" s="81" t="str"/>
      <x:c r="F19" s="81" t="str"/>
      <x:c r="G19" s="81" t="str"/>
      <x:c r="H19" s="81" t="str"/>
      <x:c r="I19" s="82" t="str"/>
      <x:c r="J19" s="82" t="str"/>
      <x:c r="K19" s="82" t="str"/>
      <x:c r="L19" s="82" t="str"/>
      <x:c r="M19" s="82" t="e">
        <x:f>IF(COUNTA(I19:L19)=0,"",AVERAGE(I19:L19))</x:f>
      </x:c>
      <x:c r="N19" s="82" t="str"/>
      <x:c r="O19" s="82" t="str"/>
      <x:c r="P19" s="82" t="str"/>
      <x:c r="Q19" s="82" t="str"/>
      <x:c r="R19" s="82" t="str"/>
      <x:c r="S19" s="82" t="str"/>
      <x:c r="T19" s="82" t="str"/>
      <x:c r="U19" s="82" t="str"/>
      <x:c r="V19" s="82" t="str"/>
      <x:c r="W19" s="82" t="str"/>
      <x:c r="X19" s="82" t="str"/>
      <x:c r="Y19" s="82" t="str"/>
      <x:c r="Z19" s="82" t="str"/>
      <x:c r="AA19" s="82" t="str"/>
      <x:c r="AB19" s="82" t="str">
        <x:f>IF(G19&lt;&gt;"eligible","",MAX(0,(0.30*M19)+(0.15*N19)+(0.15*O19)+(0.15*P19)+(0.05*Q19)+(0.10*R19)+(0.10*S19)+(0.05*T19)+(0.05*U19)+AA19-SUM(V19:Z19)))</x:f>
      </x:c>
      <x:c r="AC19" s="81" t="str">
        <x:f>IF(G19&lt;&gt;"eligible","excluded",IF(AB19&gt;=0.75,"overall_high_signal",IF(O19&gt;=0.75,"transformation_object",IF(OR(P19&gt;=0.75,Q19&gt;=0.75),"handoff_timer",IF(R19&gt;=0.75,"sync_governance",IF(T19&gt;=0.75,"pf_olc_risk","score_pool"))))))</x:f>
        <x:v>excluded</x:v>
      </x:c>
      <x:c r="AD19" s="81" t="str"/>
      <x:c r="AE19" s="81" t="str"/>
      <x:c r="AF19" s="81" t="str"/>
      <x:c r="AG19" s="81" t="str"/>
      <x:c r="AH19" s="81" t="str"/>
      <x:c r="AI19" s="81" t="str"/>
      <x:c r="AJ19" s="81" t="str"/>
      <x:c r="AK19" s="81" t="str">
        <x:f>IF(OR(G19="",G19="eligible"),"No","Sí")</x:f>
        <x:v>No</x:v>
      </x:c>
      <x:c r="AL19" s="81" t="str"/>
    </x:row>
    <x:row r="20" ht="15" hidden="0" customHeight="1">
      <x:c r="A20" s="81" t="str"/>
      <x:c r="B20" s="81" t="str"/>
      <x:c r="C20" s="81" t="str"/>
      <x:c r="D20" s="81" t="str"/>
      <x:c r="E20" s="81" t="str"/>
      <x:c r="F20" s="81" t="str"/>
      <x:c r="G20" s="81" t="str"/>
      <x:c r="H20" s="81" t="str"/>
      <x:c r="I20" s="82" t="str"/>
      <x:c r="J20" s="82" t="str"/>
      <x:c r="K20" s="82" t="str"/>
      <x:c r="L20" s="82" t="str"/>
      <x:c r="M20" s="82" t="e">
        <x:f>IF(COUNTA(I20:L20)=0,"",AVERAGE(I20:L20))</x:f>
      </x:c>
      <x:c r="N20" s="82" t="str"/>
      <x:c r="O20" s="82" t="str"/>
      <x:c r="P20" s="82" t="str"/>
      <x:c r="Q20" s="82" t="str"/>
      <x:c r="R20" s="82" t="str"/>
      <x:c r="S20" s="82" t="str"/>
      <x:c r="T20" s="82" t="str"/>
      <x:c r="U20" s="82" t="str"/>
      <x:c r="V20" s="82" t="str"/>
      <x:c r="W20" s="82" t="str"/>
      <x:c r="X20" s="82" t="str"/>
      <x:c r="Y20" s="82" t="str"/>
      <x:c r="Z20" s="82" t="str"/>
      <x:c r="AA20" s="82" t="str"/>
      <x:c r="AB20" s="82" t="str">
        <x:f>IF(G20&lt;&gt;"eligible","",MAX(0,(0.30*M20)+(0.15*N20)+(0.15*O20)+(0.15*P20)+(0.05*Q20)+(0.10*R20)+(0.10*S20)+(0.05*T20)+(0.05*U20)+AA20-SUM(V20:Z20)))</x:f>
      </x:c>
      <x:c r="AC20" s="81" t="str">
        <x:f>IF(G20&lt;&gt;"eligible","excluded",IF(AB20&gt;=0.75,"overall_high_signal",IF(O20&gt;=0.75,"transformation_object",IF(OR(P20&gt;=0.75,Q20&gt;=0.75),"handoff_timer",IF(R20&gt;=0.75,"sync_governance",IF(T20&gt;=0.75,"pf_olc_risk","score_pool"))))))</x:f>
        <x:v>excluded</x:v>
      </x:c>
      <x:c r="AD20" s="81" t="str"/>
      <x:c r="AE20" s="81" t="str"/>
      <x:c r="AF20" s="81" t="str"/>
      <x:c r="AG20" s="81" t="str"/>
      <x:c r="AH20" s="81" t="str"/>
      <x:c r="AI20" s="81" t="str"/>
      <x:c r="AJ20" s="81" t="str"/>
      <x:c r="AK20" s="81" t="str">
        <x:f>IF(OR(G20="",G20="eligible"),"No","Sí")</x:f>
        <x:v>No</x:v>
      </x:c>
      <x:c r="AL20" s="81" t="str"/>
    </x:row>
    <x:row r="21" ht="15" hidden="0" customHeight="1">
      <x:c r="A21" s="81" t="str"/>
      <x:c r="B21" s="81" t="str"/>
      <x:c r="C21" s="81" t="str"/>
      <x:c r="D21" s="81" t="str"/>
      <x:c r="E21" s="81" t="str"/>
      <x:c r="F21" s="81" t="str"/>
      <x:c r="G21" s="81" t="str"/>
      <x:c r="H21" s="81" t="str"/>
      <x:c r="I21" s="82" t="str"/>
      <x:c r="J21" s="82" t="str"/>
      <x:c r="K21" s="82" t="str"/>
      <x:c r="L21" s="82" t="str"/>
      <x:c r="M21" s="82" t="e">
        <x:f>IF(COUNTA(I21:L21)=0,"",AVERAGE(I21:L21))</x:f>
      </x:c>
      <x:c r="N21" s="82" t="str"/>
      <x:c r="O21" s="82" t="str"/>
      <x:c r="P21" s="82" t="str"/>
      <x:c r="Q21" s="82" t="str"/>
      <x:c r="R21" s="82" t="str"/>
      <x:c r="S21" s="82" t="str"/>
      <x:c r="T21" s="82" t="str"/>
      <x:c r="U21" s="82" t="str"/>
      <x:c r="V21" s="82" t="str"/>
      <x:c r="W21" s="82" t="str"/>
      <x:c r="X21" s="82" t="str"/>
      <x:c r="Y21" s="82" t="str"/>
      <x:c r="Z21" s="82" t="str"/>
      <x:c r="AA21" s="82" t="str"/>
      <x:c r="AB21" s="82" t="str">
        <x:f>IF(G21&lt;&gt;"eligible","",MAX(0,(0.30*M21)+(0.15*N21)+(0.15*O21)+(0.15*P21)+(0.05*Q21)+(0.10*R21)+(0.10*S21)+(0.05*T21)+(0.05*U21)+AA21-SUM(V21:Z21)))</x:f>
      </x:c>
      <x:c r="AC21" s="81" t="str">
        <x:f>IF(G21&lt;&gt;"eligible","excluded",IF(AB21&gt;=0.75,"overall_high_signal",IF(O21&gt;=0.75,"transformation_object",IF(OR(P21&gt;=0.75,Q21&gt;=0.75),"handoff_timer",IF(R21&gt;=0.75,"sync_governance",IF(T21&gt;=0.75,"pf_olc_risk","score_pool"))))))</x:f>
        <x:v>excluded</x:v>
      </x:c>
      <x:c r="AD21" s="81" t="str"/>
      <x:c r="AE21" s="81" t="str"/>
      <x:c r="AF21" s="81" t="str"/>
      <x:c r="AG21" s="81" t="str"/>
      <x:c r="AH21" s="81" t="str"/>
      <x:c r="AI21" s="81" t="str"/>
      <x:c r="AJ21" s="81" t="str"/>
      <x:c r="AK21" s="81" t="str">
        <x:f>IF(OR(G21="",G21="eligible"),"No","Sí")</x:f>
        <x:v>No</x:v>
      </x:c>
      <x:c r="AL21" s="81" t="str"/>
    </x:row>
    <x:row r="22" ht="15" hidden="0" customHeight="1">
      <x:c r="A22" s="81" t="str"/>
      <x:c r="B22" s="81" t="str"/>
      <x:c r="C22" s="81" t="str"/>
      <x:c r="D22" s="81" t="str"/>
      <x:c r="E22" s="81" t="str"/>
      <x:c r="F22" s="81" t="str"/>
      <x:c r="G22" s="81" t="str"/>
      <x:c r="H22" s="81" t="str"/>
      <x:c r="I22" s="82" t="str"/>
      <x:c r="J22" s="82" t="str"/>
      <x:c r="K22" s="82" t="str"/>
      <x:c r="L22" s="82" t="str"/>
      <x:c r="M22" s="82" t="e">
        <x:f>IF(COUNTA(I22:L22)=0,"",AVERAGE(I22:L22))</x:f>
      </x:c>
      <x:c r="N22" s="82" t="str"/>
      <x:c r="O22" s="82" t="str"/>
      <x:c r="P22" s="82" t="str"/>
      <x:c r="Q22" s="82" t="str"/>
      <x:c r="R22" s="82" t="str"/>
      <x:c r="S22" s="82" t="str"/>
      <x:c r="T22" s="82" t="str"/>
      <x:c r="U22" s="82" t="str"/>
      <x:c r="V22" s="82" t="str"/>
      <x:c r="W22" s="82" t="str"/>
      <x:c r="X22" s="82" t="str"/>
      <x:c r="Y22" s="82" t="str"/>
      <x:c r="Z22" s="82" t="str"/>
      <x:c r="AA22" s="82" t="str"/>
      <x:c r="AB22" s="82" t="str">
        <x:f>IF(G22&lt;&gt;"eligible","",MAX(0,(0.30*M22)+(0.15*N22)+(0.15*O22)+(0.15*P22)+(0.05*Q22)+(0.10*R22)+(0.10*S22)+(0.05*T22)+(0.05*U22)+AA22-SUM(V22:Z22)))</x:f>
      </x:c>
      <x:c r="AC22" s="81" t="str">
        <x:f>IF(G22&lt;&gt;"eligible","excluded",IF(AB22&gt;=0.75,"overall_high_signal",IF(O22&gt;=0.75,"transformation_object",IF(OR(P22&gt;=0.75,Q22&gt;=0.75),"handoff_timer",IF(R22&gt;=0.75,"sync_governance",IF(T22&gt;=0.75,"pf_olc_risk","score_pool"))))))</x:f>
        <x:v>excluded</x:v>
      </x:c>
      <x:c r="AD22" s="81" t="str"/>
      <x:c r="AE22" s="81" t="str"/>
      <x:c r="AF22" s="81" t="str"/>
      <x:c r="AG22" s="81" t="str"/>
      <x:c r="AH22" s="81" t="str"/>
      <x:c r="AI22" s="81" t="str"/>
      <x:c r="AJ22" s="81" t="str"/>
      <x:c r="AK22" s="81" t="str">
        <x:f>IF(OR(G22="",G22="eligible"),"No","Sí")</x:f>
        <x:v>No</x:v>
      </x:c>
      <x:c r="AL22" s="81" t="str"/>
    </x:row>
    <x:row r="23" ht="15" hidden="0" customHeight="1">
      <x:c r="A23" s="81" t="str"/>
      <x:c r="B23" s="81" t="str"/>
      <x:c r="C23" s="81" t="str"/>
      <x:c r="D23" s="81" t="str"/>
      <x:c r="E23" s="81" t="str"/>
      <x:c r="F23" s="81" t="str"/>
      <x:c r="G23" s="81" t="str"/>
      <x:c r="H23" s="81" t="str"/>
      <x:c r="I23" s="82" t="str"/>
      <x:c r="J23" s="82" t="str"/>
      <x:c r="K23" s="82" t="str"/>
      <x:c r="L23" s="82" t="str"/>
      <x:c r="M23" s="82" t="e">
        <x:f>IF(COUNTA(I23:L23)=0,"",AVERAGE(I23:L23))</x:f>
      </x:c>
      <x:c r="N23" s="82" t="str"/>
      <x:c r="O23" s="82" t="str"/>
      <x:c r="P23" s="82" t="str"/>
      <x:c r="Q23" s="82" t="str"/>
      <x:c r="R23" s="82" t="str"/>
      <x:c r="S23" s="82" t="str"/>
      <x:c r="T23" s="82" t="str"/>
      <x:c r="U23" s="82" t="str"/>
      <x:c r="V23" s="82" t="str"/>
      <x:c r="W23" s="82" t="str"/>
      <x:c r="X23" s="82" t="str"/>
      <x:c r="Y23" s="82" t="str"/>
      <x:c r="Z23" s="82" t="str"/>
      <x:c r="AA23" s="82" t="str"/>
      <x:c r="AB23" s="82" t="str">
        <x:f>IF(G23&lt;&gt;"eligible","",MAX(0,(0.30*M23)+(0.15*N23)+(0.15*O23)+(0.15*P23)+(0.05*Q23)+(0.10*R23)+(0.10*S23)+(0.05*T23)+(0.05*U23)+AA23-SUM(V23:Z23)))</x:f>
      </x:c>
      <x:c r="AC23" s="81" t="str">
        <x:f>IF(G23&lt;&gt;"eligible","excluded",IF(AB23&gt;=0.75,"overall_high_signal",IF(O23&gt;=0.75,"transformation_object",IF(OR(P23&gt;=0.75,Q23&gt;=0.75),"handoff_timer",IF(R23&gt;=0.75,"sync_governance",IF(T23&gt;=0.75,"pf_olc_risk","score_pool"))))))</x:f>
        <x:v>excluded</x:v>
      </x:c>
      <x:c r="AD23" s="81" t="str"/>
      <x:c r="AE23" s="81" t="str"/>
      <x:c r="AF23" s="81" t="str"/>
      <x:c r="AG23" s="81" t="str"/>
      <x:c r="AH23" s="81" t="str"/>
      <x:c r="AI23" s="81" t="str"/>
      <x:c r="AJ23" s="81" t="str"/>
      <x:c r="AK23" s="81" t="str">
        <x:f>IF(OR(G23="",G23="eligible"),"No","Sí")</x:f>
        <x:v>No</x:v>
      </x:c>
      <x:c r="AL23" s="81" t="str"/>
    </x:row>
    <x:row r="24" ht="15" hidden="0" customHeight="1">
      <x:c r="A24" s="81" t="str"/>
      <x:c r="B24" s="81" t="str"/>
      <x:c r="C24" s="81" t="str"/>
      <x:c r="D24" s="81" t="str"/>
      <x:c r="E24" s="81" t="str"/>
      <x:c r="F24" s="81" t="str"/>
      <x:c r="G24" s="81" t="str"/>
      <x:c r="H24" s="81" t="str"/>
      <x:c r="I24" s="82" t="str"/>
      <x:c r="J24" s="82" t="str"/>
      <x:c r="K24" s="82" t="str"/>
      <x:c r="L24" s="82" t="str"/>
      <x:c r="M24" s="82" t="e">
        <x:f>IF(COUNTA(I24:L24)=0,"",AVERAGE(I24:L24))</x:f>
      </x:c>
      <x:c r="N24" s="82" t="str"/>
      <x:c r="O24" s="82" t="str"/>
      <x:c r="P24" s="82" t="str"/>
      <x:c r="Q24" s="82" t="str"/>
      <x:c r="R24" s="82" t="str"/>
      <x:c r="S24" s="82" t="str"/>
      <x:c r="T24" s="82" t="str"/>
      <x:c r="U24" s="82" t="str"/>
      <x:c r="V24" s="82" t="str"/>
      <x:c r="W24" s="82" t="str"/>
      <x:c r="X24" s="82" t="str"/>
      <x:c r="Y24" s="82" t="str"/>
      <x:c r="Z24" s="82" t="str"/>
      <x:c r="AA24" s="82" t="str"/>
      <x:c r="AB24" s="82" t="str">
        <x:f>IF(G24&lt;&gt;"eligible","",MAX(0,(0.30*M24)+(0.15*N24)+(0.15*O24)+(0.15*P24)+(0.05*Q24)+(0.10*R24)+(0.10*S24)+(0.05*T24)+(0.05*U24)+AA24-SUM(V24:Z24)))</x:f>
      </x:c>
      <x:c r="AC24" s="81" t="str">
        <x:f>IF(G24&lt;&gt;"eligible","excluded",IF(AB24&gt;=0.75,"overall_high_signal",IF(O24&gt;=0.75,"transformation_object",IF(OR(P24&gt;=0.75,Q24&gt;=0.75),"handoff_timer",IF(R24&gt;=0.75,"sync_governance",IF(T24&gt;=0.75,"pf_olc_risk","score_pool"))))))</x:f>
        <x:v>excluded</x:v>
      </x:c>
      <x:c r="AD24" s="81" t="str"/>
      <x:c r="AE24" s="81" t="str"/>
      <x:c r="AF24" s="81" t="str"/>
      <x:c r="AG24" s="81" t="str"/>
      <x:c r="AH24" s="81" t="str"/>
      <x:c r="AI24" s="81" t="str"/>
      <x:c r="AJ24" s="81" t="str"/>
      <x:c r="AK24" s="81" t="str">
        <x:f>IF(OR(G24="",G24="eligible"),"No","Sí")</x:f>
        <x:v>No</x:v>
      </x:c>
      <x:c r="AL24" s="81" t="str"/>
    </x:row>
    <x:row r="25" ht="15" hidden="0" customHeight="1">
      <x:c r="A25" s="81" t="str"/>
      <x:c r="B25" s="81" t="str"/>
      <x:c r="C25" s="81" t="str"/>
      <x:c r="D25" s="81" t="str"/>
      <x:c r="E25" s="81" t="str"/>
      <x:c r="F25" s="81" t="str"/>
      <x:c r="G25" s="81" t="str"/>
      <x:c r="H25" s="81" t="str"/>
      <x:c r="I25" s="82" t="str"/>
      <x:c r="J25" s="82" t="str"/>
      <x:c r="K25" s="82" t="str"/>
      <x:c r="L25" s="82" t="str"/>
      <x:c r="M25" s="82" t="e">
        <x:f>IF(COUNTA(I25:L25)=0,"",AVERAGE(I25:L25))</x:f>
      </x:c>
      <x:c r="N25" s="82" t="str"/>
      <x:c r="O25" s="82" t="str"/>
      <x:c r="P25" s="82" t="str"/>
      <x:c r="Q25" s="82" t="str"/>
      <x:c r="R25" s="82" t="str"/>
      <x:c r="S25" s="82" t="str"/>
      <x:c r="T25" s="82" t="str"/>
      <x:c r="U25" s="82" t="str"/>
      <x:c r="V25" s="82" t="str"/>
      <x:c r="W25" s="82" t="str"/>
      <x:c r="X25" s="82" t="str"/>
      <x:c r="Y25" s="82" t="str"/>
      <x:c r="Z25" s="82" t="str"/>
      <x:c r="AA25" s="82" t="str"/>
      <x:c r="AB25" s="82" t="str">
        <x:f>IF(G25&lt;&gt;"eligible","",MAX(0,(0.30*M25)+(0.15*N25)+(0.15*O25)+(0.15*P25)+(0.05*Q25)+(0.10*R25)+(0.10*S25)+(0.05*T25)+(0.05*U25)+AA25-SUM(V25:Z25)))</x:f>
      </x:c>
      <x:c r="AC25" s="81" t="str">
        <x:f>IF(G25&lt;&gt;"eligible","excluded",IF(AB25&gt;=0.75,"overall_high_signal",IF(O25&gt;=0.75,"transformation_object",IF(OR(P25&gt;=0.75,Q25&gt;=0.75),"handoff_timer",IF(R25&gt;=0.75,"sync_governance",IF(T25&gt;=0.75,"pf_olc_risk","score_pool"))))))</x:f>
        <x:v>excluded</x:v>
      </x:c>
      <x:c r="AD25" s="81" t="str"/>
      <x:c r="AE25" s="81" t="str"/>
      <x:c r="AF25" s="81" t="str"/>
      <x:c r="AG25" s="81" t="str"/>
      <x:c r="AH25" s="81" t="str"/>
      <x:c r="AI25" s="81" t="str"/>
      <x:c r="AJ25" s="81" t="str"/>
      <x:c r="AK25" s="81" t="str">
        <x:f>IF(OR(G25="",G25="eligible"),"No","Sí")</x:f>
        <x:v>No</x:v>
      </x:c>
      <x:c r="AL25" s="81" t="str"/>
    </x:row>
    <x:row r="26" ht="15" hidden="0" customHeight="1">
      <x:c r="A26" s="81" t="str"/>
      <x:c r="B26" s="81" t="str"/>
      <x:c r="C26" s="81" t="str"/>
      <x:c r="D26" s="81" t="str"/>
      <x:c r="E26" s="81" t="str"/>
      <x:c r="F26" s="81" t="str"/>
      <x:c r="G26" s="81" t="str"/>
      <x:c r="H26" s="81" t="str"/>
      <x:c r="I26" s="82" t="str"/>
      <x:c r="J26" s="82" t="str"/>
      <x:c r="K26" s="82" t="str"/>
      <x:c r="L26" s="82" t="str"/>
      <x:c r="M26" s="82" t="e">
        <x:f>IF(COUNTA(I26:L26)=0,"",AVERAGE(I26:L26))</x:f>
      </x:c>
      <x:c r="N26" s="82" t="str"/>
      <x:c r="O26" s="82" t="str"/>
      <x:c r="P26" s="82" t="str"/>
      <x:c r="Q26" s="82" t="str"/>
      <x:c r="R26" s="82" t="str"/>
      <x:c r="S26" s="82" t="str"/>
      <x:c r="T26" s="82" t="str"/>
      <x:c r="U26" s="82" t="str"/>
      <x:c r="V26" s="82" t="str"/>
      <x:c r="W26" s="82" t="str"/>
      <x:c r="X26" s="82" t="str"/>
      <x:c r="Y26" s="82" t="str"/>
      <x:c r="Z26" s="82" t="str"/>
      <x:c r="AA26" s="82" t="str"/>
      <x:c r="AB26" s="82" t="str">
        <x:f>IF(G26&lt;&gt;"eligible","",MAX(0,(0.30*M26)+(0.15*N26)+(0.15*O26)+(0.15*P26)+(0.05*Q26)+(0.10*R26)+(0.10*S26)+(0.05*T26)+(0.05*U26)+AA26-SUM(V26:Z26)))</x:f>
      </x:c>
      <x:c r="AC26" s="81" t="str">
        <x:f>IF(G26&lt;&gt;"eligible","excluded",IF(AB26&gt;=0.75,"overall_high_signal",IF(O26&gt;=0.75,"transformation_object",IF(OR(P26&gt;=0.75,Q26&gt;=0.75),"handoff_timer",IF(R26&gt;=0.75,"sync_governance",IF(T26&gt;=0.75,"pf_olc_risk","score_pool"))))))</x:f>
        <x:v>excluded</x:v>
      </x:c>
      <x:c r="AD26" s="81" t="str"/>
      <x:c r="AE26" s="81" t="str"/>
      <x:c r="AF26" s="81" t="str"/>
      <x:c r="AG26" s="81" t="str"/>
      <x:c r="AH26" s="81" t="str"/>
      <x:c r="AI26" s="81" t="str"/>
      <x:c r="AJ26" s="81" t="str"/>
      <x:c r="AK26" s="81" t="str">
        <x:f>IF(OR(G26="",G26="eligible"),"No","Sí")</x:f>
        <x:v>No</x:v>
      </x:c>
      <x:c r="AL26" s="81" t="str"/>
    </x:row>
    <x:row r="27" ht="15" hidden="0" customHeight="1">
      <x:c r="A27" s="81" t="str"/>
      <x:c r="B27" s="81" t="str"/>
      <x:c r="C27" s="81" t="str"/>
      <x:c r="D27" s="81" t="str"/>
      <x:c r="E27" s="81" t="str"/>
      <x:c r="F27" s="81" t="str"/>
      <x:c r="G27" s="81" t="str"/>
      <x:c r="H27" s="81" t="str"/>
      <x:c r="I27" s="82" t="str"/>
      <x:c r="J27" s="82" t="str"/>
      <x:c r="K27" s="82" t="str"/>
      <x:c r="L27" s="82" t="str"/>
      <x:c r="M27" s="82" t="e">
        <x:f>IF(COUNTA(I27:L27)=0,"",AVERAGE(I27:L27))</x:f>
      </x:c>
      <x:c r="N27" s="82" t="str"/>
      <x:c r="O27" s="82" t="str"/>
      <x:c r="P27" s="82" t="str"/>
      <x:c r="Q27" s="82" t="str"/>
      <x:c r="R27" s="82" t="str"/>
      <x:c r="S27" s="82" t="str"/>
      <x:c r="T27" s="82" t="str"/>
      <x:c r="U27" s="82" t="str"/>
      <x:c r="V27" s="82" t="str"/>
      <x:c r="W27" s="82" t="str"/>
      <x:c r="X27" s="82" t="str"/>
      <x:c r="Y27" s="82" t="str"/>
      <x:c r="Z27" s="82" t="str"/>
      <x:c r="AA27" s="82" t="str"/>
      <x:c r="AB27" s="82" t="str">
        <x:f>IF(G27&lt;&gt;"eligible","",MAX(0,(0.30*M27)+(0.15*N27)+(0.15*O27)+(0.15*P27)+(0.05*Q27)+(0.10*R27)+(0.10*S27)+(0.05*T27)+(0.05*U27)+AA27-SUM(V27:Z27)))</x:f>
      </x:c>
      <x:c r="AC27" s="81" t="str">
        <x:f>IF(G27&lt;&gt;"eligible","excluded",IF(AB27&gt;=0.75,"overall_high_signal",IF(O27&gt;=0.75,"transformation_object",IF(OR(P27&gt;=0.75,Q27&gt;=0.75),"handoff_timer",IF(R27&gt;=0.75,"sync_governance",IF(T27&gt;=0.75,"pf_olc_risk","score_pool"))))))</x:f>
        <x:v>excluded</x:v>
      </x:c>
      <x:c r="AD27" s="81" t="str"/>
      <x:c r="AE27" s="81" t="str"/>
      <x:c r="AF27" s="81" t="str"/>
      <x:c r="AG27" s="81" t="str"/>
      <x:c r="AH27" s="81" t="str"/>
      <x:c r="AI27" s="81" t="str"/>
      <x:c r="AJ27" s="81" t="str"/>
      <x:c r="AK27" s="81" t="str">
        <x:f>IF(OR(G27="",G27="eligible"),"No","Sí")</x:f>
        <x:v>No</x:v>
      </x:c>
      <x:c r="AL27" s="81" t="str"/>
    </x:row>
    <x:row r="28" ht="15" hidden="0" customHeight="1">
      <x:c r="A28" s="81" t="str"/>
      <x:c r="B28" s="81" t="str"/>
      <x:c r="C28" s="81" t="str"/>
      <x:c r="D28" s="81" t="str"/>
      <x:c r="E28" s="81" t="str"/>
      <x:c r="F28" s="81" t="str"/>
      <x:c r="G28" s="81" t="str"/>
      <x:c r="H28" s="81" t="str"/>
      <x:c r="I28" s="82" t="str"/>
      <x:c r="J28" s="82" t="str"/>
      <x:c r="K28" s="82" t="str"/>
      <x:c r="L28" s="82" t="str"/>
      <x:c r="M28" s="82" t="e">
        <x:f>IF(COUNTA(I28:L28)=0,"",AVERAGE(I28:L28))</x:f>
      </x:c>
      <x:c r="N28" s="82" t="str"/>
      <x:c r="O28" s="82" t="str"/>
      <x:c r="P28" s="82" t="str"/>
      <x:c r="Q28" s="82" t="str"/>
      <x:c r="R28" s="82" t="str"/>
      <x:c r="S28" s="82" t="str"/>
      <x:c r="T28" s="82" t="str"/>
      <x:c r="U28" s="82" t="str"/>
      <x:c r="V28" s="82" t="str"/>
      <x:c r="W28" s="82" t="str"/>
      <x:c r="X28" s="82" t="str"/>
      <x:c r="Y28" s="82" t="str"/>
      <x:c r="Z28" s="82" t="str"/>
      <x:c r="AA28" s="82" t="str"/>
      <x:c r="AB28" s="82" t="str">
        <x:f>IF(G28&lt;&gt;"eligible","",MAX(0,(0.30*M28)+(0.15*N28)+(0.15*O28)+(0.15*P28)+(0.05*Q28)+(0.10*R28)+(0.10*S28)+(0.05*T28)+(0.05*U28)+AA28-SUM(V28:Z28)))</x:f>
      </x:c>
      <x:c r="AC28" s="81" t="str">
        <x:f>IF(G28&lt;&gt;"eligible","excluded",IF(AB28&gt;=0.75,"overall_high_signal",IF(O28&gt;=0.75,"transformation_object",IF(OR(P28&gt;=0.75,Q28&gt;=0.75),"handoff_timer",IF(R28&gt;=0.75,"sync_governance",IF(T28&gt;=0.75,"pf_olc_risk","score_pool"))))))</x:f>
        <x:v>excluded</x:v>
      </x:c>
      <x:c r="AD28" s="81" t="str"/>
      <x:c r="AE28" s="81" t="str"/>
      <x:c r="AF28" s="81" t="str"/>
      <x:c r="AG28" s="81" t="str"/>
      <x:c r="AH28" s="81" t="str"/>
      <x:c r="AI28" s="81" t="str"/>
      <x:c r="AJ28" s="81" t="str"/>
      <x:c r="AK28" s="81" t="str">
        <x:f>IF(OR(G28="",G28="eligible"),"No","Sí")</x:f>
        <x:v>No</x:v>
      </x:c>
      <x:c r="AL28" s="81" t="str"/>
    </x:row>
    <x:row r="29" ht="15" hidden="0" customHeight="1">
      <x:c r="A29" s="81" t="str"/>
      <x:c r="B29" s="81" t="str"/>
      <x:c r="C29" s="81" t="str"/>
      <x:c r="D29" s="81" t="str"/>
      <x:c r="E29" s="81" t="str"/>
      <x:c r="F29" s="81" t="str"/>
      <x:c r="G29" s="81" t="str"/>
      <x:c r="H29" s="81" t="str"/>
      <x:c r="I29" s="82" t="str"/>
      <x:c r="J29" s="82" t="str"/>
      <x:c r="K29" s="82" t="str"/>
      <x:c r="L29" s="82" t="str"/>
      <x:c r="M29" s="82" t="e">
        <x:f>IF(COUNTA(I29:L29)=0,"",AVERAGE(I29:L29))</x:f>
      </x:c>
      <x:c r="N29" s="82" t="str"/>
      <x:c r="O29" s="82" t="str"/>
      <x:c r="P29" s="82" t="str"/>
      <x:c r="Q29" s="82" t="str"/>
      <x:c r="R29" s="82" t="str"/>
      <x:c r="S29" s="82" t="str"/>
      <x:c r="T29" s="82" t="str"/>
      <x:c r="U29" s="82" t="str"/>
      <x:c r="V29" s="82" t="str"/>
      <x:c r="W29" s="82" t="str"/>
      <x:c r="X29" s="82" t="str"/>
      <x:c r="Y29" s="82" t="str"/>
      <x:c r="Z29" s="82" t="str"/>
      <x:c r="AA29" s="82" t="str"/>
      <x:c r="AB29" s="82" t="str">
        <x:f>IF(G29&lt;&gt;"eligible","",MAX(0,(0.30*M29)+(0.15*N29)+(0.15*O29)+(0.15*P29)+(0.05*Q29)+(0.10*R29)+(0.10*S29)+(0.05*T29)+(0.05*U29)+AA29-SUM(V29:Z29)))</x:f>
      </x:c>
      <x:c r="AC29" s="81" t="str">
        <x:f>IF(G29&lt;&gt;"eligible","excluded",IF(AB29&gt;=0.75,"overall_high_signal",IF(O29&gt;=0.75,"transformation_object",IF(OR(P29&gt;=0.75,Q29&gt;=0.75),"handoff_timer",IF(R29&gt;=0.75,"sync_governance",IF(T29&gt;=0.75,"pf_olc_risk","score_pool"))))))</x:f>
        <x:v>excluded</x:v>
      </x:c>
      <x:c r="AD29" s="81" t="str"/>
      <x:c r="AE29" s="81" t="str"/>
      <x:c r="AF29" s="81" t="str"/>
      <x:c r="AG29" s="81" t="str"/>
      <x:c r="AH29" s="81" t="str"/>
      <x:c r="AI29" s="81" t="str"/>
      <x:c r="AJ29" s="81" t="str"/>
      <x:c r="AK29" s="81" t="str">
        <x:f>IF(OR(G29="",G29="eligible"),"No","Sí")</x:f>
        <x:v>No</x:v>
      </x:c>
      <x:c r="AL29" s="81" t="str"/>
    </x:row>
    <x:row r="30" ht="15" hidden="0" customHeight="1">
      <x:c r="A30" s="81" t="str"/>
      <x:c r="B30" s="81" t="str"/>
      <x:c r="C30" s="81" t="str"/>
      <x:c r="D30" s="81" t="str"/>
      <x:c r="E30" s="81" t="str"/>
      <x:c r="F30" s="81" t="str"/>
      <x:c r="G30" s="81" t="str"/>
      <x:c r="H30" s="81" t="str"/>
      <x:c r="I30" s="82" t="str"/>
      <x:c r="J30" s="82" t="str"/>
      <x:c r="K30" s="82" t="str"/>
      <x:c r="L30" s="82" t="str"/>
      <x:c r="M30" s="82" t="e">
        <x:f>IF(COUNTA(I30:L30)=0,"",AVERAGE(I30:L30))</x:f>
      </x:c>
      <x:c r="N30" s="82" t="str"/>
      <x:c r="O30" s="82" t="str"/>
      <x:c r="P30" s="82" t="str"/>
      <x:c r="Q30" s="82" t="str"/>
      <x:c r="R30" s="82" t="str"/>
      <x:c r="S30" s="82" t="str"/>
      <x:c r="T30" s="82" t="str"/>
      <x:c r="U30" s="82" t="str"/>
      <x:c r="V30" s="82" t="str"/>
      <x:c r="W30" s="82" t="str"/>
      <x:c r="X30" s="82" t="str"/>
      <x:c r="Y30" s="82" t="str"/>
      <x:c r="Z30" s="82" t="str"/>
      <x:c r="AA30" s="82" t="str"/>
      <x:c r="AB30" s="82" t="str">
        <x:f>IF(G30&lt;&gt;"eligible","",MAX(0,(0.30*M30)+(0.15*N30)+(0.15*O30)+(0.15*P30)+(0.05*Q30)+(0.10*R30)+(0.10*S30)+(0.05*T30)+(0.05*U30)+AA30-SUM(V30:Z30)))</x:f>
      </x:c>
      <x:c r="AC30" s="81" t="str">
        <x:f>IF(G30&lt;&gt;"eligible","excluded",IF(AB30&gt;=0.75,"overall_high_signal",IF(O30&gt;=0.75,"transformation_object",IF(OR(P30&gt;=0.75,Q30&gt;=0.75),"handoff_timer",IF(R30&gt;=0.75,"sync_governance",IF(T30&gt;=0.75,"pf_olc_risk","score_pool"))))))</x:f>
        <x:v>excluded</x:v>
      </x:c>
      <x:c r="AD30" s="81" t="str"/>
      <x:c r="AE30" s="81" t="str"/>
      <x:c r="AF30" s="81" t="str"/>
      <x:c r="AG30" s="81" t="str"/>
      <x:c r="AH30" s="81" t="str"/>
      <x:c r="AI30" s="81" t="str"/>
      <x:c r="AJ30" s="81" t="str"/>
      <x:c r="AK30" s="81" t="str">
        <x:f>IF(OR(G30="",G30="eligible"),"No","Sí")</x:f>
        <x:v>No</x:v>
      </x:c>
      <x:c r="AL30" s="81" t="str"/>
    </x:row>
    <x:row r="31" ht="15" hidden="0" customHeight="1">
      <x:c r="A31" s="81" t="str"/>
      <x:c r="B31" s="81" t="str"/>
      <x:c r="C31" s="81" t="str"/>
      <x:c r="D31" s="81" t="str"/>
      <x:c r="E31" s="81" t="str"/>
      <x:c r="F31" s="81" t="str"/>
      <x:c r="G31" s="81" t="str"/>
      <x:c r="H31" s="81" t="str"/>
      <x:c r="I31" s="82" t="str"/>
      <x:c r="J31" s="82" t="str"/>
      <x:c r="K31" s="82" t="str"/>
      <x:c r="L31" s="82" t="str"/>
      <x:c r="M31" s="82" t="e">
        <x:f>IF(COUNTA(I31:L31)=0,"",AVERAGE(I31:L31))</x:f>
      </x:c>
      <x:c r="N31" s="82" t="str"/>
      <x:c r="O31" s="82" t="str"/>
      <x:c r="P31" s="82" t="str"/>
      <x:c r="Q31" s="82" t="str"/>
      <x:c r="R31" s="82" t="str"/>
      <x:c r="S31" s="82" t="str"/>
      <x:c r="T31" s="82" t="str"/>
      <x:c r="U31" s="82" t="str"/>
      <x:c r="V31" s="82" t="str"/>
      <x:c r="W31" s="82" t="str"/>
      <x:c r="X31" s="82" t="str"/>
      <x:c r="Y31" s="82" t="str"/>
      <x:c r="Z31" s="82" t="str"/>
      <x:c r="AA31" s="82" t="str"/>
      <x:c r="AB31" s="82" t="str">
        <x:f>IF(G31&lt;&gt;"eligible","",MAX(0,(0.30*M31)+(0.15*N31)+(0.15*O31)+(0.15*P31)+(0.05*Q31)+(0.10*R31)+(0.10*S31)+(0.05*T31)+(0.05*U31)+AA31-SUM(V31:Z31)))</x:f>
      </x:c>
      <x:c r="AC31" s="81" t="str">
        <x:f>IF(G31&lt;&gt;"eligible","excluded",IF(AB31&gt;=0.75,"overall_high_signal",IF(O31&gt;=0.75,"transformation_object",IF(OR(P31&gt;=0.75,Q31&gt;=0.75),"handoff_timer",IF(R31&gt;=0.75,"sync_governance",IF(T31&gt;=0.75,"pf_olc_risk","score_pool"))))))</x:f>
        <x:v>excluded</x:v>
      </x:c>
      <x:c r="AD31" s="81" t="str"/>
      <x:c r="AE31" s="81" t="str"/>
      <x:c r="AF31" s="81" t="str"/>
      <x:c r="AG31" s="81" t="str"/>
      <x:c r="AH31" s="81" t="str"/>
      <x:c r="AI31" s="81" t="str"/>
      <x:c r="AJ31" s="81" t="str"/>
      <x:c r="AK31" s="81" t="str">
        <x:f>IF(OR(G31="",G31="eligible"),"No","Sí")</x:f>
        <x:v>No</x:v>
      </x:c>
      <x:c r="AL31" s="81" t="str"/>
    </x:row>
    <x:row r="32" ht="15" hidden="0" customHeight="1">
      <x:c r="A32" s="81" t="str"/>
      <x:c r="B32" s="81" t="str"/>
      <x:c r="C32" s="81" t="str"/>
      <x:c r="D32" s="81" t="str"/>
      <x:c r="E32" s="81" t="str"/>
      <x:c r="F32" s="81" t="str"/>
      <x:c r="G32" s="81" t="str"/>
      <x:c r="H32" s="81" t="str"/>
      <x:c r="I32" s="82" t="str"/>
      <x:c r="J32" s="82" t="str"/>
      <x:c r="K32" s="82" t="str"/>
      <x:c r="L32" s="82" t="str"/>
      <x:c r="M32" s="82" t="e">
        <x:f>IF(COUNTA(I32:L32)=0,"",AVERAGE(I32:L32))</x:f>
      </x:c>
      <x:c r="N32" s="82" t="str"/>
      <x:c r="O32" s="82" t="str"/>
      <x:c r="P32" s="82" t="str"/>
      <x:c r="Q32" s="82" t="str"/>
      <x:c r="R32" s="82" t="str"/>
      <x:c r="S32" s="82" t="str"/>
      <x:c r="T32" s="82" t="str"/>
      <x:c r="U32" s="82" t="str"/>
      <x:c r="V32" s="82" t="str"/>
      <x:c r="W32" s="82" t="str"/>
      <x:c r="X32" s="82" t="str"/>
      <x:c r="Y32" s="82" t="str"/>
      <x:c r="Z32" s="82" t="str"/>
      <x:c r="AA32" s="82" t="str"/>
      <x:c r="AB32" s="82" t="str">
        <x:f>IF(G32&lt;&gt;"eligible","",MAX(0,(0.30*M32)+(0.15*N32)+(0.15*O32)+(0.15*P32)+(0.05*Q32)+(0.10*R32)+(0.10*S32)+(0.05*T32)+(0.05*U32)+AA32-SUM(V32:Z32)))</x:f>
      </x:c>
      <x:c r="AC32" s="81" t="str">
        <x:f>IF(G32&lt;&gt;"eligible","excluded",IF(AB32&gt;=0.75,"overall_high_signal",IF(O32&gt;=0.75,"transformation_object",IF(OR(P32&gt;=0.75,Q32&gt;=0.75),"handoff_timer",IF(R32&gt;=0.75,"sync_governance",IF(T32&gt;=0.75,"pf_olc_risk","score_pool"))))))</x:f>
        <x:v>excluded</x:v>
      </x:c>
      <x:c r="AD32" s="81" t="str"/>
      <x:c r="AE32" s="81" t="str"/>
      <x:c r="AF32" s="81" t="str"/>
      <x:c r="AG32" s="81" t="str"/>
      <x:c r="AH32" s="81" t="str"/>
      <x:c r="AI32" s="81" t="str"/>
      <x:c r="AJ32" s="81" t="str"/>
      <x:c r="AK32" s="81" t="str">
        <x:f>IF(OR(G32="",G32="eligible"),"No","Sí")</x:f>
        <x:v>No</x:v>
      </x:c>
      <x:c r="AL32" s="81" t="str"/>
    </x:row>
    <x:row r="33" ht="15" hidden="0" customHeight="1">
      <x:c r="A33" s="81" t="str"/>
      <x:c r="B33" s="81" t="str"/>
      <x:c r="C33" s="81" t="str"/>
      <x:c r="D33" s="81" t="str"/>
      <x:c r="E33" s="81" t="str"/>
      <x:c r="F33" s="81" t="str"/>
      <x:c r="G33" s="81" t="str"/>
      <x:c r="H33" s="81" t="str"/>
      <x:c r="I33" s="82" t="str"/>
      <x:c r="J33" s="82" t="str"/>
      <x:c r="K33" s="82" t="str"/>
      <x:c r="L33" s="82" t="str"/>
      <x:c r="M33" s="82" t="e">
        <x:f>IF(COUNTA(I33:L33)=0,"",AVERAGE(I33:L33))</x:f>
      </x:c>
      <x:c r="N33" s="82" t="str"/>
      <x:c r="O33" s="82" t="str"/>
      <x:c r="P33" s="82" t="str"/>
      <x:c r="Q33" s="82" t="str"/>
      <x:c r="R33" s="82" t="str"/>
      <x:c r="S33" s="82" t="str"/>
      <x:c r="T33" s="82" t="str"/>
      <x:c r="U33" s="82" t="str"/>
      <x:c r="V33" s="82" t="str"/>
      <x:c r="W33" s="82" t="str"/>
      <x:c r="X33" s="82" t="str"/>
      <x:c r="Y33" s="82" t="str"/>
      <x:c r="Z33" s="82" t="str"/>
      <x:c r="AA33" s="82" t="str"/>
      <x:c r="AB33" s="82" t="str">
        <x:f>IF(G33&lt;&gt;"eligible","",MAX(0,(0.30*M33)+(0.15*N33)+(0.15*O33)+(0.15*P33)+(0.05*Q33)+(0.10*R33)+(0.10*S33)+(0.05*T33)+(0.05*U33)+AA33-SUM(V33:Z33)))</x:f>
      </x:c>
      <x:c r="AC33" s="81" t="str">
        <x:f>IF(G33&lt;&gt;"eligible","excluded",IF(AB33&gt;=0.75,"overall_high_signal",IF(O33&gt;=0.75,"transformation_object",IF(OR(P33&gt;=0.75,Q33&gt;=0.75),"handoff_timer",IF(R33&gt;=0.75,"sync_governance",IF(T33&gt;=0.75,"pf_olc_risk","score_pool"))))))</x:f>
        <x:v>excluded</x:v>
      </x:c>
      <x:c r="AD33" s="81" t="str"/>
      <x:c r="AE33" s="81" t="str"/>
      <x:c r="AF33" s="81" t="str"/>
      <x:c r="AG33" s="81" t="str"/>
      <x:c r="AH33" s="81" t="str"/>
      <x:c r="AI33" s="81" t="str"/>
      <x:c r="AJ33" s="81" t="str"/>
      <x:c r="AK33" s="81" t="str">
        <x:f>IF(OR(G33="",G33="eligible"),"No","Sí")</x:f>
        <x:v>No</x:v>
      </x:c>
      <x:c r="AL33" s="81" t="str"/>
    </x:row>
    <x:row r="34" ht="15" hidden="0" customHeight="1">
      <x:c r="A34" s="81" t="str"/>
      <x:c r="B34" s="81" t="str"/>
      <x:c r="C34" s="81" t="str"/>
      <x:c r="D34" s="81" t="str"/>
      <x:c r="E34" s="81" t="str"/>
      <x:c r="F34" s="81" t="str"/>
      <x:c r="G34" s="81" t="str"/>
      <x:c r="H34" s="81" t="str"/>
      <x:c r="I34" s="82" t="str"/>
      <x:c r="J34" s="82" t="str"/>
      <x:c r="K34" s="82" t="str"/>
      <x:c r="L34" s="82" t="str"/>
      <x:c r="M34" s="82" t="e">
        <x:f>IF(COUNTA(I34:L34)=0,"",AVERAGE(I34:L34))</x:f>
      </x:c>
      <x:c r="N34" s="82" t="str"/>
      <x:c r="O34" s="82" t="str"/>
      <x:c r="P34" s="82" t="str"/>
      <x:c r="Q34" s="82" t="str"/>
      <x:c r="R34" s="82" t="str"/>
      <x:c r="S34" s="82" t="str"/>
      <x:c r="T34" s="82" t="str"/>
      <x:c r="U34" s="82" t="str"/>
      <x:c r="V34" s="82" t="str"/>
      <x:c r="W34" s="82" t="str"/>
      <x:c r="X34" s="82" t="str"/>
      <x:c r="Y34" s="82" t="str"/>
      <x:c r="Z34" s="82" t="str"/>
      <x:c r="AA34" s="82" t="str"/>
      <x:c r="AB34" s="82" t="str">
        <x:f>IF(G34&lt;&gt;"eligible","",MAX(0,(0.30*M34)+(0.15*N34)+(0.15*O34)+(0.15*P34)+(0.05*Q34)+(0.10*R34)+(0.10*S34)+(0.05*T34)+(0.05*U34)+AA34-SUM(V34:Z34)))</x:f>
      </x:c>
      <x:c r="AC34" s="81" t="str">
        <x:f>IF(G34&lt;&gt;"eligible","excluded",IF(AB34&gt;=0.75,"overall_high_signal",IF(O34&gt;=0.75,"transformation_object",IF(OR(P34&gt;=0.75,Q34&gt;=0.75),"handoff_timer",IF(R34&gt;=0.75,"sync_governance",IF(T34&gt;=0.75,"pf_olc_risk","score_pool"))))))</x:f>
        <x:v>excluded</x:v>
      </x:c>
      <x:c r="AD34" s="81" t="str"/>
      <x:c r="AE34" s="81" t="str"/>
      <x:c r="AF34" s="81" t="str"/>
      <x:c r="AG34" s="81" t="str"/>
      <x:c r="AH34" s="81" t="str"/>
      <x:c r="AI34" s="81" t="str"/>
      <x:c r="AJ34" s="81" t="str"/>
      <x:c r="AK34" s="81" t="str">
        <x:f>IF(OR(G34="",G34="eligible"),"No","Sí")</x:f>
        <x:v>No</x:v>
      </x:c>
      <x:c r="AL34" s="81" t="str"/>
    </x:row>
    <x:row r="35" ht="15" hidden="0" customHeight="1">
      <x:c r="A35" s="81" t="str"/>
      <x:c r="B35" s="81" t="str"/>
      <x:c r="C35" s="81" t="str"/>
      <x:c r="D35" s="81" t="str"/>
      <x:c r="E35" s="81" t="str"/>
      <x:c r="F35" s="81" t="str"/>
      <x:c r="G35" s="81" t="str"/>
      <x:c r="H35" s="81" t="str"/>
      <x:c r="I35" s="82" t="str"/>
      <x:c r="J35" s="82" t="str"/>
      <x:c r="K35" s="82" t="str"/>
      <x:c r="L35" s="82" t="str"/>
      <x:c r="M35" s="82" t="e">
        <x:f>IF(COUNTA(I35:L35)=0,"",AVERAGE(I35:L35))</x:f>
      </x:c>
      <x:c r="N35" s="82" t="str"/>
      <x:c r="O35" s="82" t="str"/>
      <x:c r="P35" s="82" t="str"/>
      <x:c r="Q35" s="82" t="str"/>
      <x:c r="R35" s="82" t="str"/>
      <x:c r="S35" s="82" t="str"/>
      <x:c r="T35" s="82" t="str"/>
      <x:c r="U35" s="82" t="str"/>
      <x:c r="V35" s="82" t="str"/>
      <x:c r="W35" s="82" t="str"/>
      <x:c r="X35" s="82" t="str"/>
      <x:c r="Y35" s="82" t="str"/>
      <x:c r="Z35" s="82" t="str"/>
      <x:c r="AA35" s="82" t="str"/>
      <x:c r="AB35" s="82" t="str">
        <x:f>IF(G35&lt;&gt;"eligible","",MAX(0,(0.30*M35)+(0.15*N35)+(0.15*O35)+(0.15*P35)+(0.05*Q35)+(0.10*R35)+(0.10*S35)+(0.05*T35)+(0.05*U35)+AA35-SUM(V35:Z35)))</x:f>
      </x:c>
      <x:c r="AC35" s="81" t="str">
        <x:f>IF(G35&lt;&gt;"eligible","excluded",IF(AB35&gt;=0.75,"overall_high_signal",IF(O35&gt;=0.75,"transformation_object",IF(OR(P35&gt;=0.75,Q35&gt;=0.75),"handoff_timer",IF(R35&gt;=0.75,"sync_governance",IF(T35&gt;=0.75,"pf_olc_risk","score_pool"))))))</x:f>
        <x:v>excluded</x:v>
      </x:c>
      <x:c r="AD35" s="81" t="str"/>
      <x:c r="AE35" s="81" t="str"/>
      <x:c r="AF35" s="81" t="str"/>
      <x:c r="AG35" s="81" t="str"/>
      <x:c r="AH35" s="81" t="str"/>
      <x:c r="AI35" s="81" t="str"/>
      <x:c r="AJ35" s="81" t="str"/>
      <x:c r="AK35" s="81" t="str">
        <x:f>IF(OR(G35="",G35="eligible"),"No","Sí")</x:f>
        <x:v>No</x:v>
      </x:c>
      <x:c r="AL35" s="81" t="str"/>
    </x:row>
    <x:row r="36" ht="15" hidden="0" customHeight="1">
      <x:c r="A36" s="81" t="str"/>
      <x:c r="B36" s="81" t="str"/>
      <x:c r="C36" s="81" t="str"/>
      <x:c r="D36" s="81" t="str"/>
      <x:c r="E36" s="81" t="str"/>
      <x:c r="F36" s="81" t="str"/>
      <x:c r="G36" s="81" t="str"/>
      <x:c r="H36" s="81" t="str"/>
      <x:c r="I36" s="82" t="str"/>
      <x:c r="J36" s="82" t="str"/>
      <x:c r="K36" s="82" t="str"/>
      <x:c r="L36" s="82" t="str"/>
      <x:c r="M36" s="82" t="e">
        <x:f>IF(COUNTA(I36:L36)=0,"",AVERAGE(I36:L36))</x:f>
      </x:c>
      <x:c r="N36" s="82" t="str"/>
      <x:c r="O36" s="82" t="str"/>
      <x:c r="P36" s="82" t="str"/>
      <x:c r="Q36" s="82" t="str"/>
      <x:c r="R36" s="82" t="str"/>
      <x:c r="S36" s="82" t="str"/>
      <x:c r="T36" s="82" t="str"/>
      <x:c r="U36" s="82" t="str"/>
      <x:c r="V36" s="82" t="str"/>
      <x:c r="W36" s="82" t="str"/>
      <x:c r="X36" s="82" t="str"/>
      <x:c r="Y36" s="82" t="str"/>
      <x:c r="Z36" s="82" t="str"/>
      <x:c r="AA36" s="82" t="str"/>
      <x:c r="AB36" s="82" t="str">
        <x:f>IF(G36&lt;&gt;"eligible","",MAX(0,(0.30*M36)+(0.15*N36)+(0.15*O36)+(0.15*P36)+(0.05*Q36)+(0.10*R36)+(0.10*S36)+(0.05*T36)+(0.05*U36)+AA36-SUM(V36:Z36)))</x:f>
      </x:c>
      <x:c r="AC36" s="81" t="str">
        <x:f>IF(G36&lt;&gt;"eligible","excluded",IF(AB36&gt;=0.75,"overall_high_signal",IF(O36&gt;=0.75,"transformation_object",IF(OR(P36&gt;=0.75,Q36&gt;=0.75),"handoff_timer",IF(R36&gt;=0.75,"sync_governance",IF(T36&gt;=0.75,"pf_olc_risk","score_pool"))))))</x:f>
        <x:v>excluded</x:v>
      </x:c>
      <x:c r="AD36" s="81" t="str"/>
      <x:c r="AE36" s="81" t="str"/>
      <x:c r="AF36" s="81" t="str"/>
      <x:c r="AG36" s="81" t="str"/>
      <x:c r="AH36" s="81" t="str"/>
      <x:c r="AI36" s="81" t="str"/>
      <x:c r="AJ36" s="81" t="str"/>
      <x:c r="AK36" s="81" t="str">
        <x:f>IF(OR(G36="",G36="eligible"),"No","Sí")</x:f>
        <x:v>No</x:v>
      </x:c>
      <x:c r="AL36" s="81" t="str"/>
    </x:row>
    <x:row r="37" ht="15" hidden="0" customHeight="1">
      <x:c r="A37" s="81" t="str"/>
      <x:c r="B37" s="81" t="str"/>
      <x:c r="C37" s="81" t="str"/>
      <x:c r="D37" s="81" t="str"/>
      <x:c r="E37" s="81" t="str"/>
      <x:c r="F37" s="81" t="str"/>
      <x:c r="G37" s="81" t="str"/>
      <x:c r="H37" s="81" t="str"/>
      <x:c r="I37" s="82" t="str"/>
      <x:c r="J37" s="82" t="str"/>
      <x:c r="K37" s="82" t="str"/>
      <x:c r="L37" s="82" t="str"/>
      <x:c r="M37" s="82" t="e">
        <x:f>IF(COUNTA(I37:L37)=0,"",AVERAGE(I37:L37))</x:f>
      </x:c>
      <x:c r="N37" s="82" t="str"/>
      <x:c r="O37" s="82" t="str"/>
      <x:c r="P37" s="82" t="str"/>
      <x:c r="Q37" s="82" t="str"/>
      <x:c r="R37" s="82" t="str"/>
      <x:c r="S37" s="82" t="str"/>
      <x:c r="T37" s="82" t="str"/>
      <x:c r="U37" s="82" t="str"/>
      <x:c r="V37" s="82" t="str"/>
      <x:c r="W37" s="82" t="str"/>
      <x:c r="X37" s="82" t="str"/>
      <x:c r="Y37" s="82" t="str"/>
      <x:c r="Z37" s="82" t="str"/>
      <x:c r="AA37" s="82" t="str"/>
      <x:c r="AB37" s="82" t="str">
        <x:f>IF(G37&lt;&gt;"eligible","",MAX(0,(0.30*M37)+(0.15*N37)+(0.15*O37)+(0.15*P37)+(0.05*Q37)+(0.10*R37)+(0.10*S37)+(0.05*T37)+(0.05*U37)+AA37-SUM(V37:Z37)))</x:f>
      </x:c>
      <x:c r="AC37" s="81" t="str">
        <x:f>IF(G37&lt;&gt;"eligible","excluded",IF(AB37&gt;=0.75,"overall_high_signal",IF(O37&gt;=0.75,"transformation_object",IF(OR(P37&gt;=0.75,Q37&gt;=0.75),"handoff_timer",IF(R37&gt;=0.75,"sync_governance",IF(T37&gt;=0.75,"pf_olc_risk","score_pool"))))))</x:f>
        <x:v>excluded</x:v>
      </x:c>
      <x:c r="AD37" s="81" t="str"/>
      <x:c r="AE37" s="81" t="str"/>
      <x:c r="AF37" s="81" t="str"/>
      <x:c r="AG37" s="81" t="str"/>
      <x:c r="AH37" s="81" t="str"/>
      <x:c r="AI37" s="81" t="str"/>
      <x:c r="AJ37" s="81" t="str"/>
      <x:c r="AK37" s="81" t="str">
        <x:f>IF(OR(G37="",G37="eligible"),"No","Sí")</x:f>
        <x:v>No</x:v>
      </x:c>
      <x:c r="AL37" s="81" t="str"/>
    </x:row>
    <x:row r="38" ht="15" hidden="0" customHeight="1">
      <x:c r="A38" s="81" t="str"/>
      <x:c r="B38" s="81" t="str"/>
      <x:c r="C38" s="81" t="str"/>
      <x:c r="D38" s="81" t="str"/>
      <x:c r="E38" s="81" t="str"/>
      <x:c r="F38" s="81" t="str"/>
      <x:c r="G38" s="81" t="str"/>
      <x:c r="H38" s="81" t="str"/>
      <x:c r="I38" s="82" t="str"/>
      <x:c r="J38" s="82" t="str"/>
      <x:c r="K38" s="82" t="str"/>
      <x:c r="L38" s="82" t="str"/>
      <x:c r="M38" s="82" t="e">
        <x:f>IF(COUNTA(I38:L38)=0,"",AVERAGE(I38:L38))</x:f>
      </x:c>
      <x:c r="N38" s="82" t="str"/>
      <x:c r="O38" s="82" t="str"/>
      <x:c r="P38" s="82" t="str"/>
      <x:c r="Q38" s="82" t="str"/>
      <x:c r="R38" s="82" t="str"/>
      <x:c r="S38" s="82" t="str"/>
      <x:c r="T38" s="82" t="str"/>
      <x:c r="U38" s="82" t="str"/>
      <x:c r="V38" s="82" t="str"/>
      <x:c r="W38" s="82" t="str"/>
      <x:c r="X38" s="82" t="str"/>
      <x:c r="Y38" s="82" t="str"/>
      <x:c r="Z38" s="82" t="str"/>
      <x:c r="AA38" s="82" t="str"/>
      <x:c r="AB38" s="82" t="str">
        <x:f>IF(G38&lt;&gt;"eligible","",MAX(0,(0.30*M38)+(0.15*N38)+(0.15*O38)+(0.15*P38)+(0.05*Q38)+(0.10*R38)+(0.10*S38)+(0.05*T38)+(0.05*U38)+AA38-SUM(V38:Z38)))</x:f>
      </x:c>
      <x:c r="AC38" s="81" t="str">
        <x:f>IF(G38&lt;&gt;"eligible","excluded",IF(AB38&gt;=0.75,"overall_high_signal",IF(O38&gt;=0.75,"transformation_object",IF(OR(P38&gt;=0.75,Q38&gt;=0.75),"handoff_timer",IF(R38&gt;=0.75,"sync_governance",IF(T38&gt;=0.75,"pf_olc_risk","score_pool"))))))</x:f>
        <x:v>excluded</x:v>
      </x:c>
      <x:c r="AD38" s="81" t="str"/>
      <x:c r="AE38" s="81" t="str"/>
      <x:c r="AF38" s="81" t="str"/>
      <x:c r="AG38" s="81" t="str"/>
      <x:c r="AH38" s="81" t="str"/>
      <x:c r="AI38" s="81" t="str"/>
      <x:c r="AJ38" s="81" t="str"/>
      <x:c r="AK38" s="81" t="str">
        <x:f>IF(OR(G38="",G38="eligible"),"No","Sí")</x:f>
        <x:v>No</x:v>
      </x:c>
      <x:c r="AL38" s="81" t="str"/>
    </x:row>
    <x:row r="39" ht="15" hidden="0" customHeight="1">
      <x:c r="A39" s="81" t="str"/>
      <x:c r="B39" s="81" t="str"/>
      <x:c r="C39" s="81" t="str"/>
      <x:c r="D39" s="81" t="str"/>
      <x:c r="E39" s="81" t="str"/>
      <x:c r="F39" s="81" t="str"/>
      <x:c r="G39" s="81" t="str"/>
      <x:c r="H39" s="81" t="str"/>
      <x:c r="I39" s="82" t="str"/>
      <x:c r="J39" s="82" t="str"/>
      <x:c r="K39" s="82" t="str"/>
      <x:c r="L39" s="82" t="str"/>
      <x:c r="M39" s="82" t="e">
        <x:f>IF(COUNTA(I39:L39)=0,"",AVERAGE(I39:L39))</x:f>
      </x:c>
      <x:c r="N39" s="82" t="str"/>
      <x:c r="O39" s="82" t="str"/>
      <x:c r="P39" s="82" t="str"/>
      <x:c r="Q39" s="82" t="str"/>
      <x:c r="R39" s="82" t="str"/>
      <x:c r="S39" s="82" t="str"/>
      <x:c r="T39" s="82" t="str"/>
      <x:c r="U39" s="82" t="str"/>
      <x:c r="V39" s="82" t="str"/>
      <x:c r="W39" s="82" t="str"/>
      <x:c r="X39" s="82" t="str"/>
      <x:c r="Y39" s="82" t="str"/>
      <x:c r="Z39" s="82" t="str"/>
      <x:c r="AA39" s="82" t="str"/>
      <x:c r="AB39" s="82" t="str">
        <x:f>IF(G39&lt;&gt;"eligible","",MAX(0,(0.30*M39)+(0.15*N39)+(0.15*O39)+(0.15*P39)+(0.05*Q39)+(0.10*R39)+(0.10*S39)+(0.05*T39)+(0.05*U39)+AA39-SUM(V39:Z39)))</x:f>
      </x:c>
      <x:c r="AC39" s="81" t="str">
        <x:f>IF(G39&lt;&gt;"eligible","excluded",IF(AB39&gt;=0.75,"overall_high_signal",IF(O39&gt;=0.75,"transformation_object",IF(OR(P39&gt;=0.75,Q39&gt;=0.75),"handoff_timer",IF(R39&gt;=0.75,"sync_governance",IF(T39&gt;=0.75,"pf_olc_risk","score_pool"))))))</x:f>
        <x:v>excluded</x:v>
      </x:c>
      <x:c r="AD39" s="81" t="str"/>
      <x:c r="AE39" s="81" t="str"/>
      <x:c r="AF39" s="81" t="str"/>
      <x:c r="AG39" s="81" t="str"/>
      <x:c r="AH39" s="81" t="str"/>
      <x:c r="AI39" s="81" t="str"/>
      <x:c r="AJ39" s="81" t="str"/>
      <x:c r="AK39" s="81" t="str">
        <x:f>IF(OR(G39="",G39="eligible"),"No","Sí")</x:f>
        <x:v>No</x:v>
      </x:c>
      <x:c r="AL39" s="81" t="str"/>
    </x:row>
    <x:row r="40" ht="15" hidden="0" customHeight="1">
      <x:c r="A40" s="81" t="str"/>
      <x:c r="B40" s="81" t="str"/>
      <x:c r="C40" s="81" t="str"/>
      <x:c r="D40" s="81" t="str"/>
      <x:c r="E40" s="81" t="str"/>
      <x:c r="F40" s="81" t="str"/>
      <x:c r="G40" s="81" t="str"/>
      <x:c r="H40" s="81" t="str"/>
      <x:c r="I40" s="82" t="str"/>
      <x:c r="J40" s="82" t="str"/>
      <x:c r="K40" s="82" t="str"/>
      <x:c r="L40" s="82" t="str"/>
      <x:c r="M40" s="82" t="e">
        <x:f>IF(COUNTA(I40:L40)=0,"",AVERAGE(I40:L40))</x:f>
      </x:c>
      <x:c r="N40" s="82" t="str"/>
      <x:c r="O40" s="82" t="str"/>
      <x:c r="P40" s="82" t="str"/>
      <x:c r="Q40" s="82" t="str"/>
      <x:c r="R40" s="82" t="str"/>
      <x:c r="S40" s="82" t="str"/>
      <x:c r="T40" s="82" t="str"/>
      <x:c r="U40" s="82" t="str"/>
      <x:c r="V40" s="82" t="str"/>
      <x:c r="W40" s="82" t="str"/>
      <x:c r="X40" s="82" t="str"/>
      <x:c r="Y40" s="82" t="str"/>
      <x:c r="Z40" s="82" t="str"/>
      <x:c r="AA40" s="82" t="str"/>
      <x:c r="AB40" s="82" t="str">
        <x:f>IF(G40&lt;&gt;"eligible","",MAX(0,(0.30*M40)+(0.15*N40)+(0.15*O40)+(0.15*P40)+(0.05*Q40)+(0.10*R40)+(0.10*S40)+(0.05*T40)+(0.05*U40)+AA40-SUM(V40:Z40)))</x:f>
      </x:c>
      <x:c r="AC40" s="81" t="str">
        <x:f>IF(G40&lt;&gt;"eligible","excluded",IF(AB40&gt;=0.75,"overall_high_signal",IF(O40&gt;=0.75,"transformation_object",IF(OR(P40&gt;=0.75,Q40&gt;=0.75),"handoff_timer",IF(R40&gt;=0.75,"sync_governance",IF(T40&gt;=0.75,"pf_olc_risk","score_pool"))))))</x:f>
        <x:v>excluded</x:v>
      </x:c>
      <x:c r="AD40" s="81" t="str"/>
      <x:c r="AE40" s="81" t="str"/>
      <x:c r="AF40" s="81" t="str"/>
      <x:c r="AG40" s="81" t="str"/>
      <x:c r="AH40" s="81" t="str"/>
      <x:c r="AI40" s="81" t="str"/>
      <x:c r="AJ40" s="81" t="str"/>
      <x:c r="AK40" s="81" t="str">
        <x:f>IF(OR(G40="",G40="eligible"),"No","Sí")</x:f>
        <x:v>No</x:v>
      </x:c>
      <x:c r="AL40" s="81" t="str"/>
    </x:row>
    <x:row r="41" ht="15" hidden="0" customHeight="1">
      <x:c r="A41" s="81" t="str"/>
      <x:c r="B41" s="81" t="str"/>
      <x:c r="C41" s="81" t="str"/>
      <x:c r="D41" s="81" t="str"/>
      <x:c r="E41" s="81" t="str"/>
      <x:c r="F41" s="81" t="str"/>
      <x:c r="G41" s="81" t="str"/>
      <x:c r="H41" s="81" t="str"/>
      <x:c r="I41" s="82" t="str"/>
      <x:c r="J41" s="82" t="str"/>
      <x:c r="K41" s="82" t="str"/>
      <x:c r="L41" s="82" t="str"/>
      <x:c r="M41" s="82" t="e">
        <x:f>IF(COUNTA(I41:L41)=0,"",AVERAGE(I41:L41))</x:f>
      </x:c>
      <x:c r="N41" s="82" t="str"/>
      <x:c r="O41" s="82" t="str"/>
      <x:c r="P41" s="82" t="str"/>
      <x:c r="Q41" s="82" t="str"/>
      <x:c r="R41" s="82" t="str"/>
      <x:c r="S41" s="82" t="str"/>
      <x:c r="T41" s="82" t="str"/>
      <x:c r="U41" s="82" t="str"/>
      <x:c r="V41" s="82" t="str"/>
      <x:c r="W41" s="82" t="str"/>
      <x:c r="X41" s="82" t="str"/>
      <x:c r="Y41" s="82" t="str"/>
      <x:c r="Z41" s="82" t="str"/>
      <x:c r="AA41" s="82" t="str"/>
      <x:c r="AB41" s="82" t="str">
        <x:f>IF(G41&lt;&gt;"eligible","",MAX(0,(0.30*M41)+(0.15*N41)+(0.15*O41)+(0.15*P41)+(0.05*Q41)+(0.10*R41)+(0.10*S41)+(0.05*T41)+(0.05*U41)+AA41-SUM(V41:Z41)))</x:f>
      </x:c>
      <x:c r="AC41" s="81" t="str">
        <x:f>IF(G41&lt;&gt;"eligible","excluded",IF(AB41&gt;=0.75,"overall_high_signal",IF(O41&gt;=0.75,"transformation_object",IF(OR(P41&gt;=0.75,Q41&gt;=0.75),"handoff_timer",IF(R41&gt;=0.75,"sync_governance",IF(T41&gt;=0.75,"pf_olc_risk","score_pool"))))))</x:f>
        <x:v>excluded</x:v>
      </x:c>
      <x:c r="AD41" s="81" t="str"/>
      <x:c r="AE41" s="81" t="str"/>
      <x:c r="AF41" s="81" t="str"/>
      <x:c r="AG41" s="81" t="str"/>
      <x:c r="AH41" s="81" t="str"/>
      <x:c r="AI41" s="81" t="str"/>
      <x:c r="AJ41" s="81" t="str"/>
      <x:c r="AK41" s="81" t="str">
        <x:f>IF(OR(G41="",G41="eligible"),"No","Sí")</x:f>
        <x:v>No</x:v>
      </x:c>
      <x:c r="AL41" s="81" t="str"/>
    </x:row>
    <x:row r="42" ht="15" hidden="0" customHeight="1">
      <x:c r="A42" s="81" t="str"/>
      <x:c r="B42" s="81" t="str"/>
      <x:c r="C42" s="81" t="str"/>
      <x:c r="D42" s="81" t="str"/>
      <x:c r="E42" s="81" t="str"/>
      <x:c r="F42" s="81" t="str"/>
      <x:c r="G42" s="81" t="str"/>
      <x:c r="H42" s="81" t="str"/>
      <x:c r="I42" s="82" t="str"/>
      <x:c r="J42" s="82" t="str"/>
      <x:c r="K42" s="82" t="str"/>
      <x:c r="L42" s="82" t="str"/>
      <x:c r="M42" s="82" t="e">
        <x:f>IF(COUNTA(I42:L42)=0,"",AVERAGE(I42:L42))</x:f>
      </x:c>
      <x:c r="N42" s="82" t="str"/>
      <x:c r="O42" s="82" t="str"/>
      <x:c r="P42" s="82" t="str"/>
      <x:c r="Q42" s="82" t="str"/>
      <x:c r="R42" s="82" t="str"/>
      <x:c r="S42" s="82" t="str"/>
      <x:c r="T42" s="82" t="str"/>
      <x:c r="U42" s="82" t="str"/>
      <x:c r="V42" s="82" t="str"/>
      <x:c r="W42" s="82" t="str"/>
      <x:c r="X42" s="82" t="str"/>
      <x:c r="Y42" s="82" t="str"/>
      <x:c r="Z42" s="82" t="str"/>
      <x:c r="AA42" s="82" t="str"/>
      <x:c r="AB42" s="82" t="str">
        <x:f>IF(G42&lt;&gt;"eligible","",MAX(0,(0.30*M42)+(0.15*N42)+(0.15*O42)+(0.15*P42)+(0.05*Q42)+(0.10*R42)+(0.10*S42)+(0.05*T42)+(0.05*U42)+AA42-SUM(V42:Z42)))</x:f>
      </x:c>
      <x:c r="AC42" s="81" t="str">
        <x:f>IF(G42&lt;&gt;"eligible","excluded",IF(AB42&gt;=0.75,"overall_high_signal",IF(O42&gt;=0.75,"transformation_object",IF(OR(P42&gt;=0.75,Q42&gt;=0.75),"handoff_timer",IF(R42&gt;=0.75,"sync_governance",IF(T42&gt;=0.75,"pf_olc_risk","score_pool"))))))</x:f>
        <x:v>excluded</x:v>
      </x:c>
      <x:c r="AD42" s="81" t="str"/>
      <x:c r="AE42" s="81" t="str"/>
      <x:c r="AF42" s="81" t="str"/>
      <x:c r="AG42" s="81" t="str"/>
      <x:c r="AH42" s="81" t="str"/>
      <x:c r="AI42" s="81" t="str"/>
      <x:c r="AJ42" s="81" t="str"/>
      <x:c r="AK42" s="81" t="str">
        <x:f>IF(OR(G42="",G42="eligible"),"No","Sí")</x:f>
        <x:v>No</x:v>
      </x:c>
      <x:c r="AL42" s="81" t="str"/>
    </x:row>
    <x:row r="43" ht="15" hidden="0" customHeight="1">
      <x:c r="A43" s="81" t="str"/>
      <x:c r="B43" s="81" t="str"/>
      <x:c r="C43" s="81" t="str"/>
      <x:c r="D43" s="81" t="str"/>
      <x:c r="E43" s="81" t="str"/>
      <x:c r="F43" s="81" t="str"/>
      <x:c r="G43" s="81" t="str"/>
      <x:c r="H43" s="81" t="str"/>
      <x:c r="I43" s="82" t="str"/>
      <x:c r="J43" s="82" t="str"/>
      <x:c r="K43" s="82" t="str"/>
      <x:c r="L43" s="82" t="str"/>
      <x:c r="M43" s="82" t="e">
        <x:f>IF(COUNTA(I43:L43)=0,"",AVERAGE(I43:L43))</x:f>
      </x:c>
      <x:c r="N43" s="82" t="str"/>
      <x:c r="O43" s="82" t="str"/>
      <x:c r="P43" s="82" t="str"/>
      <x:c r="Q43" s="82" t="str"/>
      <x:c r="R43" s="82" t="str"/>
      <x:c r="S43" s="82" t="str"/>
      <x:c r="T43" s="82" t="str"/>
      <x:c r="U43" s="82" t="str"/>
      <x:c r="V43" s="82" t="str"/>
      <x:c r="W43" s="82" t="str"/>
      <x:c r="X43" s="82" t="str"/>
      <x:c r="Y43" s="82" t="str"/>
      <x:c r="Z43" s="82" t="str"/>
      <x:c r="AA43" s="82" t="str"/>
      <x:c r="AB43" s="82" t="str">
        <x:f>IF(G43&lt;&gt;"eligible","",MAX(0,(0.30*M43)+(0.15*N43)+(0.15*O43)+(0.15*P43)+(0.05*Q43)+(0.10*R43)+(0.10*S43)+(0.05*T43)+(0.05*U43)+AA43-SUM(V43:Z43)))</x:f>
      </x:c>
      <x:c r="AC43" s="81" t="str">
        <x:f>IF(G43&lt;&gt;"eligible","excluded",IF(AB43&gt;=0.75,"overall_high_signal",IF(O43&gt;=0.75,"transformation_object",IF(OR(P43&gt;=0.75,Q43&gt;=0.75),"handoff_timer",IF(R43&gt;=0.75,"sync_governance",IF(T43&gt;=0.75,"pf_olc_risk","score_pool"))))))</x:f>
        <x:v>excluded</x:v>
      </x:c>
      <x:c r="AD43" s="81" t="str"/>
      <x:c r="AE43" s="81" t="str"/>
      <x:c r="AF43" s="81" t="str"/>
      <x:c r="AG43" s="81" t="str"/>
      <x:c r="AH43" s="81" t="str"/>
      <x:c r="AI43" s="81" t="str"/>
      <x:c r="AJ43" s="81" t="str"/>
      <x:c r="AK43" s="81" t="str">
        <x:f>IF(OR(G43="",G43="eligible"),"No","Sí")</x:f>
        <x:v>No</x:v>
      </x:c>
      <x:c r="AL43" s="81" t="str"/>
    </x:row>
    <x:row r="44" ht="15" hidden="0" customHeight="1">
      <x:c r="A44" s="81" t="str"/>
      <x:c r="B44" s="81" t="str"/>
      <x:c r="C44" s="81" t="str"/>
      <x:c r="D44" s="81" t="str"/>
      <x:c r="E44" s="81" t="str"/>
      <x:c r="F44" s="81" t="str"/>
      <x:c r="G44" s="81" t="str"/>
      <x:c r="H44" s="81" t="str"/>
      <x:c r="I44" s="82" t="str"/>
      <x:c r="J44" s="82" t="str"/>
      <x:c r="K44" s="82" t="str"/>
      <x:c r="L44" s="82" t="str"/>
      <x:c r="M44" s="82" t="e">
        <x:f>IF(COUNTA(I44:L44)=0,"",AVERAGE(I44:L44))</x:f>
      </x:c>
      <x:c r="N44" s="82" t="str"/>
      <x:c r="O44" s="82" t="str"/>
      <x:c r="P44" s="82" t="str"/>
      <x:c r="Q44" s="82" t="str"/>
      <x:c r="R44" s="82" t="str"/>
      <x:c r="S44" s="82" t="str"/>
      <x:c r="T44" s="82" t="str"/>
      <x:c r="U44" s="82" t="str"/>
      <x:c r="V44" s="82" t="str"/>
      <x:c r="W44" s="82" t="str"/>
      <x:c r="X44" s="82" t="str"/>
      <x:c r="Y44" s="82" t="str"/>
      <x:c r="Z44" s="82" t="str"/>
      <x:c r="AA44" s="82" t="str"/>
      <x:c r="AB44" s="82" t="str">
        <x:f>IF(G44&lt;&gt;"eligible","",MAX(0,(0.30*M44)+(0.15*N44)+(0.15*O44)+(0.15*P44)+(0.05*Q44)+(0.10*R44)+(0.10*S44)+(0.05*T44)+(0.05*U44)+AA44-SUM(V44:Z44)))</x:f>
      </x:c>
      <x:c r="AC44" s="81" t="str">
        <x:f>IF(G44&lt;&gt;"eligible","excluded",IF(AB44&gt;=0.75,"overall_high_signal",IF(O44&gt;=0.75,"transformation_object",IF(OR(P44&gt;=0.75,Q44&gt;=0.75),"handoff_timer",IF(R44&gt;=0.75,"sync_governance",IF(T44&gt;=0.75,"pf_olc_risk","score_pool"))))))</x:f>
        <x:v>excluded</x:v>
      </x:c>
      <x:c r="AD44" s="81" t="str"/>
      <x:c r="AE44" s="81" t="str"/>
      <x:c r="AF44" s="81" t="str"/>
      <x:c r="AG44" s="81" t="str"/>
      <x:c r="AH44" s="81" t="str"/>
      <x:c r="AI44" s="81" t="str"/>
      <x:c r="AJ44" s="81" t="str"/>
      <x:c r="AK44" s="81" t="str">
        <x:f>IF(OR(G44="",G44="eligible"),"No","Sí")</x:f>
        <x:v>No</x:v>
      </x:c>
      <x:c r="AL44" s="81" t="str"/>
    </x:row>
    <x:row r="45" ht="15" hidden="0" customHeight="1">
      <x:c r="A45" s="81" t="str"/>
      <x:c r="B45" s="81" t="str"/>
      <x:c r="C45" s="81" t="str"/>
      <x:c r="D45" s="81" t="str"/>
      <x:c r="E45" s="81" t="str"/>
      <x:c r="F45" s="81" t="str"/>
      <x:c r="G45" s="81" t="str"/>
      <x:c r="H45" s="81" t="str"/>
      <x:c r="I45" s="82" t="str"/>
      <x:c r="J45" s="82" t="str"/>
      <x:c r="K45" s="82" t="str"/>
      <x:c r="L45" s="82" t="str"/>
      <x:c r="M45" s="82" t="e">
        <x:f>IF(COUNTA(I45:L45)=0,"",AVERAGE(I45:L45))</x:f>
      </x:c>
      <x:c r="N45" s="82" t="str"/>
      <x:c r="O45" s="82" t="str"/>
      <x:c r="P45" s="82" t="str"/>
      <x:c r="Q45" s="82" t="str"/>
      <x:c r="R45" s="82" t="str"/>
      <x:c r="S45" s="82" t="str"/>
      <x:c r="T45" s="82" t="str"/>
      <x:c r="U45" s="82" t="str"/>
      <x:c r="V45" s="82" t="str"/>
      <x:c r="W45" s="82" t="str"/>
      <x:c r="X45" s="82" t="str"/>
      <x:c r="Y45" s="82" t="str"/>
      <x:c r="Z45" s="82" t="str"/>
      <x:c r="AA45" s="82" t="str"/>
      <x:c r="AB45" s="82" t="str">
        <x:f>IF(G45&lt;&gt;"eligible","",MAX(0,(0.30*M45)+(0.15*N45)+(0.15*O45)+(0.15*P45)+(0.05*Q45)+(0.10*R45)+(0.10*S45)+(0.05*T45)+(0.05*U45)+AA45-SUM(V45:Z45)))</x:f>
      </x:c>
      <x:c r="AC45" s="81" t="str">
        <x:f>IF(G45&lt;&gt;"eligible","excluded",IF(AB45&gt;=0.75,"overall_high_signal",IF(O45&gt;=0.75,"transformation_object",IF(OR(P45&gt;=0.75,Q45&gt;=0.75),"handoff_timer",IF(R45&gt;=0.75,"sync_governance",IF(T45&gt;=0.75,"pf_olc_risk","score_pool"))))))</x:f>
        <x:v>excluded</x:v>
      </x:c>
      <x:c r="AD45" s="81" t="str"/>
      <x:c r="AE45" s="81" t="str"/>
      <x:c r="AF45" s="81" t="str"/>
      <x:c r="AG45" s="81" t="str"/>
      <x:c r="AH45" s="81" t="str"/>
      <x:c r="AI45" s="81" t="str"/>
      <x:c r="AJ45" s="81" t="str"/>
      <x:c r="AK45" s="81" t="str">
        <x:f>IF(OR(G45="",G45="eligible"),"No","Sí")</x:f>
        <x:v>No</x:v>
      </x:c>
      <x:c r="AL45" s="81" t="str"/>
    </x:row>
    <x:row r="46" ht="15" hidden="0" customHeight="1">
      <x:c r="A46" s="81" t="str"/>
      <x:c r="B46" s="81" t="str"/>
      <x:c r="C46" s="81" t="str"/>
      <x:c r="D46" s="81" t="str"/>
      <x:c r="E46" s="81" t="str"/>
      <x:c r="F46" s="81" t="str"/>
      <x:c r="G46" s="81" t="str"/>
      <x:c r="H46" s="81" t="str"/>
      <x:c r="I46" s="82" t="str"/>
      <x:c r="J46" s="82" t="str"/>
      <x:c r="K46" s="82" t="str"/>
      <x:c r="L46" s="82" t="str"/>
      <x:c r="M46" s="82" t="e">
        <x:f>IF(COUNTA(I46:L46)=0,"",AVERAGE(I46:L46))</x:f>
      </x:c>
      <x:c r="N46" s="82" t="str"/>
      <x:c r="O46" s="82" t="str"/>
      <x:c r="P46" s="82" t="str"/>
      <x:c r="Q46" s="82" t="str"/>
      <x:c r="R46" s="82" t="str"/>
      <x:c r="S46" s="82" t="str"/>
      <x:c r="T46" s="82" t="str"/>
      <x:c r="U46" s="82" t="str"/>
      <x:c r="V46" s="82" t="str"/>
      <x:c r="W46" s="82" t="str"/>
      <x:c r="X46" s="82" t="str"/>
      <x:c r="Y46" s="82" t="str"/>
      <x:c r="Z46" s="82" t="str"/>
      <x:c r="AA46" s="82" t="str"/>
      <x:c r="AB46" s="82" t="str">
        <x:f>IF(G46&lt;&gt;"eligible","",MAX(0,(0.30*M46)+(0.15*N46)+(0.15*O46)+(0.15*P46)+(0.05*Q46)+(0.10*R46)+(0.10*S46)+(0.05*T46)+(0.05*U46)+AA46-SUM(V46:Z46)))</x:f>
      </x:c>
      <x:c r="AC46" s="81" t="str">
        <x:f>IF(G46&lt;&gt;"eligible","excluded",IF(AB46&gt;=0.75,"overall_high_signal",IF(O46&gt;=0.75,"transformation_object",IF(OR(P46&gt;=0.75,Q46&gt;=0.75),"handoff_timer",IF(R46&gt;=0.75,"sync_governance",IF(T46&gt;=0.75,"pf_olc_risk","score_pool"))))))</x:f>
        <x:v>excluded</x:v>
      </x:c>
      <x:c r="AD46" s="81" t="str"/>
      <x:c r="AE46" s="81" t="str"/>
      <x:c r="AF46" s="81" t="str"/>
      <x:c r="AG46" s="81" t="str"/>
      <x:c r="AH46" s="81" t="str"/>
      <x:c r="AI46" s="81" t="str"/>
      <x:c r="AJ46" s="81" t="str"/>
      <x:c r="AK46" s="81" t="str">
        <x:f>IF(OR(G46="",G46="eligible"),"No","Sí")</x:f>
        <x:v>No</x:v>
      </x:c>
      <x:c r="AL46" s="81" t="str"/>
    </x:row>
    <x:row r="47" ht="15" hidden="0" customHeight="1">
      <x:c r="A47" s="81" t="str"/>
      <x:c r="B47" s="81" t="str"/>
      <x:c r="C47" s="81" t="str"/>
      <x:c r="D47" s="81" t="str"/>
      <x:c r="E47" s="81" t="str"/>
      <x:c r="F47" s="81" t="str"/>
      <x:c r="G47" s="81" t="str"/>
      <x:c r="H47" s="81" t="str"/>
      <x:c r="I47" s="82" t="str"/>
      <x:c r="J47" s="82" t="str"/>
      <x:c r="K47" s="82" t="str"/>
      <x:c r="L47" s="82" t="str"/>
      <x:c r="M47" s="82" t="e">
        <x:f>IF(COUNTA(I47:L47)=0,"",AVERAGE(I47:L47))</x:f>
      </x:c>
      <x:c r="N47" s="82" t="str"/>
      <x:c r="O47" s="82" t="str"/>
      <x:c r="P47" s="82" t="str"/>
      <x:c r="Q47" s="82" t="str"/>
      <x:c r="R47" s="82" t="str"/>
      <x:c r="S47" s="82" t="str"/>
      <x:c r="T47" s="82" t="str"/>
      <x:c r="U47" s="82" t="str"/>
      <x:c r="V47" s="82" t="str"/>
      <x:c r="W47" s="82" t="str"/>
      <x:c r="X47" s="82" t="str"/>
      <x:c r="Y47" s="82" t="str"/>
      <x:c r="Z47" s="82" t="str"/>
      <x:c r="AA47" s="82" t="str"/>
      <x:c r="AB47" s="82" t="str">
        <x:f>IF(G47&lt;&gt;"eligible","",MAX(0,(0.30*M47)+(0.15*N47)+(0.15*O47)+(0.15*P47)+(0.05*Q47)+(0.10*R47)+(0.10*S47)+(0.05*T47)+(0.05*U47)+AA47-SUM(V47:Z47)))</x:f>
      </x:c>
      <x:c r="AC47" s="81" t="str">
        <x:f>IF(G47&lt;&gt;"eligible","excluded",IF(AB47&gt;=0.75,"overall_high_signal",IF(O47&gt;=0.75,"transformation_object",IF(OR(P47&gt;=0.75,Q47&gt;=0.75),"handoff_timer",IF(R47&gt;=0.75,"sync_governance",IF(T47&gt;=0.75,"pf_olc_risk","score_pool"))))))</x:f>
        <x:v>excluded</x:v>
      </x:c>
      <x:c r="AD47" s="81" t="str"/>
      <x:c r="AE47" s="81" t="str"/>
      <x:c r="AF47" s="81" t="str"/>
      <x:c r="AG47" s="81" t="str"/>
      <x:c r="AH47" s="81" t="str"/>
      <x:c r="AI47" s="81" t="str"/>
      <x:c r="AJ47" s="81" t="str"/>
      <x:c r="AK47" s="81" t="str">
        <x:f>IF(OR(G47="",G47="eligible"),"No","Sí")</x:f>
        <x:v>No</x:v>
      </x:c>
      <x:c r="AL47" s="81" t="str"/>
    </x:row>
    <x:row r="48" ht="15" hidden="0" customHeight="1">
      <x:c r="A48" s="81" t="str"/>
      <x:c r="B48" s="81" t="str"/>
      <x:c r="C48" s="81" t="str"/>
      <x:c r="D48" s="81" t="str"/>
      <x:c r="E48" s="81" t="str"/>
      <x:c r="F48" s="81" t="str"/>
      <x:c r="G48" s="81" t="str"/>
      <x:c r="H48" s="81" t="str"/>
      <x:c r="I48" s="82" t="str"/>
      <x:c r="J48" s="82" t="str"/>
      <x:c r="K48" s="82" t="str"/>
      <x:c r="L48" s="82" t="str"/>
      <x:c r="M48" s="82" t="e">
        <x:f>IF(COUNTA(I48:L48)=0,"",AVERAGE(I48:L48))</x:f>
      </x:c>
      <x:c r="N48" s="82" t="str"/>
      <x:c r="O48" s="82" t="str"/>
      <x:c r="P48" s="82" t="str"/>
      <x:c r="Q48" s="82" t="str"/>
      <x:c r="R48" s="82" t="str"/>
      <x:c r="S48" s="82" t="str"/>
      <x:c r="T48" s="82" t="str"/>
      <x:c r="U48" s="82" t="str"/>
      <x:c r="V48" s="82" t="str"/>
      <x:c r="W48" s="82" t="str"/>
      <x:c r="X48" s="82" t="str"/>
      <x:c r="Y48" s="82" t="str"/>
      <x:c r="Z48" s="82" t="str"/>
      <x:c r="AA48" s="82" t="str"/>
      <x:c r="AB48" s="82" t="str">
        <x:f>IF(G48&lt;&gt;"eligible","",MAX(0,(0.30*M48)+(0.15*N48)+(0.15*O48)+(0.15*P48)+(0.05*Q48)+(0.10*R48)+(0.10*S48)+(0.05*T48)+(0.05*U48)+AA48-SUM(V48:Z48)))</x:f>
      </x:c>
      <x:c r="AC48" s="81" t="str">
        <x:f>IF(G48&lt;&gt;"eligible","excluded",IF(AB48&gt;=0.75,"overall_high_signal",IF(O48&gt;=0.75,"transformation_object",IF(OR(P48&gt;=0.75,Q48&gt;=0.75),"handoff_timer",IF(R48&gt;=0.75,"sync_governance",IF(T48&gt;=0.75,"pf_olc_risk","score_pool"))))))</x:f>
        <x:v>excluded</x:v>
      </x:c>
      <x:c r="AD48" s="81" t="str"/>
      <x:c r="AE48" s="81" t="str"/>
      <x:c r="AF48" s="81" t="str"/>
      <x:c r="AG48" s="81" t="str"/>
      <x:c r="AH48" s="81" t="str"/>
      <x:c r="AI48" s="81" t="str"/>
      <x:c r="AJ48" s="81" t="str"/>
      <x:c r="AK48" s="81" t="str">
        <x:f>IF(OR(G48="",G48="eligible"),"No","Sí")</x:f>
        <x:v>No</x:v>
      </x:c>
      <x:c r="AL48" s="81" t="str"/>
    </x:row>
    <x:row r="49" ht="15" hidden="0" customHeight="1">
      <x:c r="A49" s="81" t="str"/>
      <x:c r="B49" s="81" t="str"/>
      <x:c r="C49" s="81" t="str"/>
      <x:c r="D49" s="81" t="str"/>
      <x:c r="E49" s="81" t="str"/>
      <x:c r="F49" s="81" t="str"/>
      <x:c r="G49" s="81" t="str"/>
      <x:c r="H49" s="81" t="str"/>
      <x:c r="I49" s="82" t="str"/>
      <x:c r="J49" s="82" t="str"/>
      <x:c r="K49" s="82" t="str"/>
      <x:c r="L49" s="82" t="str"/>
      <x:c r="M49" s="82" t="e">
        <x:f>IF(COUNTA(I49:L49)=0,"",AVERAGE(I49:L49))</x:f>
      </x:c>
      <x:c r="N49" s="82" t="str"/>
      <x:c r="O49" s="82" t="str"/>
      <x:c r="P49" s="82" t="str"/>
      <x:c r="Q49" s="82" t="str"/>
      <x:c r="R49" s="82" t="str"/>
      <x:c r="S49" s="82" t="str"/>
      <x:c r="T49" s="82" t="str"/>
      <x:c r="U49" s="82" t="str"/>
      <x:c r="V49" s="82" t="str"/>
      <x:c r="W49" s="82" t="str"/>
      <x:c r="X49" s="82" t="str"/>
      <x:c r="Y49" s="82" t="str"/>
      <x:c r="Z49" s="82" t="str"/>
      <x:c r="AA49" s="82" t="str"/>
      <x:c r="AB49" s="82" t="str">
        <x:f>IF(G49&lt;&gt;"eligible","",MAX(0,(0.30*M49)+(0.15*N49)+(0.15*O49)+(0.15*P49)+(0.05*Q49)+(0.10*R49)+(0.10*S49)+(0.05*T49)+(0.05*U49)+AA49-SUM(V49:Z49)))</x:f>
      </x:c>
      <x:c r="AC49" s="81" t="str">
        <x:f>IF(G49&lt;&gt;"eligible","excluded",IF(AB49&gt;=0.75,"overall_high_signal",IF(O49&gt;=0.75,"transformation_object",IF(OR(P49&gt;=0.75,Q49&gt;=0.75),"handoff_timer",IF(R49&gt;=0.75,"sync_governance",IF(T49&gt;=0.75,"pf_olc_risk","score_pool"))))))</x:f>
        <x:v>excluded</x:v>
      </x:c>
      <x:c r="AD49" s="81" t="str"/>
      <x:c r="AE49" s="81" t="str"/>
      <x:c r="AF49" s="81" t="str"/>
      <x:c r="AG49" s="81" t="str"/>
      <x:c r="AH49" s="81" t="str"/>
      <x:c r="AI49" s="81" t="str"/>
      <x:c r="AJ49" s="81" t="str"/>
      <x:c r="AK49" s="81" t="str">
        <x:f>IF(OR(G49="",G49="eligible"),"No","Sí")</x:f>
        <x:v>No</x:v>
      </x:c>
      <x:c r="AL49" s="81" t="str"/>
    </x:row>
    <x:row r="50" ht="15" hidden="0" customHeight="1">
      <x:c r="A50" s="81" t="str"/>
      <x:c r="B50" s="81" t="str"/>
      <x:c r="C50" s="81" t="str"/>
      <x:c r="D50" s="81" t="str"/>
      <x:c r="E50" s="81" t="str"/>
      <x:c r="F50" s="81" t="str"/>
      <x:c r="G50" s="81" t="str"/>
      <x:c r="H50" s="81" t="str"/>
      <x:c r="I50" s="82" t="str"/>
      <x:c r="J50" s="82" t="str"/>
      <x:c r="K50" s="82" t="str"/>
      <x:c r="L50" s="82" t="str"/>
      <x:c r="M50" s="82" t="e">
        <x:f>IF(COUNTA(I50:L50)=0,"",AVERAGE(I50:L50))</x:f>
      </x:c>
      <x:c r="N50" s="82" t="str"/>
      <x:c r="O50" s="82" t="str"/>
      <x:c r="P50" s="82" t="str"/>
      <x:c r="Q50" s="82" t="str"/>
      <x:c r="R50" s="82" t="str"/>
      <x:c r="S50" s="82" t="str"/>
      <x:c r="T50" s="82" t="str"/>
      <x:c r="U50" s="82" t="str"/>
      <x:c r="V50" s="82" t="str"/>
      <x:c r="W50" s="82" t="str"/>
      <x:c r="X50" s="82" t="str"/>
      <x:c r="Y50" s="82" t="str"/>
      <x:c r="Z50" s="82" t="str"/>
      <x:c r="AA50" s="82" t="str"/>
      <x:c r="AB50" s="82" t="str">
        <x:f>IF(G50&lt;&gt;"eligible","",MAX(0,(0.30*M50)+(0.15*N50)+(0.15*O50)+(0.15*P50)+(0.05*Q50)+(0.10*R50)+(0.10*S50)+(0.05*T50)+(0.05*U50)+AA50-SUM(V50:Z50)))</x:f>
      </x:c>
      <x:c r="AC50" s="81" t="str">
        <x:f>IF(G50&lt;&gt;"eligible","excluded",IF(AB50&gt;=0.75,"overall_high_signal",IF(O50&gt;=0.75,"transformation_object",IF(OR(P50&gt;=0.75,Q50&gt;=0.75),"handoff_timer",IF(R50&gt;=0.75,"sync_governance",IF(T50&gt;=0.75,"pf_olc_risk","score_pool"))))))</x:f>
        <x:v>excluded</x:v>
      </x:c>
      <x:c r="AD50" s="81" t="str"/>
      <x:c r="AE50" s="81" t="str"/>
      <x:c r="AF50" s="81" t="str"/>
      <x:c r="AG50" s="81" t="str"/>
      <x:c r="AH50" s="81" t="str"/>
      <x:c r="AI50" s="81" t="str"/>
      <x:c r="AJ50" s="81" t="str"/>
      <x:c r="AK50" s="81" t="str">
        <x:f>IF(OR(G50="",G50="eligible"),"No","Sí")</x:f>
        <x:v>No</x:v>
      </x:c>
      <x:c r="AL50" s="81" t="str"/>
    </x:row>
    <x:row r="51" ht="15" hidden="0" customHeight="1">
      <x:c r="A51" s="81" t="str"/>
      <x:c r="B51" s="81" t="str"/>
      <x:c r="C51" s="81" t="str"/>
      <x:c r="D51" s="81" t="str"/>
      <x:c r="E51" s="81" t="str"/>
      <x:c r="F51" s="81" t="str"/>
      <x:c r="G51" s="81" t="str"/>
      <x:c r="H51" s="81" t="str"/>
      <x:c r="I51" s="82" t="str"/>
      <x:c r="J51" s="82" t="str"/>
      <x:c r="K51" s="82" t="str"/>
      <x:c r="L51" s="82" t="str"/>
      <x:c r="M51" s="82" t="e">
        <x:f>IF(COUNTA(I51:L51)=0,"",AVERAGE(I51:L51))</x:f>
      </x:c>
      <x:c r="N51" s="82" t="str"/>
      <x:c r="O51" s="82" t="str"/>
      <x:c r="P51" s="82" t="str"/>
      <x:c r="Q51" s="82" t="str"/>
      <x:c r="R51" s="82" t="str"/>
      <x:c r="S51" s="82" t="str"/>
      <x:c r="T51" s="82" t="str"/>
      <x:c r="U51" s="82" t="str"/>
      <x:c r="V51" s="82" t="str"/>
      <x:c r="W51" s="82" t="str"/>
      <x:c r="X51" s="82" t="str"/>
      <x:c r="Y51" s="82" t="str"/>
      <x:c r="Z51" s="82" t="str"/>
      <x:c r="AA51" s="82" t="str"/>
      <x:c r="AB51" s="82" t="str">
        <x:f>IF(G51&lt;&gt;"eligible","",MAX(0,(0.30*M51)+(0.15*N51)+(0.15*O51)+(0.15*P51)+(0.05*Q51)+(0.10*R51)+(0.10*S51)+(0.05*T51)+(0.05*U51)+AA51-SUM(V51:Z51)))</x:f>
      </x:c>
      <x:c r="AC51" s="81" t="str">
        <x:f>IF(G51&lt;&gt;"eligible","excluded",IF(AB51&gt;=0.75,"overall_high_signal",IF(O51&gt;=0.75,"transformation_object",IF(OR(P51&gt;=0.75,Q51&gt;=0.75),"handoff_timer",IF(R51&gt;=0.75,"sync_governance",IF(T51&gt;=0.75,"pf_olc_risk","score_pool"))))))</x:f>
        <x:v>excluded</x:v>
      </x:c>
      <x:c r="AD51" s="81" t="str"/>
      <x:c r="AE51" s="81" t="str"/>
      <x:c r="AF51" s="81" t="str"/>
      <x:c r="AG51" s="81" t="str"/>
      <x:c r="AH51" s="81" t="str"/>
      <x:c r="AI51" s="81" t="str"/>
      <x:c r="AJ51" s="81" t="str"/>
      <x:c r="AK51" s="81" t="str">
        <x:f>IF(OR(G51="",G51="eligible"),"No","Sí")</x:f>
        <x:v>No</x:v>
      </x:c>
      <x:c r="AL51" s="81" t="str"/>
    </x:row>
    <x:row r="52" ht="15" hidden="0" customHeight="1">
      <x:c r="A52" s="81" t="str"/>
      <x:c r="B52" s="81" t="str"/>
      <x:c r="C52" s="81" t="str"/>
      <x:c r="D52" s="81" t="str"/>
      <x:c r="E52" s="81" t="str"/>
      <x:c r="F52" s="81" t="str"/>
      <x:c r="G52" s="81" t="str"/>
      <x:c r="H52" s="81" t="str"/>
      <x:c r="I52" s="82" t="str"/>
      <x:c r="J52" s="82" t="str"/>
      <x:c r="K52" s="82" t="str"/>
      <x:c r="L52" s="82" t="str"/>
      <x:c r="M52" s="82" t="e">
        <x:f>IF(COUNTA(I52:L52)=0,"",AVERAGE(I52:L52))</x:f>
      </x:c>
      <x:c r="N52" s="82" t="str"/>
      <x:c r="O52" s="82" t="str"/>
      <x:c r="P52" s="82" t="str"/>
      <x:c r="Q52" s="82" t="str"/>
      <x:c r="R52" s="82" t="str"/>
      <x:c r="S52" s="82" t="str"/>
      <x:c r="T52" s="82" t="str"/>
      <x:c r="U52" s="82" t="str"/>
      <x:c r="V52" s="82" t="str"/>
      <x:c r="W52" s="82" t="str"/>
      <x:c r="X52" s="82" t="str"/>
      <x:c r="Y52" s="82" t="str"/>
      <x:c r="Z52" s="82" t="str"/>
      <x:c r="AA52" s="82" t="str"/>
      <x:c r="AB52" s="82" t="str">
        <x:f>IF(G52&lt;&gt;"eligible","",MAX(0,(0.30*M52)+(0.15*N52)+(0.15*O52)+(0.15*P52)+(0.05*Q52)+(0.10*R52)+(0.10*S52)+(0.05*T52)+(0.05*U52)+AA52-SUM(V52:Z52)))</x:f>
      </x:c>
      <x:c r="AC52" s="81" t="str">
        <x:f>IF(G52&lt;&gt;"eligible","excluded",IF(AB52&gt;=0.75,"overall_high_signal",IF(O52&gt;=0.75,"transformation_object",IF(OR(P52&gt;=0.75,Q52&gt;=0.75),"handoff_timer",IF(R52&gt;=0.75,"sync_governance",IF(T52&gt;=0.75,"pf_olc_risk","score_pool"))))))</x:f>
        <x:v>excluded</x:v>
      </x:c>
      <x:c r="AD52" s="81" t="str"/>
      <x:c r="AE52" s="81" t="str"/>
      <x:c r="AF52" s="81" t="str"/>
      <x:c r="AG52" s="81" t="str"/>
      <x:c r="AH52" s="81" t="str"/>
      <x:c r="AI52" s="81" t="str"/>
      <x:c r="AJ52" s="81" t="str"/>
      <x:c r="AK52" s="81" t="str">
        <x:f>IF(OR(G52="",G52="eligible"),"No","Sí")</x:f>
        <x:v>No</x:v>
      </x:c>
      <x:c r="AL52" s="81" t="str"/>
    </x:row>
    <x:row r="53" ht="15" hidden="0" customHeight="1">
      <x:c r="A53" s="81" t="str"/>
      <x:c r="B53" s="81" t="str"/>
      <x:c r="C53" s="81" t="str"/>
      <x:c r="D53" s="81" t="str"/>
      <x:c r="E53" s="81" t="str"/>
      <x:c r="F53" s="81" t="str"/>
      <x:c r="G53" s="81" t="str"/>
      <x:c r="H53" s="81" t="str"/>
      <x:c r="I53" s="82" t="str"/>
      <x:c r="J53" s="82" t="str"/>
      <x:c r="K53" s="82" t="str"/>
      <x:c r="L53" s="82" t="str"/>
      <x:c r="M53" s="82" t="e">
        <x:f>IF(COUNTA(I53:L53)=0,"",AVERAGE(I53:L53))</x:f>
      </x:c>
      <x:c r="N53" s="82" t="str"/>
      <x:c r="O53" s="82" t="str"/>
      <x:c r="P53" s="82" t="str"/>
      <x:c r="Q53" s="82" t="str"/>
      <x:c r="R53" s="82" t="str"/>
      <x:c r="S53" s="82" t="str"/>
      <x:c r="T53" s="82" t="str"/>
      <x:c r="U53" s="82" t="str"/>
      <x:c r="V53" s="82" t="str"/>
      <x:c r="W53" s="82" t="str"/>
      <x:c r="X53" s="82" t="str"/>
      <x:c r="Y53" s="82" t="str"/>
      <x:c r="Z53" s="82" t="str"/>
      <x:c r="AA53" s="82" t="str"/>
      <x:c r="AB53" s="82" t="str">
        <x:f>IF(G53&lt;&gt;"eligible","",MAX(0,(0.30*M53)+(0.15*N53)+(0.15*O53)+(0.15*P53)+(0.05*Q53)+(0.10*R53)+(0.10*S53)+(0.05*T53)+(0.05*U53)+AA53-SUM(V53:Z53)))</x:f>
      </x:c>
      <x:c r="AC53" s="81" t="str">
        <x:f>IF(G53&lt;&gt;"eligible","excluded",IF(AB53&gt;=0.75,"overall_high_signal",IF(O53&gt;=0.75,"transformation_object",IF(OR(P53&gt;=0.75,Q53&gt;=0.75),"handoff_timer",IF(R53&gt;=0.75,"sync_governance",IF(T53&gt;=0.75,"pf_olc_risk","score_pool"))))))</x:f>
        <x:v>excluded</x:v>
      </x:c>
      <x:c r="AD53" s="81" t="str"/>
      <x:c r="AE53" s="81" t="str"/>
      <x:c r="AF53" s="81" t="str"/>
      <x:c r="AG53" s="81" t="str"/>
      <x:c r="AH53" s="81" t="str"/>
      <x:c r="AI53" s="81" t="str"/>
      <x:c r="AJ53" s="81" t="str"/>
      <x:c r="AK53" s="81" t="str">
        <x:f>IF(OR(G53="",G53="eligible"),"No","Sí")</x:f>
        <x:v>No</x:v>
      </x:c>
      <x:c r="AL53" s="81" t="str"/>
    </x:row>
    <x:row r="54" ht="15" hidden="0" customHeight="1">
      <x:c r="A54" s="81" t="str"/>
      <x:c r="B54" s="81" t="str"/>
      <x:c r="C54" s="81" t="str"/>
      <x:c r="D54" s="81" t="str"/>
      <x:c r="E54" s="81" t="str"/>
      <x:c r="F54" s="81" t="str"/>
      <x:c r="G54" s="81" t="str"/>
      <x:c r="H54" s="81" t="str"/>
      <x:c r="I54" s="82" t="str"/>
      <x:c r="J54" s="82" t="str"/>
      <x:c r="K54" s="82" t="str"/>
      <x:c r="L54" s="82" t="str"/>
      <x:c r="M54" s="82" t="e">
        <x:f>IF(COUNTA(I54:L54)=0,"",AVERAGE(I54:L54))</x:f>
      </x:c>
      <x:c r="N54" s="82" t="str"/>
      <x:c r="O54" s="82" t="str"/>
      <x:c r="P54" s="82" t="str"/>
      <x:c r="Q54" s="82" t="str"/>
      <x:c r="R54" s="82" t="str"/>
      <x:c r="S54" s="82" t="str"/>
      <x:c r="T54" s="82" t="str"/>
      <x:c r="U54" s="82" t="str"/>
      <x:c r="V54" s="82" t="str"/>
      <x:c r="W54" s="82" t="str"/>
      <x:c r="X54" s="82" t="str"/>
      <x:c r="Y54" s="82" t="str"/>
      <x:c r="Z54" s="82" t="str"/>
      <x:c r="AA54" s="82" t="str"/>
      <x:c r="AB54" s="82" t="str">
        <x:f>IF(G54&lt;&gt;"eligible","",MAX(0,(0.30*M54)+(0.15*N54)+(0.15*O54)+(0.15*P54)+(0.05*Q54)+(0.10*R54)+(0.10*S54)+(0.05*T54)+(0.05*U54)+AA54-SUM(V54:Z54)))</x:f>
      </x:c>
      <x:c r="AC54" s="81" t="str">
        <x:f>IF(G54&lt;&gt;"eligible","excluded",IF(AB54&gt;=0.75,"overall_high_signal",IF(O54&gt;=0.75,"transformation_object",IF(OR(P54&gt;=0.75,Q54&gt;=0.75),"handoff_timer",IF(R54&gt;=0.75,"sync_governance",IF(T54&gt;=0.75,"pf_olc_risk","score_pool"))))))</x:f>
        <x:v>excluded</x:v>
      </x:c>
      <x:c r="AD54" s="81" t="str"/>
      <x:c r="AE54" s="81" t="str"/>
      <x:c r="AF54" s="81" t="str"/>
      <x:c r="AG54" s="81" t="str"/>
      <x:c r="AH54" s="81" t="str"/>
      <x:c r="AI54" s="81" t="str"/>
      <x:c r="AJ54" s="81" t="str"/>
      <x:c r="AK54" s="81" t="str">
        <x:f>IF(OR(G54="",G54="eligible"),"No","Sí")</x:f>
        <x:v>No</x:v>
      </x:c>
      <x:c r="AL54" s="81" t="str"/>
    </x:row>
    <x:row r="55" ht="15" hidden="0" customHeight="1">
      <x:c r="A55" s="81" t="str"/>
      <x:c r="B55" s="81" t="str"/>
      <x:c r="C55" s="81" t="str"/>
      <x:c r="D55" s="81" t="str"/>
      <x:c r="E55" s="81" t="str"/>
      <x:c r="F55" s="81" t="str"/>
      <x:c r="G55" s="81" t="str"/>
      <x:c r="H55" s="81" t="str"/>
      <x:c r="I55" s="82" t="str"/>
      <x:c r="J55" s="82" t="str"/>
      <x:c r="K55" s="82" t="str"/>
      <x:c r="L55" s="82" t="str"/>
      <x:c r="M55" s="82" t="e">
        <x:f>IF(COUNTA(I55:L55)=0,"",AVERAGE(I55:L55))</x:f>
      </x:c>
      <x:c r="N55" s="82" t="str"/>
      <x:c r="O55" s="82" t="str"/>
      <x:c r="P55" s="82" t="str"/>
      <x:c r="Q55" s="82" t="str"/>
      <x:c r="R55" s="82" t="str"/>
      <x:c r="S55" s="82" t="str"/>
      <x:c r="T55" s="82" t="str"/>
      <x:c r="U55" s="82" t="str"/>
      <x:c r="V55" s="82" t="str"/>
      <x:c r="W55" s="82" t="str"/>
      <x:c r="X55" s="82" t="str"/>
      <x:c r="Y55" s="82" t="str"/>
      <x:c r="Z55" s="82" t="str"/>
      <x:c r="AA55" s="82" t="str"/>
      <x:c r="AB55" s="82" t="str">
        <x:f>IF(G55&lt;&gt;"eligible","",MAX(0,(0.30*M55)+(0.15*N55)+(0.15*O55)+(0.15*P55)+(0.05*Q55)+(0.10*R55)+(0.10*S55)+(0.05*T55)+(0.05*U55)+AA55-SUM(V55:Z55)))</x:f>
      </x:c>
      <x:c r="AC55" s="81" t="str">
        <x:f>IF(G55&lt;&gt;"eligible","excluded",IF(AB55&gt;=0.75,"overall_high_signal",IF(O55&gt;=0.75,"transformation_object",IF(OR(P55&gt;=0.75,Q55&gt;=0.75),"handoff_timer",IF(R55&gt;=0.75,"sync_governance",IF(T55&gt;=0.75,"pf_olc_risk","score_pool"))))))</x:f>
        <x:v>excluded</x:v>
      </x:c>
      <x:c r="AD55" s="81" t="str"/>
      <x:c r="AE55" s="81" t="str"/>
      <x:c r="AF55" s="81" t="str"/>
      <x:c r="AG55" s="81" t="str"/>
      <x:c r="AH55" s="81" t="str"/>
      <x:c r="AI55" s="81" t="str"/>
      <x:c r="AJ55" s="81" t="str"/>
      <x:c r="AK55" s="81" t="str">
        <x:f>IF(OR(G55="",G55="eligible"),"No","Sí")</x:f>
        <x:v>No</x:v>
      </x:c>
      <x:c r="AL55" s="81" t="str"/>
    </x:row>
    <x:row r="56" ht="15" hidden="0" customHeight="1">
      <x:c r="A56" s="81" t="str"/>
      <x:c r="B56" s="81" t="str"/>
      <x:c r="C56" s="81" t="str"/>
      <x:c r="D56" s="81" t="str"/>
      <x:c r="E56" s="81" t="str"/>
      <x:c r="F56" s="81" t="str"/>
      <x:c r="G56" s="81" t="str"/>
      <x:c r="H56" s="81" t="str"/>
      <x:c r="I56" s="82" t="str"/>
      <x:c r="J56" s="82" t="str"/>
      <x:c r="K56" s="82" t="str"/>
      <x:c r="L56" s="82" t="str"/>
      <x:c r="M56" s="82" t="e">
        <x:f>IF(COUNTA(I56:L56)=0,"",AVERAGE(I56:L56))</x:f>
      </x:c>
      <x:c r="N56" s="82" t="str"/>
      <x:c r="O56" s="82" t="str"/>
      <x:c r="P56" s="82" t="str"/>
      <x:c r="Q56" s="82" t="str"/>
      <x:c r="R56" s="82" t="str"/>
      <x:c r="S56" s="82" t="str"/>
      <x:c r="T56" s="82" t="str"/>
      <x:c r="U56" s="82" t="str"/>
      <x:c r="V56" s="82" t="str"/>
      <x:c r="W56" s="82" t="str"/>
      <x:c r="X56" s="82" t="str"/>
      <x:c r="Y56" s="82" t="str"/>
      <x:c r="Z56" s="82" t="str"/>
      <x:c r="AA56" s="82" t="str"/>
      <x:c r="AB56" s="82" t="str">
        <x:f>IF(G56&lt;&gt;"eligible","",MAX(0,(0.30*M56)+(0.15*N56)+(0.15*O56)+(0.15*P56)+(0.05*Q56)+(0.10*R56)+(0.10*S56)+(0.05*T56)+(0.05*U56)+AA56-SUM(V56:Z56)))</x:f>
      </x:c>
      <x:c r="AC56" s="81" t="str">
        <x:f>IF(G56&lt;&gt;"eligible","excluded",IF(AB56&gt;=0.75,"overall_high_signal",IF(O56&gt;=0.75,"transformation_object",IF(OR(P56&gt;=0.75,Q56&gt;=0.75),"handoff_timer",IF(R56&gt;=0.75,"sync_governance",IF(T56&gt;=0.75,"pf_olc_risk","score_pool"))))))</x:f>
        <x:v>excluded</x:v>
      </x:c>
      <x:c r="AD56" s="81" t="str"/>
      <x:c r="AE56" s="81" t="str"/>
      <x:c r="AF56" s="81" t="str"/>
      <x:c r="AG56" s="81" t="str"/>
      <x:c r="AH56" s="81" t="str"/>
      <x:c r="AI56" s="81" t="str"/>
      <x:c r="AJ56" s="81" t="str"/>
      <x:c r="AK56" s="81" t="str">
        <x:f>IF(OR(G56="",G56="eligible"),"No","Sí")</x:f>
        <x:v>No</x:v>
      </x:c>
      <x:c r="AL56" s="81" t="str"/>
    </x:row>
    <x:row r="57" ht="15" hidden="0" customHeight="1">
      <x:c r="A57" s="81" t="str"/>
      <x:c r="B57" s="81" t="str"/>
      <x:c r="C57" s="81" t="str"/>
      <x:c r="D57" s="81" t="str"/>
      <x:c r="E57" s="81" t="str"/>
      <x:c r="F57" s="81" t="str"/>
      <x:c r="G57" s="81" t="str"/>
      <x:c r="H57" s="81" t="str"/>
      <x:c r="I57" s="82" t="str"/>
      <x:c r="J57" s="82" t="str"/>
      <x:c r="K57" s="82" t="str"/>
      <x:c r="L57" s="82" t="str"/>
      <x:c r="M57" s="82" t="e">
        <x:f>IF(COUNTA(I57:L57)=0,"",AVERAGE(I57:L57))</x:f>
      </x:c>
      <x:c r="N57" s="82" t="str"/>
      <x:c r="O57" s="82" t="str"/>
      <x:c r="P57" s="82" t="str"/>
      <x:c r="Q57" s="82" t="str"/>
      <x:c r="R57" s="82" t="str"/>
      <x:c r="S57" s="82" t="str"/>
      <x:c r="T57" s="82" t="str"/>
      <x:c r="U57" s="82" t="str"/>
      <x:c r="V57" s="82" t="str"/>
      <x:c r="W57" s="82" t="str"/>
      <x:c r="X57" s="82" t="str"/>
      <x:c r="Y57" s="82" t="str"/>
      <x:c r="Z57" s="82" t="str"/>
      <x:c r="AA57" s="82" t="str"/>
      <x:c r="AB57" s="82" t="str">
        <x:f>IF(G57&lt;&gt;"eligible","",MAX(0,(0.30*M57)+(0.15*N57)+(0.15*O57)+(0.15*P57)+(0.05*Q57)+(0.10*R57)+(0.10*S57)+(0.05*T57)+(0.05*U57)+AA57-SUM(V57:Z57)))</x:f>
      </x:c>
      <x:c r="AC57" s="81" t="str">
        <x:f>IF(G57&lt;&gt;"eligible","excluded",IF(AB57&gt;=0.75,"overall_high_signal",IF(O57&gt;=0.75,"transformation_object",IF(OR(P57&gt;=0.75,Q57&gt;=0.75),"handoff_timer",IF(R57&gt;=0.75,"sync_governance",IF(T57&gt;=0.75,"pf_olc_risk","score_pool"))))))</x:f>
        <x:v>excluded</x:v>
      </x:c>
      <x:c r="AD57" s="81" t="str"/>
      <x:c r="AE57" s="81" t="str"/>
      <x:c r="AF57" s="81" t="str"/>
      <x:c r="AG57" s="81" t="str"/>
      <x:c r="AH57" s="81" t="str"/>
      <x:c r="AI57" s="81" t="str"/>
      <x:c r="AJ57" s="81" t="str"/>
      <x:c r="AK57" s="81" t="str">
        <x:f>IF(OR(G57="",G57="eligible"),"No","Sí")</x:f>
        <x:v>No</x:v>
      </x:c>
      <x:c r="AL57" s="81" t="str"/>
    </x:row>
    <x:row r="58" ht="15" hidden="0" customHeight="1">
      <x:c r="A58" s="81" t="str"/>
      <x:c r="B58" s="81" t="str"/>
      <x:c r="C58" s="81" t="str"/>
      <x:c r="D58" s="81" t="str"/>
      <x:c r="E58" s="81" t="str"/>
      <x:c r="F58" s="81" t="str"/>
      <x:c r="G58" s="81" t="str"/>
      <x:c r="H58" s="81" t="str"/>
      <x:c r="I58" s="82" t="str"/>
      <x:c r="J58" s="82" t="str"/>
      <x:c r="K58" s="82" t="str"/>
      <x:c r="L58" s="82" t="str"/>
      <x:c r="M58" s="82" t="e">
        <x:f>IF(COUNTA(I58:L58)=0,"",AVERAGE(I58:L58))</x:f>
      </x:c>
      <x:c r="N58" s="82" t="str"/>
      <x:c r="O58" s="82" t="str"/>
      <x:c r="P58" s="82" t="str"/>
      <x:c r="Q58" s="82" t="str"/>
      <x:c r="R58" s="82" t="str"/>
      <x:c r="S58" s="82" t="str"/>
      <x:c r="T58" s="82" t="str"/>
      <x:c r="U58" s="82" t="str"/>
      <x:c r="V58" s="82" t="str"/>
      <x:c r="W58" s="82" t="str"/>
      <x:c r="X58" s="82" t="str"/>
      <x:c r="Y58" s="82" t="str"/>
      <x:c r="Z58" s="82" t="str"/>
      <x:c r="AA58" s="82" t="str"/>
      <x:c r="AB58" s="82" t="str">
        <x:f>IF(G58&lt;&gt;"eligible","",MAX(0,(0.30*M58)+(0.15*N58)+(0.15*O58)+(0.15*P58)+(0.05*Q58)+(0.10*R58)+(0.10*S58)+(0.05*T58)+(0.05*U58)+AA58-SUM(V58:Z58)))</x:f>
      </x:c>
      <x:c r="AC58" s="81" t="str">
        <x:f>IF(G58&lt;&gt;"eligible","excluded",IF(AB58&gt;=0.75,"overall_high_signal",IF(O58&gt;=0.75,"transformation_object",IF(OR(P58&gt;=0.75,Q58&gt;=0.75),"handoff_timer",IF(R58&gt;=0.75,"sync_governance",IF(T58&gt;=0.75,"pf_olc_risk","score_pool"))))))</x:f>
        <x:v>excluded</x:v>
      </x:c>
      <x:c r="AD58" s="81" t="str"/>
      <x:c r="AE58" s="81" t="str"/>
      <x:c r="AF58" s="81" t="str"/>
      <x:c r="AG58" s="81" t="str"/>
      <x:c r="AH58" s="81" t="str"/>
      <x:c r="AI58" s="81" t="str"/>
      <x:c r="AJ58" s="81" t="str"/>
      <x:c r="AK58" s="81" t="str">
        <x:f>IF(OR(G58="",G58="eligible"),"No","Sí")</x:f>
        <x:v>No</x:v>
      </x:c>
      <x:c r="AL58" s="81" t="str"/>
    </x:row>
    <x:row r="59" ht="15" hidden="0" customHeight="1">
      <x:c r="A59" s="81" t="str"/>
      <x:c r="B59" s="81" t="str"/>
      <x:c r="C59" s="81" t="str"/>
      <x:c r="D59" s="81" t="str"/>
      <x:c r="E59" s="81" t="str"/>
      <x:c r="F59" s="81" t="str"/>
      <x:c r="G59" s="81" t="str"/>
      <x:c r="H59" s="81" t="str"/>
      <x:c r="I59" s="82" t="str"/>
      <x:c r="J59" s="82" t="str"/>
      <x:c r="K59" s="82" t="str"/>
      <x:c r="L59" s="82" t="str"/>
      <x:c r="M59" s="82" t="e">
        <x:f>IF(COUNTA(I59:L59)=0,"",AVERAGE(I59:L59))</x:f>
      </x:c>
      <x:c r="N59" s="82" t="str"/>
      <x:c r="O59" s="82" t="str"/>
      <x:c r="P59" s="82" t="str"/>
      <x:c r="Q59" s="82" t="str"/>
      <x:c r="R59" s="82" t="str"/>
      <x:c r="S59" s="82" t="str"/>
      <x:c r="T59" s="82" t="str"/>
      <x:c r="U59" s="82" t="str"/>
      <x:c r="V59" s="82" t="str"/>
      <x:c r="W59" s="82" t="str"/>
      <x:c r="X59" s="82" t="str"/>
      <x:c r="Y59" s="82" t="str"/>
      <x:c r="Z59" s="82" t="str"/>
      <x:c r="AA59" s="82" t="str"/>
      <x:c r="AB59" s="82" t="str">
        <x:f>IF(G59&lt;&gt;"eligible","",MAX(0,(0.30*M59)+(0.15*N59)+(0.15*O59)+(0.15*P59)+(0.05*Q59)+(0.10*R59)+(0.10*S59)+(0.05*T59)+(0.05*U59)+AA59-SUM(V59:Z59)))</x:f>
      </x:c>
      <x:c r="AC59" s="81" t="str">
        <x:f>IF(G59&lt;&gt;"eligible","excluded",IF(AB59&gt;=0.75,"overall_high_signal",IF(O59&gt;=0.75,"transformation_object",IF(OR(P59&gt;=0.75,Q59&gt;=0.75),"handoff_timer",IF(R59&gt;=0.75,"sync_governance",IF(T59&gt;=0.75,"pf_olc_risk","score_pool"))))))</x:f>
        <x:v>excluded</x:v>
      </x:c>
      <x:c r="AD59" s="81" t="str"/>
      <x:c r="AE59" s="81" t="str"/>
      <x:c r="AF59" s="81" t="str"/>
      <x:c r="AG59" s="81" t="str"/>
      <x:c r="AH59" s="81" t="str"/>
      <x:c r="AI59" s="81" t="str"/>
      <x:c r="AJ59" s="81" t="str"/>
      <x:c r="AK59" s="81" t="str">
        <x:f>IF(OR(G59="",G59="eligible"),"No","Sí")</x:f>
        <x:v>No</x:v>
      </x:c>
      <x:c r="AL59" s="81" t="str"/>
    </x:row>
    <x:row r="60" ht="15" hidden="0" customHeight="1">
      <x:c r="A60" s="81" t="str"/>
      <x:c r="B60" s="81" t="str"/>
      <x:c r="C60" s="81" t="str"/>
      <x:c r="D60" s="81" t="str"/>
      <x:c r="E60" s="81" t="str"/>
      <x:c r="F60" s="81" t="str"/>
      <x:c r="G60" s="81" t="str"/>
      <x:c r="H60" s="81" t="str"/>
      <x:c r="I60" s="82" t="str"/>
      <x:c r="J60" s="82" t="str"/>
      <x:c r="K60" s="82" t="str"/>
      <x:c r="L60" s="82" t="str"/>
      <x:c r="M60" s="82" t="e">
        <x:f>IF(COUNTA(I60:L60)=0,"",AVERAGE(I60:L60))</x:f>
      </x:c>
      <x:c r="N60" s="82" t="str"/>
      <x:c r="O60" s="82" t="str"/>
      <x:c r="P60" s="82" t="str"/>
      <x:c r="Q60" s="82" t="str"/>
      <x:c r="R60" s="82" t="str"/>
      <x:c r="S60" s="82" t="str"/>
      <x:c r="T60" s="82" t="str"/>
      <x:c r="U60" s="82" t="str"/>
      <x:c r="V60" s="82" t="str"/>
      <x:c r="W60" s="82" t="str"/>
      <x:c r="X60" s="82" t="str"/>
      <x:c r="Y60" s="82" t="str"/>
      <x:c r="Z60" s="82" t="str"/>
      <x:c r="AA60" s="82" t="str"/>
      <x:c r="AB60" s="82" t="str">
        <x:f>IF(G60&lt;&gt;"eligible","",MAX(0,(0.30*M60)+(0.15*N60)+(0.15*O60)+(0.15*P60)+(0.05*Q60)+(0.10*R60)+(0.10*S60)+(0.05*T60)+(0.05*U60)+AA60-SUM(V60:Z60)))</x:f>
      </x:c>
      <x:c r="AC60" s="81" t="str">
        <x:f>IF(G60&lt;&gt;"eligible","excluded",IF(AB60&gt;=0.75,"overall_high_signal",IF(O60&gt;=0.75,"transformation_object",IF(OR(P60&gt;=0.75,Q60&gt;=0.75),"handoff_timer",IF(R60&gt;=0.75,"sync_governance",IF(T60&gt;=0.75,"pf_olc_risk","score_pool"))))))</x:f>
        <x:v>excluded</x:v>
      </x:c>
      <x:c r="AD60" s="81" t="str"/>
      <x:c r="AE60" s="81" t="str"/>
      <x:c r="AF60" s="81" t="str"/>
      <x:c r="AG60" s="81" t="str"/>
      <x:c r="AH60" s="81" t="str"/>
      <x:c r="AI60" s="81" t="str"/>
      <x:c r="AJ60" s="81" t="str"/>
      <x:c r="AK60" s="81" t="str">
        <x:f>IF(OR(G60="",G60="eligible"),"No","Sí")</x:f>
        <x:v>No</x:v>
      </x:c>
      <x:c r="AL60" s="81" t="str"/>
    </x:row>
    <x:row r="61" ht="15" hidden="0" customHeight="1">
      <x:c r="A61" s="81" t="str"/>
      <x:c r="B61" s="81" t="str"/>
      <x:c r="C61" s="81" t="str"/>
      <x:c r="D61" s="81" t="str"/>
      <x:c r="E61" s="81" t="str"/>
      <x:c r="F61" s="81" t="str"/>
      <x:c r="G61" s="81" t="str"/>
      <x:c r="H61" s="81" t="str"/>
      <x:c r="I61" s="82" t="str"/>
      <x:c r="J61" s="82" t="str"/>
      <x:c r="K61" s="82" t="str"/>
      <x:c r="L61" s="82" t="str"/>
      <x:c r="M61" s="82" t="e">
        <x:f>IF(COUNTA(I61:L61)=0,"",AVERAGE(I61:L61))</x:f>
      </x:c>
      <x:c r="N61" s="82" t="str"/>
      <x:c r="O61" s="82" t="str"/>
      <x:c r="P61" s="82" t="str"/>
      <x:c r="Q61" s="82" t="str"/>
      <x:c r="R61" s="82" t="str"/>
      <x:c r="S61" s="82" t="str"/>
      <x:c r="T61" s="82" t="str"/>
      <x:c r="U61" s="82" t="str"/>
      <x:c r="V61" s="82" t="str"/>
      <x:c r="W61" s="82" t="str"/>
      <x:c r="X61" s="82" t="str"/>
      <x:c r="Y61" s="82" t="str"/>
      <x:c r="Z61" s="82" t="str"/>
      <x:c r="AA61" s="82" t="str"/>
      <x:c r="AB61" s="82" t="str">
        <x:f>IF(G61&lt;&gt;"eligible","",MAX(0,(0.30*M61)+(0.15*N61)+(0.15*O61)+(0.15*P61)+(0.05*Q61)+(0.10*R61)+(0.10*S61)+(0.05*T61)+(0.05*U61)+AA61-SUM(V61:Z61)))</x:f>
      </x:c>
      <x:c r="AC61" s="81" t="str">
        <x:f>IF(G61&lt;&gt;"eligible","excluded",IF(AB61&gt;=0.75,"overall_high_signal",IF(O61&gt;=0.75,"transformation_object",IF(OR(P61&gt;=0.75,Q61&gt;=0.75),"handoff_timer",IF(R61&gt;=0.75,"sync_governance",IF(T61&gt;=0.75,"pf_olc_risk","score_pool"))))))</x:f>
        <x:v>excluded</x:v>
      </x:c>
      <x:c r="AD61" s="81" t="str"/>
      <x:c r="AE61" s="81" t="str"/>
      <x:c r="AF61" s="81" t="str"/>
      <x:c r="AG61" s="81" t="str"/>
      <x:c r="AH61" s="81" t="str"/>
      <x:c r="AI61" s="81" t="str"/>
      <x:c r="AJ61" s="81" t="str"/>
      <x:c r="AK61" s="81" t="str">
        <x:f>IF(OR(G61="",G61="eligible"),"No","Sí")</x:f>
        <x:v>No</x:v>
      </x:c>
      <x:c r="AL61" s="81" t="str"/>
    </x:row>
    <x:row r="62" ht="15" hidden="0" customHeight="1">
      <x:c r="A62" s="81" t="str"/>
      <x:c r="B62" s="81" t="str"/>
      <x:c r="C62" s="81" t="str"/>
      <x:c r="D62" s="81" t="str"/>
      <x:c r="E62" s="81" t="str"/>
      <x:c r="F62" s="81" t="str"/>
      <x:c r="G62" s="81" t="str"/>
      <x:c r="H62" s="81" t="str"/>
      <x:c r="I62" s="82" t="str"/>
      <x:c r="J62" s="82" t="str"/>
      <x:c r="K62" s="82" t="str"/>
      <x:c r="L62" s="82" t="str"/>
      <x:c r="M62" s="82" t="e">
        <x:f>IF(COUNTA(I62:L62)=0,"",AVERAGE(I62:L62))</x:f>
      </x:c>
      <x:c r="N62" s="82" t="str"/>
      <x:c r="O62" s="82" t="str"/>
      <x:c r="P62" s="82" t="str"/>
      <x:c r="Q62" s="82" t="str"/>
      <x:c r="R62" s="82" t="str"/>
      <x:c r="S62" s="82" t="str"/>
      <x:c r="T62" s="82" t="str"/>
      <x:c r="U62" s="82" t="str"/>
      <x:c r="V62" s="82" t="str"/>
      <x:c r="W62" s="82" t="str"/>
      <x:c r="X62" s="82" t="str"/>
      <x:c r="Y62" s="82" t="str"/>
      <x:c r="Z62" s="82" t="str"/>
      <x:c r="AA62" s="82" t="str"/>
      <x:c r="AB62" s="82" t="str">
        <x:f>IF(G62&lt;&gt;"eligible","",MAX(0,(0.30*M62)+(0.15*N62)+(0.15*O62)+(0.15*P62)+(0.05*Q62)+(0.10*R62)+(0.10*S62)+(0.05*T62)+(0.05*U62)+AA62-SUM(V62:Z62)))</x:f>
      </x:c>
      <x:c r="AC62" s="81" t="str">
        <x:f>IF(G62&lt;&gt;"eligible","excluded",IF(AB62&gt;=0.75,"overall_high_signal",IF(O62&gt;=0.75,"transformation_object",IF(OR(P62&gt;=0.75,Q62&gt;=0.75),"handoff_timer",IF(R62&gt;=0.75,"sync_governance",IF(T62&gt;=0.75,"pf_olc_risk","score_pool"))))))</x:f>
        <x:v>excluded</x:v>
      </x:c>
      <x:c r="AD62" s="81" t="str"/>
      <x:c r="AE62" s="81" t="str"/>
      <x:c r="AF62" s="81" t="str"/>
      <x:c r="AG62" s="81" t="str"/>
      <x:c r="AH62" s="81" t="str"/>
      <x:c r="AI62" s="81" t="str"/>
      <x:c r="AJ62" s="81" t="str"/>
      <x:c r="AK62" s="81" t="str">
        <x:f>IF(OR(G62="",G62="eligible"),"No","Sí")</x:f>
        <x:v>No</x:v>
      </x:c>
      <x:c r="AL62" s="81" t="str"/>
    </x:row>
    <x:row r="63" ht="15" hidden="0" customHeight="1">
      <x:c r="A63" s="81" t="str"/>
      <x:c r="B63" s="81" t="str"/>
      <x:c r="C63" s="81" t="str"/>
      <x:c r="D63" s="81" t="str"/>
      <x:c r="E63" s="81" t="str"/>
      <x:c r="F63" s="81" t="str"/>
      <x:c r="G63" s="81" t="str"/>
      <x:c r="H63" s="81" t="str"/>
      <x:c r="I63" s="82" t="str"/>
      <x:c r="J63" s="82" t="str"/>
      <x:c r="K63" s="82" t="str"/>
      <x:c r="L63" s="82" t="str"/>
      <x:c r="M63" s="82" t="e">
        <x:f>IF(COUNTA(I63:L63)=0,"",AVERAGE(I63:L63))</x:f>
      </x:c>
      <x:c r="N63" s="82" t="str"/>
      <x:c r="O63" s="82" t="str"/>
      <x:c r="P63" s="82" t="str"/>
      <x:c r="Q63" s="82" t="str"/>
      <x:c r="R63" s="82" t="str"/>
      <x:c r="S63" s="82" t="str"/>
      <x:c r="T63" s="82" t="str"/>
      <x:c r="U63" s="82" t="str"/>
      <x:c r="V63" s="82" t="str"/>
      <x:c r="W63" s="82" t="str"/>
      <x:c r="X63" s="82" t="str"/>
      <x:c r="Y63" s="82" t="str"/>
      <x:c r="Z63" s="82" t="str"/>
      <x:c r="AA63" s="82" t="str"/>
      <x:c r="AB63" s="82" t="str">
        <x:f>IF(G63&lt;&gt;"eligible","",MAX(0,(0.30*M63)+(0.15*N63)+(0.15*O63)+(0.15*P63)+(0.05*Q63)+(0.10*R63)+(0.10*S63)+(0.05*T63)+(0.05*U63)+AA63-SUM(V63:Z63)))</x:f>
      </x:c>
      <x:c r="AC63" s="81" t="str">
        <x:f>IF(G63&lt;&gt;"eligible","excluded",IF(AB63&gt;=0.75,"overall_high_signal",IF(O63&gt;=0.75,"transformation_object",IF(OR(P63&gt;=0.75,Q63&gt;=0.75),"handoff_timer",IF(R63&gt;=0.75,"sync_governance",IF(T63&gt;=0.75,"pf_olc_risk","score_pool"))))))</x:f>
        <x:v>excluded</x:v>
      </x:c>
      <x:c r="AD63" s="81" t="str"/>
      <x:c r="AE63" s="81" t="str"/>
      <x:c r="AF63" s="81" t="str"/>
      <x:c r="AG63" s="81" t="str"/>
      <x:c r="AH63" s="81" t="str"/>
      <x:c r="AI63" s="81" t="str"/>
      <x:c r="AJ63" s="81" t="str"/>
      <x:c r="AK63" s="81" t="str">
        <x:f>IF(OR(G63="",G63="eligible"),"No","Sí")</x:f>
        <x:v>No</x:v>
      </x:c>
      <x:c r="AL63" s="81" t="str"/>
    </x:row>
    <x:row r="64" ht="15" hidden="0" customHeight="1">
      <x:c r="A64" s="81" t="str"/>
      <x:c r="B64" s="81" t="str"/>
      <x:c r="C64" s="81" t="str"/>
      <x:c r="D64" s="81" t="str"/>
      <x:c r="E64" s="81" t="str"/>
      <x:c r="F64" s="81" t="str"/>
      <x:c r="G64" s="81" t="str"/>
      <x:c r="H64" s="81" t="str"/>
      <x:c r="I64" s="82" t="str"/>
      <x:c r="J64" s="82" t="str"/>
      <x:c r="K64" s="82" t="str"/>
      <x:c r="L64" s="82" t="str"/>
      <x:c r="M64" s="82" t="e">
        <x:f>IF(COUNTA(I64:L64)=0,"",AVERAGE(I64:L64))</x:f>
      </x:c>
      <x:c r="N64" s="82" t="str"/>
      <x:c r="O64" s="82" t="str"/>
      <x:c r="P64" s="82" t="str"/>
      <x:c r="Q64" s="82" t="str"/>
      <x:c r="R64" s="82" t="str"/>
      <x:c r="S64" s="82" t="str"/>
      <x:c r="T64" s="82" t="str"/>
      <x:c r="U64" s="82" t="str"/>
      <x:c r="V64" s="82" t="str"/>
      <x:c r="W64" s="82" t="str"/>
      <x:c r="X64" s="82" t="str"/>
      <x:c r="Y64" s="82" t="str"/>
      <x:c r="Z64" s="82" t="str"/>
      <x:c r="AA64" s="82" t="str"/>
      <x:c r="AB64" s="82" t="str">
        <x:f>IF(G64&lt;&gt;"eligible","",MAX(0,(0.30*M64)+(0.15*N64)+(0.15*O64)+(0.15*P64)+(0.05*Q64)+(0.10*R64)+(0.10*S64)+(0.05*T64)+(0.05*U64)+AA64-SUM(V64:Z64)))</x:f>
      </x:c>
      <x:c r="AC64" s="81" t="str">
        <x:f>IF(G64&lt;&gt;"eligible","excluded",IF(AB64&gt;=0.75,"overall_high_signal",IF(O64&gt;=0.75,"transformation_object",IF(OR(P64&gt;=0.75,Q64&gt;=0.75),"handoff_timer",IF(R64&gt;=0.75,"sync_governance",IF(T64&gt;=0.75,"pf_olc_risk","score_pool"))))))</x:f>
        <x:v>excluded</x:v>
      </x:c>
      <x:c r="AD64" s="81" t="str"/>
      <x:c r="AE64" s="81" t="str"/>
      <x:c r="AF64" s="81" t="str"/>
      <x:c r="AG64" s="81" t="str"/>
      <x:c r="AH64" s="81" t="str"/>
      <x:c r="AI64" s="81" t="str"/>
      <x:c r="AJ64" s="81" t="str"/>
      <x:c r="AK64" s="81" t="str">
        <x:f>IF(OR(G64="",G64="eligible"),"No","Sí")</x:f>
        <x:v>No</x:v>
      </x:c>
      <x:c r="AL64" s="81" t="str"/>
    </x:row>
    <x:row r="65" ht="15" hidden="0" customHeight="1">
      <x:c r="A65" s="81" t="str"/>
      <x:c r="B65" s="81" t="str"/>
      <x:c r="C65" s="81" t="str"/>
      <x:c r="D65" s="81" t="str"/>
      <x:c r="E65" s="81" t="str"/>
      <x:c r="F65" s="81" t="str"/>
      <x:c r="G65" s="81" t="str"/>
      <x:c r="H65" s="81" t="str"/>
      <x:c r="I65" s="82" t="str"/>
      <x:c r="J65" s="82" t="str"/>
      <x:c r="K65" s="82" t="str"/>
      <x:c r="L65" s="82" t="str"/>
      <x:c r="M65" s="82" t="e">
        <x:f>IF(COUNTA(I65:L65)=0,"",AVERAGE(I65:L65))</x:f>
      </x:c>
      <x:c r="N65" s="82" t="str"/>
      <x:c r="O65" s="82" t="str"/>
      <x:c r="P65" s="82" t="str"/>
      <x:c r="Q65" s="82" t="str"/>
      <x:c r="R65" s="82" t="str"/>
      <x:c r="S65" s="82" t="str"/>
      <x:c r="T65" s="82" t="str"/>
      <x:c r="U65" s="82" t="str"/>
      <x:c r="V65" s="82" t="str"/>
      <x:c r="W65" s="82" t="str"/>
      <x:c r="X65" s="82" t="str"/>
      <x:c r="Y65" s="82" t="str"/>
      <x:c r="Z65" s="82" t="str"/>
      <x:c r="AA65" s="82" t="str"/>
      <x:c r="AB65" s="82" t="str">
        <x:f>IF(G65&lt;&gt;"eligible","",MAX(0,(0.30*M65)+(0.15*N65)+(0.15*O65)+(0.15*P65)+(0.05*Q65)+(0.10*R65)+(0.10*S65)+(0.05*T65)+(0.05*U65)+AA65-SUM(V65:Z65)))</x:f>
      </x:c>
      <x:c r="AC65" s="81" t="str">
        <x:f>IF(G65&lt;&gt;"eligible","excluded",IF(AB65&gt;=0.75,"overall_high_signal",IF(O65&gt;=0.75,"transformation_object",IF(OR(P65&gt;=0.75,Q65&gt;=0.75),"handoff_timer",IF(R65&gt;=0.75,"sync_governance",IF(T65&gt;=0.75,"pf_olc_risk","score_pool"))))))</x:f>
        <x:v>excluded</x:v>
      </x:c>
      <x:c r="AD65" s="81" t="str"/>
      <x:c r="AE65" s="81" t="str"/>
      <x:c r="AF65" s="81" t="str"/>
      <x:c r="AG65" s="81" t="str"/>
      <x:c r="AH65" s="81" t="str"/>
      <x:c r="AI65" s="81" t="str"/>
      <x:c r="AJ65" s="81" t="str"/>
      <x:c r="AK65" s="81" t="str">
        <x:f>IF(OR(G65="",G65="eligible"),"No","Sí")</x:f>
        <x:v>No</x:v>
      </x:c>
      <x:c r="AL65" s="81" t="str"/>
    </x:row>
    <x:row r="66" ht="15" hidden="0" customHeight="1">
      <x:c r="A66" s="81" t="str"/>
      <x:c r="B66" s="81" t="str"/>
      <x:c r="C66" s="81" t="str"/>
      <x:c r="D66" s="81" t="str"/>
      <x:c r="E66" s="81" t="str"/>
      <x:c r="F66" s="81" t="str"/>
      <x:c r="G66" s="81" t="str"/>
      <x:c r="H66" s="81" t="str"/>
      <x:c r="I66" s="82" t="str"/>
      <x:c r="J66" s="82" t="str"/>
      <x:c r="K66" s="82" t="str"/>
      <x:c r="L66" s="82" t="str"/>
      <x:c r="M66" s="82" t="e">
        <x:f>IF(COUNTA(I66:L66)=0,"",AVERAGE(I66:L66))</x:f>
      </x:c>
      <x:c r="N66" s="82" t="str"/>
      <x:c r="O66" s="82" t="str"/>
      <x:c r="P66" s="82" t="str"/>
      <x:c r="Q66" s="82" t="str"/>
      <x:c r="R66" s="82" t="str"/>
      <x:c r="S66" s="82" t="str"/>
      <x:c r="T66" s="82" t="str"/>
      <x:c r="U66" s="82" t="str"/>
      <x:c r="V66" s="82" t="str"/>
      <x:c r="W66" s="82" t="str"/>
      <x:c r="X66" s="82" t="str"/>
      <x:c r="Y66" s="82" t="str"/>
      <x:c r="Z66" s="82" t="str"/>
      <x:c r="AA66" s="82" t="str"/>
      <x:c r="AB66" s="82" t="str">
        <x:f>IF(G66&lt;&gt;"eligible","",MAX(0,(0.30*M66)+(0.15*N66)+(0.15*O66)+(0.15*P66)+(0.05*Q66)+(0.10*R66)+(0.10*S66)+(0.05*T66)+(0.05*U66)+AA66-SUM(V66:Z66)))</x:f>
      </x:c>
      <x:c r="AC66" s="81" t="str">
        <x:f>IF(G66&lt;&gt;"eligible","excluded",IF(AB66&gt;=0.75,"overall_high_signal",IF(O66&gt;=0.75,"transformation_object",IF(OR(P66&gt;=0.75,Q66&gt;=0.75),"handoff_timer",IF(R66&gt;=0.75,"sync_governance",IF(T66&gt;=0.75,"pf_olc_risk","score_pool"))))))</x:f>
        <x:v>excluded</x:v>
      </x:c>
      <x:c r="AD66" s="81" t="str"/>
      <x:c r="AE66" s="81" t="str"/>
      <x:c r="AF66" s="81" t="str"/>
      <x:c r="AG66" s="81" t="str"/>
      <x:c r="AH66" s="81" t="str"/>
      <x:c r="AI66" s="81" t="str"/>
      <x:c r="AJ66" s="81" t="str"/>
      <x:c r="AK66" s="81" t="str">
        <x:f>IF(OR(G66="",G66="eligible"),"No","Sí")</x:f>
        <x:v>No</x:v>
      </x:c>
      <x:c r="AL66" s="81" t="str"/>
    </x:row>
    <x:row r="67" ht="15" hidden="0" customHeight="1">
      <x:c r="A67" s="81" t="str"/>
      <x:c r="B67" s="81" t="str"/>
      <x:c r="C67" s="81" t="str"/>
      <x:c r="D67" s="81" t="str"/>
      <x:c r="E67" s="81" t="str"/>
      <x:c r="F67" s="81" t="str"/>
      <x:c r="G67" s="81" t="str"/>
      <x:c r="H67" s="81" t="str"/>
      <x:c r="I67" s="82" t="str"/>
      <x:c r="J67" s="82" t="str"/>
      <x:c r="K67" s="82" t="str"/>
      <x:c r="L67" s="82" t="str"/>
      <x:c r="M67" s="82" t="e">
        <x:f>IF(COUNTA(I67:L67)=0,"",AVERAGE(I67:L67))</x:f>
      </x:c>
      <x:c r="N67" s="82" t="str"/>
      <x:c r="O67" s="82" t="str"/>
      <x:c r="P67" s="82" t="str"/>
      <x:c r="Q67" s="82" t="str"/>
      <x:c r="R67" s="82" t="str"/>
      <x:c r="S67" s="82" t="str"/>
      <x:c r="T67" s="82" t="str"/>
      <x:c r="U67" s="82" t="str"/>
      <x:c r="V67" s="82" t="str"/>
      <x:c r="W67" s="82" t="str"/>
      <x:c r="X67" s="82" t="str"/>
      <x:c r="Y67" s="82" t="str"/>
      <x:c r="Z67" s="82" t="str"/>
      <x:c r="AA67" s="82" t="str"/>
      <x:c r="AB67" s="82" t="str">
        <x:f>IF(G67&lt;&gt;"eligible","",MAX(0,(0.30*M67)+(0.15*N67)+(0.15*O67)+(0.15*P67)+(0.05*Q67)+(0.10*R67)+(0.10*S67)+(0.05*T67)+(0.05*U67)+AA67-SUM(V67:Z67)))</x:f>
      </x:c>
      <x:c r="AC67" s="81" t="str">
        <x:f>IF(G67&lt;&gt;"eligible","excluded",IF(AB67&gt;=0.75,"overall_high_signal",IF(O67&gt;=0.75,"transformation_object",IF(OR(P67&gt;=0.75,Q67&gt;=0.75),"handoff_timer",IF(R67&gt;=0.75,"sync_governance",IF(T67&gt;=0.75,"pf_olc_risk","score_pool"))))))</x:f>
        <x:v>excluded</x:v>
      </x:c>
      <x:c r="AD67" s="81" t="str"/>
      <x:c r="AE67" s="81" t="str"/>
      <x:c r="AF67" s="81" t="str"/>
      <x:c r="AG67" s="81" t="str"/>
      <x:c r="AH67" s="81" t="str"/>
      <x:c r="AI67" s="81" t="str"/>
      <x:c r="AJ67" s="81" t="str"/>
      <x:c r="AK67" s="81" t="str">
        <x:f>IF(OR(G67="",G67="eligible"),"No","Sí")</x:f>
        <x:v>No</x:v>
      </x:c>
      <x:c r="AL67" s="81" t="str"/>
    </x:row>
    <x:row r="68" ht="15" hidden="0" customHeight="1">
      <x:c r="A68" s="81" t="str"/>
      <x:c r="B68" s="81" t="str"/>
      <x:c r="C68" s="81" t="str"/>
      <x:c r="D68" s="81" t="str"/>
      <x:c r="E68" s="81" t="str"/>
      <x:c r="F68" s="81" t="str"/>
      <x:c r="G68" s="81" t="str"/>
      <x:c r="H68" s="81" t="str"/>
      <x:c r="I68" s="82" t="str"/>
      <x:c r="J68" s="82" t="str"/>
      <x:c r="K68" s="82" t="str"/>
      <x:c r="L68" s="82" t="str"/>
      <x:c r="M68" s="82" t="e">
        <x:f>IF(COUNTA(I68:L68)=0,"",AVERAGE(I68:L68))</x:f>
      </x:c>
      <x:c r="N68" s="82" t="str"/>
      <x:c r="O68" s="82" t="str"/>
      <x:c r="P68" s="82" t="str"/>
      <x:c r="Q68" s="82" t="str"/>
      <x:c r="R68" s="82" t="str"/>
      <x:c r="S68" s="82" t="str"/>
      <x:c r="T68" s="82" t="str"/>
      <x:c r="U68" s="82" t="str"/>
      <x:c r="V68" s="82" t="str"/>
      <x:c r="W68" s="82" t="str"/>
      <x:c r="X68" s="82" t="str"/>
      <x:c r="Y68" s="82" t="str"/>
      <x:c r="Z68" s="82" t="str"/>
      <x:c r="AA68" s="82" t="str"/>
      <x:c r="AB68" s="82" t="str">
        <x:f>IF(G68&lt;&gt;"eligible","",MAX(0,(0.30*M68)+(0.15*N68)+(0.15*O68)+(0.15*P68)+(0.05*Q68)+(0.10*R68)+(0.10*S68)+(0.05*T68)+(0.05*U68)+AA68-SUM(V68:Z68)))</x:f>
      </x:c>
      <x:c r="AC68" s="81" t="str">
        <x:f>IF(G68&lt;&gt;"eligible","excluded",IF(AB68&gt;=0.75,"overall_high_signal",IF(O68&gt;=0.75,"transformation_object",IF(OR(P68&gt;=0.75,Q68&gt;=0.75),"handoff_timer",IF(R68&gt;=0.75,"sync_governance",IF(T68&gt;=0.75,"pf_olc_risk","score_pool"))))))</x:f>
        <x:v>excluded</x:v>
      </x:c>
      <x:c r="AD68" s="81" t="str"/>
      <x:c r="AE68" s="81" t="str"/>
      <x:c r="AF68" s="81" t="str"/>
      <x:c r="AG68" s="81" t="str"/>
      <x:c r="AH68" s="81" t="str"/>
      <x:c r="AI68" s="81" t="str"/>
      <x:c r="AJ68" s="81" t="str"/>
      <x:c r="AK68" s="81" t="str">
        <x:f>IF(OR(G68="",G68="eligible"),"No","Sí")</x:f>
        <x:v>No</x:v>
      </x:c>
      <x:c r="AL68" s="81" t="str"/>
    </x:row>
    <x:row r="69" ht="15" hidden="0" customHeight="1">
      <x:c r="A69" s="81" t="str"/>
      <x:c r="B69" s="81" t="str"/>
      <x:c r="C69" s="81" t="str"/>
      <x:c r="D69" s="81" t="str"/>
      <x:c r="E69" s="81" t="str"/>
      <x:c r="F69" s="81" t="str"/>
      <x:c r="G69" s="81" t="str"/>
      <x:c r="H69" s="81" t="str"/>
      <x:c r="I69" s="82" t="str"/>
      <x:c r="J69" s="82" t="str"/>
      <x:c r="K69" s="82" t="str"/>
      <x:c r="L69" s="82" t="str"/>
      <x:c r="M69" s="82" t="e">
        <x:f>IF(COUNTA(I69:L69)=0,"",AVERAGE(I69:L69))</x:f>
      </x:c>
      <x:c r="N69" s="82" t="str"/>
      <x:c r="O69" s="82" t="str"/>
      <x:c r="P69" s="82" t="str"/>
      <x:c r="Q69" s="82" t="str"/>
      <x:c r="R69" s="82" t="str"/>
      <x:c r="S69" s="82" t="str"/>
      <x:c r="T69" s="82" t="str"/>
      <x:c r="U69" s="82" t="str"/>
      <x:c r="V69" s="82" t="str"/>
      <x:c r="W69" s="82" t="str"/>
      <x:c r="X69" s="82" t="str"/>
      <x:c r="Y69" s="82" t="str"/>
      <x:c r="Z69" s="82" t="str"/>
      <x:c r="AA69" s="82" t="str"/>
      <x:c r="AB69" s="82" t="str">
        <x:f>IF(G69&lt;&gt;"eligible","",MAX(0,(0.30*M69)+(0.15*N69)+(0.15*O69)+(0.15*P69)+(0.05*Q69)+(0.10*R69)+(0.10*S69)+(0.05*T69)+(0.05*U69)+AA69-SUM(V69:Z69)))</x:f>
      </x:c>
      <x:c r="AC69" s="81" t="str">
        <x:f>IF(G69&lt;&gt;"eligible","excluded",IF(AB69&gt;=0.75,"overall_high_signal",IF(O69&gt;=0.75,"transformation_object",IF(OR(P69&gt;=0.75,Q69&gt;=0.75),"handoff_timer",IF(R69&gt;=0.75,"sync_governance",IF(T69&gt;=0.75,"pf_olc_risk","score_pool"))))))</x:f>
        <x:v>excluded</x:v>
      </x:c>
      <x:c r="AD69" s="81" t="str"/>
      <x:c r="AE69" s="81" t="str"/>
      <x:c r="AF69" s="81" t="str"/>
      <x:c r="AG69" s="81" t="str"/>
      <x:c r="AH69" s="81" t="str"/>
      <x:c r="AI69" s="81" t="str"/>
      <x:c r="AJ69" s="81" t="str"/>
      <x:c r="AK69" s="81" t="str">
        <x:f>IF(OR(G69="",G69="eligible"),"No","Sí")</x:f>
        <x:v>No</x:v>
      </x:c>
      <x:c r="AL69" s="81" t="str"/>
    </x:row>
    <x:row r="70" ht="15" hidden="0" customHeight="1">
      <x:c r="A70" s="81" t="str"/>
      <x:c r="B70" s="81" t="str"/>
      <x:c r="C70" s="81" t="str"/>
      <x:c r="D70" s="81" t="str"/>
      <x:c r="E70" s="81" t="str"/>
      <x:c r="F70" s="81" t="str"/>
      <x:c r="G70" s="81" t="str"/>
      <x:c r="H70" s="81" t="str"/>
      <x:c r="I70" s="82" t="str"/>
      <x:c r="J70" s="82" t="str"/>
      <x:c r="K70" s="82" t="str"/>
      <x:c r="L70" s="82" t="str"/>
      <x:c r="M70" s="82" t="e">
        <x:f>IF(COUNTA(I70:L70)=0,"",AVERAGE(I70:L70))</x:f>
      </x:c>
      <x:c r="N70" s="82" t="str"/>
      <x:c r="O70" s="82" t="str"/>
      <x:c r="P70" s="82" t="str"/>
      <x:c r="Q70" s="82" t="str"/>
      <x:c r="R70" s="82" t="str"/>
      <x:c r="S70" s="82" t="str"/>
      <x:c r="T70" s="82" t="str"/>
      <x:c r="U70" s="82" t="str"/>
      <x:c r="V70" s="82" t="str"/>
      <x:c r="W70" s="82" t="str"/>
      <x:c r="X70" s="82" t="str"/>
      <x:c r="Y70" s="82" t="str"/>
      <x:c r="Z70" s="82" t="str"/>
      <x:c r="AA70" s="82" t="str"/>
      <x:c r="AB70" s="82" t="str">
        <x:f>IF(G70&lt;&gt;"eligible","",MAX(0,(0.30*M70)+(0.15*N70)+(0.15*O70)+(0.15*P70)+(0.05*Q70)+(0.10*R70)+(0.10*S70)+(0.05*T70)+(0.05*U70)+AA70-SUM(V70:Z70)))</x:f>
      </x:c>
      <x:c r="AC70" s="81" t="str">
        <x:f>IF(G70&lt;&gt;"eligible","excluded",IF(AB70&gt;=0.75,"overall_high_signal",IF(O70&gt;=0.75,"transformation_object",IF(OR(P70&gt;=0.75,Q70&gt;=0.75),"handoff_timer",IF(R70&gt;=0.75,"sync_governance",IF(T70&gt;=0.75,"pf_olc_risk","score_pool"))))))</x:f>
        <x:v>excluded</x:v>
      </x:c>
      <x:c r="AD70" s="81" t="str"/>
      <x:c r="AE70" s="81" t="str"/>
      <x:c r="AF70" s="81" t="str"/>
      <x:c r="AG70" s="81" t="str"/>
      <x:c r="AH70" s="81" t="str"/>
      <x:c r="AI70" s="81" t="str"/>
      <x:c r="AJ70" s="81" t="str"/>
      <x:c r="AK70" s="81" t="str">
        <x:f>IF(OR(G70="",G70="eligible"),"No","Sí")</x:f>
        <x:v>No</x:v>
      </x:c>
      <x:c r="AL70" s="81" t="str"/>
    </x:row>
    <x:row r="71" ht="15" hidden="0" customHeight="1">
      <x:c r="A71" s="81" t="str"/>
      <x:c r="B71" s="81" t="str"/>
      <x:c r="C71" s="81" t="str"/>
      <x:c r="D71" s="81" t="str"/>
      <x:c r="E71" s="81" t="str"/>
      <x:c r="F71" s="81" t="str"/>
      <x:c r="G71" s="81" t="str"/>
      <x:c r="H71" s="81" t="str"/>
      <x:c r="I71" s="82" t="str"/>
      <x:c r="J71" s="82" t="str"/>
      <x:c r="K71" s="82" t="str"/>
      <x:c r="L71" s="82" t="str"/>
      <x:c r="M71" s="82" t="e">
        <x:f>IF(COUNTA(I71:L71)=0,"",AVERAGE(I71:L71))</x:f>
      </x:c>
      <x:c r="N71" s="82" t="str"/>
      <x:c r="O71" s="82" t="str"/>
      <x:c r="P71" s="82" t="str"/>
      <x:c r="Q71" s="82" t="str"/>
      <x:c r="R71" s="82" t="str"/>
      <x:c r="S71" s="82" t="str"/>
      <x:c r="T71" s="82" t="str"/>
      <x:c r="U71" s="82" t="str"/>
      <x:c r="V71" s="82" t="str"/>
      <x:c r="W71" s="82" t="str"/>
      <x:c r="X71" s="82" t="str"/>
      <x:c r="Y71" s="82" t="str"/>
      <x:c r="Z71" s="82" t="str"/>
      <x:c r="AA71" s="82" t="str"/>
      <x:c r="AB71" s="82" t="str">
        <x:f>IF(G71&lt;&gt;"eligible","",MAX(0,(0.30*M71)+(0.15*N71)+(0.15*O71)+(0.15*P71)+(0.05*Q71)+(0.10*R71)+(0.10*S71)+(0.05*T71)+(0.05*U71)+AA71-SUM(V71:Z71)))</x:f>
      </x:c>
      <x:c r="AC71" s="81" t="str">
        <x:f>IF(G71&lt;&gt;"eligible","excluded",IF(AB71&gt;=0.75,"overall_high_signal",IF(O71&gt;=0.75,"transformation_object",IF(OR(P71&gt;=0.75,Q71&gt;=0.75),"handoff_timer",IF(R71&gt;=0.75,"sync_governance",IF(T71&gt;=0.75,"pf_olc_risk","score_pool"))))))</x:f>
        <x:v>excluded</x:v>
      </x:c>
      <x:c r="AD71" s="81" t="str"/>
      <x:c r="AE71" s="81" t="str"/>
      <x:c r="AF71" s="81" t="str"/>
      <x:c r="AG71" s="81" t="str"/>
      <x:c r="AH71" s="81" t="str"/>
      <x:c r="AI71" s="81" t="str"/>
      <x:c r="AJ71" s="81" t="str"/>
      <x:c r="AK71" s="81" t="str">
        <x:f>IF(OR(G71="",G71="eligible"),"No","Sí")</x:f>
        <x:v>No</x:v>
      </x:c>
      <x:c r="AL71" s="81" t="str"/>
    </x:row>
    <x:row r="72" ht="15" hidden="0" customHeight="1">
      <x:c r="A72" s="81" t="str"/>
      <x:c r="B72" s="81" t="str"/>
      <x:c r="C72" s="81" t="str"/>
      <x:c r="D72" s="81" t="str"/>
      <x:c r="E72" s="81" t="str"/>
      <x:c r="F72" s="81" t="str"/>
      <x:c r="G72" s="81" t="str"/>
      <x:c r="H72" s="81" t="str"/>
      <x:c r="I72" s="82" t="str"/>
      <x:c r="J72" s="82" t="str"/>
      <x:c r="K72" s="82" t="str"/>
      <x:c r="L72" s="82" t="str"/>
      <x:c r="M72" s="82" t="e">
        <x:f>IF(COUNTA(I72:L72)=0,"",AVERAGE(I72:L72))</x:f>
      </x:c>
      <x:c r="N72" s="82" t="str"/>
      <x:c r="O72" s="82" t="str"/>
      <x:c r="P72" s="82" t="str"/>
      <x:c r="Q72" s="82" t="str"/>
      <x:c r="R72" s="82" t="str"/>
      <x:c r="S72" s="82" t="str"/>
      <x:c r="T72" s="82" t="str"/>
      <x:c r="U72" s="82" t="str"/>
      <x:c r="V72" s="82" t="str"/>
      <x:c r="W72" s="82" t="str"/>
      <x:c r="X72" s="82" t="str"/>
      <x:c r="Y72" s="82" t="str"/>
      <x:c r="Z72" s="82" t="str"/>
      <x:c r="AA72" s="82" t="str"/>
      <x:c r="AB72" s="82" t="str">
        <x:f>IF(G72&lt;&gt;"eligible","",MAX(0,(0.30*M72)+(0.15*N72)+(0.15*O72)+(0.15*P72)+(0.05*Q72)+(0.10*R72)+(0.10*S72)+(0.05*T72)+(0.05*U72)+AA72-SUM(V72:Z72)))</x:f>
      </x:c>
      <x:c r="AC72" s="81" t="str">
        <x:f>IF(G72&lt;&gt;"eligible","excluded",IF(AB72&gt;=0.75,"overall_high_signal",IF(O72&gt;=0.75,"transformation_object",IF(OR(P72&gt;=0.75,Q72&gt;=0.75),"handoff_timer",IF(R72&gt;=0.75,"sync_governance",IF(T72&gt;=0.75,"pf_olc_risk","score_pool"))))))</x:f>
        <x:v>excluded</x:v>
      </x:c>
      <x:c r="AD72" s="81" t="str"/>
      <x:c r="AE72" s="81" t="str"/>
      <x:c r="AF72" s="81" t="str"/>
      <x:c r="AG72" s="81" t="str"/>
      <x:c r="AH72" s="81" t="str"/>
      <x:c r="AI72" s="81" t="str"/>
      <x:c r="AJ72" s="81" t="str"/>
      <x:c r="AK72" s="81" t="str">
        <x:f>IF(OR(G72="",G72="eligible"),"No","Sí")</x:f>
        <x:v>No</x:v>
      </x:c>
      <x:c r="AL72" s="81" t="str"/>
    </x:row>
    <x:row r="73" ht="15" hidden="0" customHeight="1">
      <x:c r="A73" s="81" t="str"/>
      <x:c r="B73" s="81" t="str"/>
      <x:c r="C73" s="81" t="str"/>
      <x:c r="D73" s="81" t="str"/>
      <x:c r="E73" s="81" t="str"/>
      <x:c r="F73" s="81" t="str"/>
      <x:c r="G73" s="81" t="str"/>
      <x:c r="H73" s="81" t="str"/>
      <x:c r="I73" s="82" t="str"/>
      <x:c r="J73" s="82" t="str"/>
      <x:c r="K73" s="82" t="str"/>
      <x:c r="L73" s="82" t="str"/>
      <x:c r="M73" s="82" t="e">
        <x:f>IF(COUNTA(I73:L73)=0,"",AVERAGE(I73:L73))</x:f>
      </x:c>
      <x:c r="N73" s="82" t="str"/>
      <x:c r="O73" s="82" t="str"/>
      <x:c r="P73" s="82" t="str"/>
      <x:c r="Q73" s="82" t="str"/>
      <x:c r="R73" s="82" t="str"/>
      <x:c r="S73" s="82" t="str"/>
      <x:c r="T73" s="82" t="str"/>
      <x:c r="U73" s="82" t="str"/>
      <x:c r="V73" s="82" t="str"/>
      <x:c r="W73" s="82" t="str"/>
      <x:c r="X73" s="82" t="str"/>
      <x:c r="Y73" s="82" t="str"/>
      <x:c r="Z73" s="82" t="str"/>
      <x:c r="AA73" s="82" t="str"/>
      <x:c r="AB73" s="82" t="str">
        <x:f>IF(G73&lt;&gt;"eligible","",MAX(0,(0.30*M73)+(0.15*N73)+(0.15*O73)+(0.15*P73)+(0.05*Q73)+(0.10*R73)+(0.10*S73)+(0.05*T73)+(0.05*U73)+AA73-SUM(V73:Z73)))</x:f>
      </x:c>
      <x:c r="AC73" s="81" t="str">
        <x:f>IF(G73&lt;&gt;"eligible","excluded",IF(AB73&gt;=0.75,"overall_high_signal",IF(O73&gt;=0.75,"transformation_object",IF(OR(P73&gt;=0.75,Q73&gt;=0.75),"handoff_timer",IF(R73&gt;=0.75,"sync_governance",IF(T73&gt;=0.75,"pf_olc_risk","score_pool"))))))</x:f>
        <x:v>excluded</x:v>
      </x:c>
      <x:c r="AD73" s="81" t="str"/>
      <x:c r="AE73" s="81" t="str"/>
      <x:c r="AF73" s="81" t="str"/>
      <x:c r="AG73" s="81" t="str"/>
      <x:c r="AH73" s="81" t="str"/>
      <x:c r="AI73" s="81" t="str"/>
      <x:c r="AJ73" s="81" t="str"/>
      <x:c r="AK73" s="81" t="str">
        <x:f>IF(OR(G73="",G73="eligible"),"No","Sí")</x:f>
        <x:v>No</x:v>
      </x:c>
      <x:c r="AL73" s="81" t="str"/>
    </x:row>
    <x:row r="74" ht="15" hidden="0" customHeight="1">
      <x:c r="A74" s="81" t="str"/>
      <x:c r="B74" s="81" t="str"/>
      <x:c r="C74" s="81" t="str"/>
      <x:c r="D74" s="81" t="str"/>
      <x:c r="E74" s="81" t="str"/>
      <x:c r="F74" s="81" t="str"/>
      <x:c r="G74" s="81" t="str"/>
      <x:c r="H74" s="81" t="str"/>
      <x:c r="I74" s="82" t="str"/>
      <x:c r="J74" s="82" t="str"/>
      <x:c r="K74" s="82" t="str"/>
      <x:c r="L74" s="82" t="str"/>
      <x:c r="M74" s="82" t="e">
        <x:f>IF(COUNTA(I74:L74)=0,"",AVERAGE(I74:L74))</x:f>
      </x:c>
      <x:c r="N74" s="82" t="str"/>
      <x:c r="O74" s="82" t="str"/>
      <x:c r="P74" s="82" t="str"/>
      <x:c r="Q74" s="82" t="str"/>
      <x:c r="R74" s="82" t="str"/>
      <x:c r="S74" s="82" t="str"/>
      <x:c r="T74" s="82" t="str"/>
      <x:c r="U74" s="82" t="str"/>
      <x:c r="V74" s="82" t="str"/>
      <x:c r="W74" s="82" t="str"/>
      <x:c r="X74" s="82" t="str"/>
      <x:c r="Y74" s="82" t="str"/>
      <x:c r="Z74" s="82" t="str"/>
      <x:c r="AA74" s="82" t="str"/>
      <x:c r="AB74" s="82" t="str">
        <x:f>IF(G74&lt;&gt;"eligible","",MAX(0,(0.30*M74)+(0.15*N74)+(0.15*O74)+(0.15*P74)+(0.05*Q74)+(0.10*R74)+(0.10*S74)+(0.05*T74)+(0.05*U74)+AA74-SUM(V74:Z74)))</x:f>
      </x:c>
      <x:c r="AC74" s="81" t="str">
        <x:f>IF(G74&lt;&gt;"eligible","excluded",IF(AB74&gt;=0.75,"overall_high_signal",IF(O74&gt;=0.75,"transformation_object",IF(OR(P74&gt;=0.75,Q74&gt;=0.75),"handoff_timer",IF(R74&gt;=0.75,"sync_governance",IF(T74&gt;=0.75,"pf_olc_risk","score_pool"))))))</x:f>
        <x:v>excluded</x:v>
      </x:c>
      <x:c r="AD74" s="81" t="str"/>
      <x:c r="AE74" s="81" t="str"/>
      <x:c r="AF74" s="81" t="str"/>
      <x:c r="AG74" s="81" t="str"/>
      <x:c r="AH74" s="81" t="str"/>
      <x:c r="AI74" s="81" t="str"/>
      <x:c r="AJ74" s="81" t="str"/>
      <x:c r="AK74" s="81" t="str">
        <x:f>IF(OR(G74="",G74="eligible"),"No","Sí")</x:f>
        <x:v>No</x:v>
      </x:c>
      <x:c r="AL74" s="81" t="str"/>
    </x:row>
    <x:row r="75" ht="15" hidden="0" customHeight="1">
      <x:c r="A75" s="81" t="str"/>
      <x:c r="B75" s="81" t="str"/>
      <x:c r="C75" s="81" t="str"/>
      <x:c r="D75" s="81" t="str"/>
      <x:c r="E75" s="81" t="str"/>
      <x:c r="F75" s="81" t="str"/>
      <x:c r="G75" s="81" t="str"/>
      <x:c r="H75" s="81" t="str"/>
      <x:c r="I75" s="82" t="str"/>
      <x:c r="J75" s="82" t="str"/>
      <x:c r="K75" s="82" t="str"/>
      <x:c r="L75" s="82" t="str"/>
      <x:c r="M75" s="82" t="e">
        <x:f>IF(COUNTA(I75:L75)=0,"",AVERAGE(I75:L75))</x:f>
      </x:c>
      <x:c r="N75" s="82" t="str"/>
      <x:c r="O75" s="82" t="str"/>
      <x:c r="P75" s="82" t="str"/>
      <x:c r="Q75" s="82" t="str"/>
      <x:c r="R75" s="82" t="str"/>
      <x:c r="S75" s="82" t="str"/>
      <x:c r="T75" s="82" t="str"/>
      <x:c r="U75" s="82" t="str"/>
      <x:c r="V75" s="82" t="str"/>
      <x:c r="W75" s="82" t="str"/>
      <x:c r="X75" s="82" t="str"/>
      <x:c r="Y75" s="82" t="str"/>
      <x:c r="Z75" s="82" t="str"/>
      <x:c r="AA75" s="82" t="str"/>
      <x:c r="AB75" s="82" t="str">
        <x:f>IF(G75&lt;&gt;"eligible","",MAX(0,(0.30*M75)+(0.15*N75)+(0.15*O75)+(0.15*P75)+(0.05*Q75)+(0.10*R75)+(0.10*S75)+(0.05*T75)+(0.05*U75)+AA75-SUM(V75:Z75)))</x:f>
      </x:c>
      <x:c r="AC75" s="81" t="str">
        <x:f>IF(G75&lt;&gt;"eligible","excluded",IF(AB75&gt;=0.75,"overall_high_signal",IF(O75&gt;=0.75,"transformation_object",IF(OR(P75&gt;=0.75,Q75&gt;=0.75),"handoff_timer",IF(R75&gt;=0.75,"sync_governance",IF(T75&gt;=0.75,"pf_olc_risk","score_pool"))))))</x:f>
        <x:v>excluded</x:v>
      </x:c>
      <x:c r="AD75" s="81" t="str"/>
      <x:c r="AE75" s="81" t="str"/>
      <x:c r="AF75" s="81" t="str"/>
      <x:c r="AG75" s="81" t="str"/>
      <x:c r="AH75" s="81" t="str"/>
      <x:c r="AI75" s="81" t="str"/>
      <x:c r="AJ75" s="81" t="str"/>
      <x:c r="AK75" s="81" t="str">
        <x:f>IF(OR(G75="",G75="eligible"),"No","Sí")</x:f>
        <x:v>No</x:v>
      </x:c>
      <x:c r="AL75" s="81" t="str"/>
    </x:row>
    <x:row r="76" ht="15" hidden="0" customHeight="1">
      <x:c r="A76" s="81" t="str"/>
      <x:c r="B76" s="81" t="str"/>
      <x:c r="C76" s="81" t="str"/>
      <x:c r="D76" s="81" t="str"/>
      <x:c r="E76" s="81" t="str"/>
      <x:c r="F76" s="81" t="str"/>
      <x:c r="G76" s="81" t="str"/>
      <x:c r="H76" s="81" t="str"/>
      <x:c r="I76" s="82" t="str"/>
      <x:c r="J76" s="82" t="str"/>
      <x:c r="K76" s="82" t="str"/>
      <x:c r="L76" s="82" t="str"/>
      <x:c r="M76" s="82" t="e">
        <x:f>IF(COUNTA(I76:L76)=0,"",AVERAGE(I76:L76))</x:f>
      </x:c>
      <x:c r="N76" s="82" t="str"/>
      <x:c r="O76" s="82" t="str"/>
      <x:c r="P76" s="82" t="str"/>
      <x:c r="Q76" s="82" t="str"/>
      <x:c r="R76" s="82" t="str"/>
      <x:c r="S76" s="82" t="str"/>
      <x:c r="T76" s="82" t="str"/>
      <x:c r="U76" s="82" t="str"/>
      <x:c r="V76" s="82" t="str"/>
      <x:c r="W76" s="82" t="str"/>
      <x:c r="X76" s="82" t="str"/>
      <x:c r="Y76" s="82" t="str"/>
      <x:c r="Z76" s="82" t="str"/>
      <x:c r="AA76" s="82" t="str"/>
      <x:c r="AB76" s="82" t="str">
        <x:f>IF(G76&lt;&gt;"eligible","",MAX(0,(0.30*M76)+(0.15*N76)+(0.15*O76)+(0.15*P76)+(0.05*Q76)+(0.10*R76)+(0.10*S76)+(0.05*T76)+(0.05*U76)+AA76-SUM(V76:Z76)))</x:f>
      </x:c>
      <x:c r="AC76" s="81" t="str">
        <x:f>IF(G76&lt;&gt;"eligible","excluded",IF(AB76&gt;=0.75,"overall_high_signal",IF(O76&gt;=0.75,"transformation_object",IF(OR(P76&gt;=0.75,Q76&gt;=0.75),"handoff_timer",IF(R76&gt;=0.75,"sync_governance",IF(T76&gt;=0.75,"pf_olc_risk","score_pool"))))))</x:f>
        <x:v>excluded</x:v>
      </x:c>
      <x:c r="AD76" s="81" t="str"/>
      <x:c r="AE76" s="81" t="str"/>
      <x:c r="AF76" s="81" t="str"/>
      <x:c r="AG76" s="81" t="str"/>
      <x:c r="AH76" s="81" t="str"/>
      <x:c r="AI76" s="81" t="str"/>
      <x:c r="AJ76" s="81" t="str"/>
      <x:c r="AK76" s="81" t="str">
        <x:f>IF(OR(G76="",G76="eligible"),"No","Sí")</x:f>
        <x:v>No</x:v>
      </x:c>
      <x:c r="AL76" s="81" t="str"/>
    </x:row>
    <x:row r="77" ht="15" hidden="0" customHeight="1">
      <x:c r="A77" s="81" t="str"/>
      <x:c r="B77" s="81" t="str"/>
      <x:c r="C77" s="81" t="str"/>
      <x:c r="D77" s="81" t="str"/>
      <x:c r="E77" s="81" t="str"/>
      <x:c r="F77" s="81" t="str"/>
      <x:c r="G77" s="81" t="str"/>
      <x:c r="H77" s="81" t="str"/>
      <x:c r="I77" s="82" t="str"/>
      <x:c r="J77" s="82" t="str"/>
      <x:c r="K77" s="82" t="str"/>
      <x:c r="L77" s="82" t="str"/>
      <x:c r="M77" s="82" t="e">
        <x:f>IF(COUNTA(I77:L77)=0,"",AVERAGE(I77:L77))</x:f>
      </x:c>
      <x:c r="N77" s="82" t="str"/>
      <x:c r="O77" s="82" t="str"/>
      <x:c r="P77" s="82" t="str"/>
      <x:c r="Q77" s="82" t="str"/>
      <x:c r="R77" s="82" t="str"/>
      <x:c r="S77" s="82" t="str"/>
      <x:c r="T77" s="82" t="str"/>
      <x:c r="U77" s="82" t="str"/>
      <x:c r="V77" s="82" t="str"/>
      <x:c r="W77" s="82" t="str"/>
      <x:c r="X77" s="82" t="str"/>
      <x:c r="Y77" s="82" t="str"/>
      <x:c r="Z77" s="82" t="str"/>
      <x:c r="AA77" s="82" t="str"/>
      <x:c r="AB77" s="82" t="str">
        <x:f>IF(G77&lt;&gt;"eligible","",MAX(0,(0.30*M77)+(0.15*N77)+(0.15*O77)+(0.15*P77)+(0.05*Q77)+(0.10*R77)+(0.10*S77)+(0.05*T77)+(0.05*U77)+AA77-SUM(V77:Z77)))</x:f>
      </x:c>
      <x:c r="AC77" s="81" t="str">
        <x:f>IF(G77&lt;&gt;"eligible","excluded",IF(AB77&gt;=0.75,"overall_high_signal",IF(O77&gt;=0.75,"transformation_object",IF(OR(P77&gt;=0.75,Q77&gt;=0.75),"handoff_timer",IF(R77&gt;=0.75,"sync_governance",IF(T77&gt;=0.75,"pf_olc_risk","score_pool"))))))</x:f>
        <x:v>excluded</x:v>
      </x:c>
      <x:c r="AD77" s="81" t="str"/>
      <x:c r="AE77" s="81" t="str"/>
      <x:c r="AF77" s="81" t="str"/>
      <x:c r="AG77" s="81" t="str"/>
      <x:c r="AH77" s="81" t="str"/>
      <x:c r="AI77" s="81" t="str"/>
      <x:c r="AJ77" s="81" t="str"/>
      <x:c r="AK77" s="81" t="str">
        <x:f>IF(OR(G77="",G77="eligible"),"No","Sí")</x:f>
        <x:v>No</x:v>
      </x:c>
      <x:c r="AL77" s="81" t="str"/>
    </x:row>
    <x:row r="78" ht="15" hidden="0" customHeight="1">
      <x:c r="A78" s="81" t="str"/>
      <x:c r="B78" s="81" t="str"/>
      <x:c r="C78" s="81" t="str"/>
      <x:c r="D78" s="81" t="str"/>
      <x:c r="E78" s="81" t="str"/>
      <x:c r="F78" s="81" t="str"/>
      <x:c r="G78" s="81" t="str"/>
      <x:c r="H78" s="81" t="str"/>
      <x:c r="I78" s="82" t="str"/>
      <x:c r="J78" s="82" t="str"/>
      <x:c r="K78" s="82" t="str"/>
      <x:c r="L78" s="82" t="str"/>
      <x:c r="M78" s="82" t="e">
        <x:f>IF(COUNTA(I78:L78)=0,"",AVERAGE(I78:L78))</x:f>
      </x:c>
      <x:c r="N78" s="82" t="str"/>
      <x:c r="O78" s="82" t="str"/>
      <x:c r="P78" s="82" t="str"/>
      <x:c r="Q78" s="82" t="str"/>
      <x:c r="R78" s="82" t="str"/>
      <x:c r="S78" s="82" t="str"/>
      <x:c r="T78" s="82" t="str"/>
      <x:c r="U78" s="82" t="str"/>
      <x:c r="V78" s="82" t="str"/>
      <x:c r="W78" s="82" t="str"/>
      <x:c r="X78" s="82" t="str"/>
      <x:c r="Y78" s="82" t="str"/>
      <x:c r="Z78" s="82" t="str"/>
      <x:c r="AA78" s="82" t="str"/>
      <x:c r="AB78" s="82" t="str">
        <x:f>IF(G78&lt;&gt;"eligible","",MAX(0,(0.30*M78)+(0.15*N78)+(0.15*O78)+(0.15*P78)+(0.05*Q78)+(0.10*R78)+(0.10*S78)+(0.05*T78)+(0.05*U78)+AA78-SUM(V78:Z78)))</x:f>
      </x:c>
      <x:c r="AC78" s="81" t="str">
        <x:f>IF(G78&lt;&gt;"eligible","excluded",IF(AB78&gt;=0.75,"overall_high_signal",IF(O78&gt;=0.75,"transformation_object",IF(OR(P78&gt;=0.75,Q78&gt;=0.75),"handoff_timer",IF(R78&gt;=0.75,"sync_governance",IF(T78&gt;=0.75,"pf_olc_risk","score_pool"))))))</x:f>
        <x:v>excluded</x:v>
      </x:c>
      <x:c r="AD78" s="81" t="str"/>
      <x:c r="AE78" s="81" t="str"/>
      <x:c r="AF78" s="81" t="str"/>
      <x:c r="AG78" s="81" t="str"/>
      <x:c r="AH78" s="81" t="str"/>
      <x:c r="AI78" s="81" t="str"/>
      <x:c r="AJ78" s="81" t="str"/>
      <x:c r="AK78" s="81" t="str">
        <x:f>IF(OR(G78="",G78="eligible"),"No","Sí")</x:f>
        <x:v>No</x:v>
      </x:c>
      <x:c r="AL78" s="81" t="str"/>
    </x:row>
    <x:row r="79" ht="15" hidden="0" customHeight="1">
      <x:c r="A79" s="81" t="str"/>
      <x:c r="B79" s="81" t="str"/>
      <x:c r="C79" s="81" t="str"/>
      <x:c r="D79" s="81" t="str"/>
      <x:c r="E79" s="81" t="str"/>
      <x:c r="F79" s="81" t="str"/>
      <x:c r="G79" s="81" t="str"/>
      <x:c r="H79" s="81" t="str"/>
      <x:c r="I79" s="82" t="str"/>
      <x:c r="J79" s="82" t="str"/>
      <x:c r="K79" s="82" t="str"/>
      <x:c r="L79" s="82" t="str"/>
      <x:c r="M79" s="82" t="e">
        <x:f>IF(COUNTA(I79:L79)=0,"",AVERAGE(I79:L79))</x:f>
      </x:c>
      <x:c r="N79" s="82" t="str"/>
      <x:c r="O79" s="82" t="str"/>
      <x:c r="P79" s="82" t="str"/>
      <x:c r="Q79" s="82" t="str"/>
      <x:c r="R79" s="82" t="str"/>
      <x:c r="S79" s="82" t="str"/>
      <x:c r="T79" s="82" t="str"/>
      <x:c r="U79" s="82" t="str"/>
      <x:c r="V79" s="82" t="str"/>
      <x:c r="W79" s="82" t="str"/>
      <x:c r="X79" s="82" t="str"/>
      <x:c r="Y79" s="82" t="str"/>
      <x:c r="Z79" s="82" t="str"/>
      <x:c r="AA79" s="82" t="str"/>
      <x:c r="AB79" s="82" t="str">
        <x:f>IF(G79&lt;&gt;"eligible","",MAX(0,(0.30*M79)+(0.15*N79)+(0.15*O79)+(0.15*P79)+(0.05*Q79)+(0.10*R79)+(0.10*S79)+(0.05*T79)+(0.05*U79)+AA79-SUM(V79:Z79)))</x:f>
      </x:c>
      <x:c r="AC79" s="81" t="str">
        <x:f>IF(G79&lt;&gt;"eligible","excluded",IF(AB79&gt;=0.75,"overall_high_signal",IF(O79&gt;=0.75,"transformation_object",IF(OR(P79&gt;=0.75,Q79&gt;=0.75),"handoff_timer",IF(R79&gt;=0.75,"sync_governance",IF(T79&gt;=0.75,"pf_olc_risk","score_pool"))))))</x:f>
        <x:v>excluded</x:v>
      </x:c>
      <x:c r="AD79" s="81" t="str"/>
      <x:c r="AE79" s="81" t="str"/>
      <x:c r="AF79" s="81" t="str"/>
      <x:c r="AG79" s="81" t="str"/>
      <x:c r="AH79" s="81" t="str"/>
      <x:c r="AI79" s="81" t="str"/>
      <x:c r="AJ79" s="81" t="str"/>
      <x:c r="AK79" s="81" t="str">
        <x:f>IF(OR(G79="",G79="eligible"),"No","Sí")</x:f>
        <x:v>No</x:v>
      </x:c>
      <x:c r="AL79" s="81" t="str"/>
    </x:row>
    <x:row r="80" ht="15" hidden="0" customHeight="1">
      <x:c r="A80" s="81" t="str"/>
      <x:c r="B80" s="81" t="str"/>
      <x:c r="C80" s="81" t="str"/>
      <x:c r="D80" s="81" t="str"/>
      <x:c r="E80" s="81" t="str"/>
      <x:c r="F80" s="81" t="str"/>
      <x:c r="G80" s="81" t="str"/>
      <x:c r="H80" s="81" t="str"/>
      <x:c r="I80" s="82" t="str"/>
      <x:c r="J80" s="82" t="str"/>
      <x:c r="K80" s="82" t="str"/>
      <x:c r="L80" s="82" t="str"/>
      <x:c r="M80" s="82" t="e">
        <x:f>IF(COUNTA(I80:L80)=0,"",AVERAGE(I80:L80))</x:f>
      </x:c>
      <x:c r="N80" s="82" t="str"/>
      <x:c r="O80" s="82" t="str"/>
      <x:c r="P80" s="82" t="str"/>
      <x:c r="Q80" s="82" t="str"/>
      <x:c r="R80" s="82" t="str"/>
      <x:c r="S80" s="82" t="str"/>
      <x:c r="T80" s="82" t="str"/>
      <x:c r="U80" s="82" t="str"/>
      <x:c r="V80" s="82" t="str"/>
      <x:c r="W80" s="82" t="str"/>
      <x:c r="X80" s="82" t="str"/>
      <x:c r="Y80" s="82" t="str"/>
      <x:c r="Z80" s="82" t="str"/>
      <x:c r="AA80" s="82" t="str"/>
      <x:c r="AB80" s="82" t="str">
        <x:f>IF(G80&lt;&gt;"eligible","",MAX(0,(0.30*M80)+(0.15*N80)+(0.15*O80)+(0.15*P80)+(0.05*Q80)+(0.10*R80)+(0.10*S80)+(0.05*T80)+(0.05*U80)+AA80-SUM(V80:Z80)))</x:f>
      </x:c>
      <x:c r="AC80" s="81" t="str">
        <x:f>IF(G80&lt;&gt;"eligible","excluded",IF(AB80&gt;=0.75,"overall_high_signal",IF(O80&gt;=0.75,"transformation_object",IF(OR(P80&gt;=0.75,Q80&gt;=0.75),"handoff_timer",IF(R80&gt;=0.75,"sync_governance",IF(T80&gt;=0.75,"pf_olc_risk","score_pool"))))))</x:f>
        <x:v>excluded</x:v>
      </x:c>
      <x:c r="AD80" s="81" t="str"/>
      <x:c r="AE80" s="81" t="str"/>
      <x:c r="AF80" s="81" t="str"/>
      <x:c r="AG80" s="81" t="str"/>
      <x:c r="AH80" s="81" t="str"/>
      <x:c r="AI80" s="81" t="str"/>
      <x:c r="AJ80" s="81" t="str"/>
      <x:c r="AK80" s="81" t="str">
        <x:f>IF(OR(G80="",G80="eligible"),"No","Sí")</x:f>
        <x:v>No</x:v>
      </x:c>
      <x:c r="AL80" s="81" t="str"/>
    </x:row>
    <x:row r="81" ht="15" hidden="0" customHeight="1">
      <x:c r="A81" s="81" t="str"/>
      <x:c r="B81" s="81" t="str"/>
      <x:c r="C81" s="81" t="str"/>
      <x:c r="D81" s="81" t="str"/>
      <x:c r="E81" s="81" t="str"/>
      <x:c r="F81" s="81" t="str"/>
      <x:c r="G81" s="81" t="str"/>
      <x:c r="H81" s="81" t="str"/>
      <x:c r="I81" s="82" t="str"/>
      <x:c r="J81" s="82" t="str"/>
      <x:c r="K81" s="82" t="str"/>
      <x:c r="L81" s="82" t="str"/>
      <x:c r="M81" s="82" t="e">
        <x:f>IF(COUNTA(I81:L81)=0,"",AVERAGE(I81:L81))</x:f>
      </x:c>
      <x:c r="N81" s="82" t="str"/>
      <x:c r="O81" s="82" t="str"/>
      <x:c r="P81" s="82" t="str"/>
      <x:c r="Q81" s="82" t="str"/>
      <x:c r="R81" s="82" t="str"/>
      <x:c r="S81" s="82" t="str"/>
      <x:c r="T81" s="82" t="str"/>
      <x:c r="U81" s="82" t="str"/>
      <x:c r="V81" s="82" t="str"/>
      <x:c r="W81" s="82" t="str"/>
      <x:c r="X81" s="82" t="str"/>
      <x:c r="Y81" s="82" t="str"/>
      <x:c r="Z81" s="82" t="str"/>
      <x:c r="AA81" s="82" t="str"/>
      <x:c r="AB81" s="82" t="str">
        <x:f>IF(G81&lt;&gt;"eligible","",MAX(0,(0.30*M81)+(0.15*N81)+(0.15*O81)+(0.15*P81)+(0.05*Q81)+(0.10*R81)+(0.10*S81)+(0.05*T81)+(0.05*U81)+AA81-SUM(V81:Z81)))</x:f>
      </x:c>
      <x:c r="AC81" s="81" t="str">
        <x:f>IF(G81&lt;&gt;"eligible","excluded",IF(AB81&gt;=0.75,"overall_high_signal",IF(O81&gt;=0.75,"transformation_object",IF(OR(P81&gt;=0.75,Q81&gt;=0.75),"handoff_timer",IF(R81&gt;=0.75,"sync_governance",IF(T81&gt;=0.75,"pf_olc_risk","score_pool"))))))</x:f>
        <x:v>excluded</x:v>
      </x:c>
      <x:c r="AD81" s="81" t="str"/>
      <x:c r="AE81" s="81" t="str"/>
      <x:c r="AF81" s="81" t="str"/>
      <x:c r="AG81" s="81" t="str"/>
      <x:c r="AH81" s="81" t="str"/>
      <x:c r="AI81" s="81" t="str"/>
      <x:c r="AJ81" s="81" t="str"/>
      <x:c r="AK81" s="81" t="str">
        <x:f>IF(OR(G81="",G81="eligible"),"No","Sí")</x:f>
        <x:v>No</x:v>
      </x:c>
      <x:c r="AL81" s="81" t="str"/>
    </x:row>
    <x:row r="82" ht="15" hidden="0" customHeight="1">
      <x:c r="A82" s="81" t="str"/>
      <x:c r="B82" s="81" t="str"/>
      <x:c r="C82" s="81" t="str"/>
      <x:c r="D82" s="81" t="str"/>
      <x:c r="E82" s="81" t="str"/>
      <x:c r="F82" s="81" t="str"/>
      <x:c r="G82" s="81" t="str"/>
      <x:c r="H82" s="81" t="str"/>
      <x:c r="I82" s="82" t="str"/>
      <x:c r="J82" s="82" t="str"/>
      <x:c r="K82" s="82" t="str"/>
      <x:c r="L82" s="82" t="str"/>
      <x:c r="M82" s="82" t="e">
        <x:f>IF(COUNTA(I82:L82)=0,"",AVERAGE(I82:L82))</x:f>
      </x:c>
      <x:c r="N82" s="82" t="str"/>
      <x:c r="O82" s="82" t="str"/>
      <x:c r="P82" s="82" t="str"/>
      <x:c r="Q82" s="82" t="str"/>
      <x:c r="R82" s="82" t="str"/>
      <x:c r="S82" s="82" t="str"/>
      <x:c r="T82" s="82" t="str"/>
      <x:c r="U82" s="82" t="str"/>
      <x:c r="V82" s="82" t="str"/>
      <x:c r="W82" s="82" t="str"/>
      <x:c r="X82" s="82" t="str"/>
      <x:c r="Y82" s="82" t="str"/>
      <x:c r="Z82" s="82" t="str"/>
      <x:c r="AA82" s="82" t="str"/>
      <x:c r="AB82" s="82" t="str">
        <x:f>IF(G82&lt;&gt;"eligible","",MAX(0,(0.30*M82)+(0.15*N82)+(0.15*O82)+(0.15*P82)+(0.05*Q82)+(0.10*R82)+(0.10*S82)+(0.05*T82)+(0.05*U82)+AA82-SUM(V82:Z82)))</x:f>
      </x:c>
      <x:c r="AC82" s="81" t="str">
        <x:f>IF(G82&lt;&gt;"eligible","excluded",IF(AB82&gt;=0.75,"overall_high_signal",IF(O82&gt;=0.75,"transformation_object",IF(OR(P82&gt;=0.75,Q82&gt;=0.75),"handoff_timer",IF(R82&gt;=0.75,"sync_governance",IF(T82&gt;=0.75,"pf_olc_risk","score_pool"))))))</x:f>
        <x:v>excluded</x:v>
      </x:c>
      <x:c r="AD82" s="81" t="str"/>
      <x:c r="AE82" s="81" t="str"/>
      <x:c r="AF82" s="81" t="str"/>
      <x:c r="AG82" s="81" t="str"/>
      <x:c r="AH82" s="81" t="str"/>
      <x:c r="AI82" s="81" t="str"/>
      <x:c r="AJ82" s="81" t="str"/>
      <x:c r="AK82" s="81" t="str">
        <x:f>IF(OR(G82="",G82="eligible"),"No","Sí")</x:f>
        <x:v>No</x:v>
      </x:c>
      <x:c r="AL82" s="81" t="str"/>
    </x:row>
    <x:row r="83" ht="15" hidden="0" customHeight="1">
      <x:c r="A83" s="81" t="str"/>
      <x:c r="B83" s="81" t="str"/>
      <x:c r="C83" s="81" t="str"/>
      <x:c r="D83" s="81" t="str"/>
      <x:c r="E83" s="81" t="str"/>
      <x:c r="F83" s="81" t="str"/>
      <x:c r="G83" s="81" t="str"/>
      <x:c r="H83" s="81" t="str"/>
      <x:c r="I83" s="82" t="str"/>
      <x:c r="J83" s="82" t="str"/>
      <x:c r="K83" s="82" t="str"/>
      <x:c r="L83" s="82" t="str"/>
      <x:c r="M83" s="82" t="e">
        <x:f>IF(COUNTA(I83:L83)=0,"",AVERAGE(I83:L83))</x:f>
      </x:c>
      <x:c r="N83" s="82" t="str"/>
      <x:c r="O83" s="82" t="str"/>
      <x:c r="P83" s="82" t="str"/>
      <x:c r="Q83" s="82" t="str"/>
      <x:c r="R83" s="82" t="str"/>
      <x:c r="S83" s="82" t="str"/>
      <x:c r="T83" s="82" t="str"/>
      <x:c r="U83" s="82" t="str"/>
      <x:c r="V83" s="82" t="str"/>
      <x:c r="W83" s="82" t="str"/>
      <x:c r="X83" s="82" t="str"/>
      <x:c r="Y83" s="82" t="str"/>
      <x:c r="Z83" s="82" t="str"/>
      <x:c r="AA83" s="82" t="str"/>
      <x:c r="AB83" s="82" t="str">
        <x:f>IF(G83&lt;&gt;"eligible","",MAX(0,(0.30*M83)+(0.15*N83)+(0.15*O83)+(0.15*P83)+(0.05*Q83)+(0.10*R83)+(0.10*S83)+(0.05*T83)+(0.05*U83)+AA83-SUM(V83:Z83)))</x:f>
      </x:c>
      <x:c r="AC83" s="81" t="str">
        <x:f>IF(G83&lt;&gt;"eligible","excluded",IF(AB83&gt;=0.75,"overall_high_signal",IF(O83&gt;=0.75,"transformation_object",IF(OR(P83&gt;=0.75,Q83&gt;=0.75),"handoff_timer",IF(R83&gt;=0.75,"sync_governance",IF(T83&gt;=0.75,"pf_olc_risk","score_pool"))))))</x:f>
        <x:v>excluded</x:v>
      </x:c>
      <x:c r="AD83" s="81" t="str"/>
      <x:c r="AE83" s="81" t="str"/>
      <x:c r="AF83" s="81" t="str"/>
      <x:c r="AG83" s="81" t="str"/>
      <x:c r="AH83" s="81" t="str"/>
      <x:c r="AI83" s="81" t="str"/>
      <x:c r="AJ83" s="81" t="str"/>
      <x:c r="AK83" s="81" t="str">
        <x:f>IF(OR(G83="",G83="eligible"),"No","Sí")</x:f>
        <x:v>No</x:v>
      </x:c>
      <x:c r="AL83" s="81" t="str"/>
    </x:row>
    <x:row r="84" ht="15" hidden="0" customHeight="1">
      <x:c r="A84" s="81" t="str"/>
      <x:c r="B84" s="81" t="str"/>
      <x:c r="C84" s="81" t="str"/>
      <x:c r="D84" s="81" t="str"/>
      <x:c r="E84" s="81" t="str"/>
      <x:c r="F84" s="81" t="str"/>
      <x:c r="G84" s="81" t="str"/>
      <x:c r="H84" s="81" t="str"/>
      <x:c r="I84" s="82" t="str"/>
      <x:c r="J84" s="82" t="str"/>
      <x:c r="K84" s="82" t="str"/>
      <x:c r="L84" s="82" t="str"/>
      <x:c r="M84" s="82" t="e">
        <x:f>IF(COUNTA(I84:L84)=0,"",AVERAGE(I84:L84))</x:f>
      </x:c>
      <x:c r="N84" s="82" t="str"/>
      <x:c r="O84" s="82" t="str"/>
      <x:c r="P84" s="82" t="str"/>
      <x:c r="Q84" s="82" t="str"/>
      <x:c r="R84" s="82" t="str"/>
      <x:c r="S84" s="82" t="str"/>
      <x:c r="T84" s="82" t="str"/>
      <x:c r="U84" s="82" t="str"/>
      <x:c r="V84" s="82" t="str"/>
      <x:c r="W84" s="82" t="str"/>
      <x:c r="X84" s="82" t="str"/>
      <x:c r="Y84" s="82" t="str"/>
      <x:c r="Z84" s="82" t="str"/>
      <x:c r="AA84" s="82" t="str"/>
      <x:c r="AB84" s="82" t="str">
        <x:f>IF(G84&lt;&gt;"eligible","",MAX(0,(0.30*M84)+(0.15*N84)+(0.15*O84)+(0.15*P84)+(0.05*Q84)+(0.10*R84)+(0.10*S84)+(0.05*T84)+(0.05*U84)+AA84-SUM(V84:Z84)))</x:f>
      </x:c>
      <x:c r="AC84" s="81" t="str">
        <x:f>IF(G84&lt;&gt;"eligible","excluded",IF(AB84&gt;=0.75,"overall_high_signal",IF(O84&gt;=0.75,"transformation_object",IF(OR(P84&gt;=0.75,Q84&gt;=0.75),"handoff_timer",IF(R84&gt;=0.75,"sync_governance",IF(T84&gt;=0.75,"pf_olc_risk","score_pool"))))))</x:f>
        <x:v>excluded</x:v>
      </x:c>
      <x:c r="AD84" s="81" t="str"/>
      <x:c r="AE84" s="81" t="str"/>
      <x:c r="AF84" s="81" t="str"/>
      <x:c r="AG84" s="81" t="str"/>
      <x:c r="AH84" s="81" t="str"/>
      <x:c r="AI84" s="81" t="str"/>
      <x:c r="AJ84" s="81" t="str"/>
      <x:c r="AK84" s="81" t="str">
        <x:f>IF(OR(G84="",G84="eligible"),"No","Sí")</x:f>
        <x:v>No</x:v>
      </x:c>
      <x:c r="AL84" s="81" t="str"/>
    </x:row>
    <x:row r="85" ht="15" hidden="0" customHeight="1">
      <x:c r="A85" s="81" t="str"/>
      <x:c r="B85" s="81" t="str"/>
      <x:c r="C85" s="81" t="str"/>
      <x:c r="D85" s="81" t="str"/>
      <x:c r="E85" s="81" t="str"/>
      <x:c r="F85" s="81" t="str"/>
      <x:c r="G85" s="81" t="str"/>
      <x:c r="H85" s="81" t="str"/>
      <x:c r="I85" s="82" t="str"/>
      <x:c r="J85" s="82" t="str"/>
      <x:c r="K85" s="82" t="str"/>
      <x:c r="L85" s="82" t="str"/>
      <x:c r="M85" s="82" t="e">
        <x:f>IF(COUNTA(I85:L85)=0,"",AVERAGE(I85:L85))</x:f>
      </x:c>
      <x:c r="N85" s="82" t="str"/>
      <x:c r="O85" s="82" t="str"/>
      <x:c r="P85" s="82" t="str"/>
      <x:c r="Q85" s="82" t="str"/>
      <x:c r="R85" s="82" t="str"/>
      <x:c r="S85" s="82" t="str"/>
      <x:c r="T85" s="82" t="str"/>
      <x:c r="U85" s="82" t="str"/>
      <x:c r="V85" s="82" t="str"/>
      <x:c r="W85" s="82" t="str"/>
      <x:c r="X85" s="82" t="str"/>
      <x:c r="Y85" s="82" t="str"/>
      <x:c r="Z85" s="82" t="str"/>
      <x:c r="AA85" s="82" t="str"/>
      <x:c r="AB85" s="82" t="str">
        <x:f>IF(G85&lt;&gt;"eligible","",MAX(0,(0.30*M85)+(0.15*N85)+(0.15*O85)+(0.15*P85)+(0.05*Q85)+(0.10*R85)+(0.10*S85)+(0.05*T85)+(0.05*U85)+AA85-SUM(V85:Z85)))</x:f>
      </x:c>
      <x:c r="AC85" s="81" t="str">
        <x:f>IF(G85&lt;&gt;"eligible","excluded",IF(AB85&gt;=0.75,"overall_high_signal",IF(O85&gt;=0.75,"transformation_object",IF(OR(P85&gt;=0.75,Q85&gt;=0.75),"handoff_timer",IF(R85&gt;=0.75,"sync_governance",IF(T85&gt;=0.75,"pf_olc_risk","score_pool"))))))</x:f>
        <x:v>excluded</x:v>
      </x:c>
      <x:c r="AD85" s="81" t="str"/>
      <x:c r="AE85" s="81" t="str"/>
      <x:c r="AF85" s="81" t="str"/>
      <x:c r="AG85" s="81" t="str"/>
      <x:c r="AH85" s="81" t="str"/>
      <x:c r="AI85" s="81" t="str"/>
      <x:c r="AJ85" s="81" t="str"/>
      <x:c r="AK85" s="81" t="str">
        <x:f>IF(OR(G85="",G85="eligible"),"No","Sí")</x:f>
        <x:v>No</x:v>
      </x:c>
      <x:c r="AL85" s="81" t="str"/>
    </x:row>
    <x:row r="86" ht="15" hidden="0" customHeight="1">
      <x:c r="A86" s="81" t="str"/>
      <x:c r="B86" s="81" t="str"/>
      <x:c r="C86" s="81" t="str"/>
      <x:c r="D86" s="81" t="str"/>
      <x:c r="E86" s="81" t="str"/>
      <x:c r="F86" s="81" t="str"/>
      <x:c r="G86" s="81" t="str"/>
      <x:c r="H86" s="81" t="str"/>
      <x:c r="I86" s="82" t="str"/>
      <x:c r="J86" s="82" t="str"/>
      <x:c r="K86" s="82" t="str"/>
      <x:c r="L86" s="82" t="str"/>
      <x:c r="M86" s="82" t="e">
        <x:f>IF(COUNTA(I86:L86)=0,"",AVERAGE(I86:L86))</x:f>
      </x:c>
      <x:c r="N86" s="82" t="str"/>
      <x:c r="O86" s="82" t="str"/>
      <x:c r="P86" s="82" t="str"/>
      <x:c r="Q86" s="82" t="str"/>
      <x:c r="R86" s="82" t="str"/>
      <x:c r="S86" s="82" t="str"/>
      <x:c r="T86" s="82" t="str"/>
      <x:c r="U86" s="82" t="str"/>
      <x:c r="V86" s="82" t="str"/>
      <x:c r="W86" s="82" t="str"/>
      <x:c r="X86" s="82" t="str"/>
      <x:c r="Y86" s="82" t="str"/>
      <x:c r="Z86" s="82" t="str"/>
      <x:c r="AA86" s="82" t="str"/>
      <x:c r="AB86" s="82" t="str">
        <x:f>IF(G86&lt;&gt;"eligible","",MAX(0,(0.30*M86)+(0.15*N86)+(0.15*O86)+(0.15*P86)+(0.05*Q86)+(0.10*R86)+(0.10*S86)+(0.05*T86)+(0.05*U86)+AA86-SUM(V86:Z86)))</x:f>
      </x:c>
      <x:c r="AC86" s="81" t="str">
        <x:f>IF(G86&lt;&gt;"eligible","excluded",IF(AB86&gt;=0.75,"overall_high_signal",IF(O86&gt;=0.75,"transformation_object",IF(OR(P86&gt;=0.75,Q86&gt;=0.75),"handoff_timer",IF(R86&gt;=0.75,"sync_governance",IF(T86&gt;=0.75,"pf_olc_risk","score_pool"))))))</x:f>
        <x:v>excluded</x:v>
      </x:c>
      <x:c r="AD86" s="81" t="str"/>
      <x:c r="AE86" s="81" t="str"/>
      <x:c r="AF86" s="81" t="str"/>
      <x:c r="AG86" s="81" t="str"/>
      <x:c r="AH86" s="81" t="str"/>
      <x:c r="AI86" s="81" t="str"/>
      <x:c r="AJ86" s="81" t="str"/>
      <x:c r="AK86" s="81" t="str">
        <x:f>IF(OR(G86="",G86="eligible"),"No","Sí")</x:f>
        <x:v>No</x:v>
      </x:c>
      <x:c r="AL86" s="81" t="str"/>
    </x:row>
    <x:row r="87" ht="15" hidden="0" customHeight="1">
      <x:c r="A87" s="81" t="str"/>
      <x:c r="B87" s="81" t="str"/>
      <x:c r="C87" s="81" t="str"/>
      <x:c r="D87" s="81" t="str"/>
      <x:c r="E87" s="81" t="str"/>
      <x:c r="F87" s="81" t="str"/>
      <x:c r="G87" s="81" t="str"/>
      <x:c r="H87" s="81" t="str"/>
      <x:c r="I87" s="82" t="str"/>
      <x:c r="J87" s="82" t="str"/>
      <x:c r="K87" s="82" t="str"/>
      <x:c r="L87" s="82" t="str"/>
      <x:c r="M87" s="82" t="e">
        <x:f>IF(COUNTA(I87:L87)=0,"",AVERAGE(I87:L87))</x:f>
      </x:c>
      <x:c r="N87" s="82" t="str"/>
      <x:c r="O87" s="82" t="str"/>
      <x:c r="P87" s="82" t="str"/>
      <x:c r="Q87" s="82" t="str"/>
      <x:c r="R87" s="82" t="str"/>
      <x:c r="S87" s="82" t="str"/>
      <x:c r="T87" s="82" t="str"/>
      <x:c r="U87" s="82" t="str"/>
      <x:c r="V87" s="82" t="str"/>
      <x:c r="W87" s="82" t="str"/>
      <x:c r="X87" s="82" t="str"/>
      <x:c r="Y87" s="82" t="str"/>
      <x:c r="Z87" s="82" t="str"/>
      <x:c r="AA87" s="82" t="str"/>
      <x:c r="AB87" s="82" t="str">
        <x:f>IF(G87&lt;&gt;"eligible","",MAX(0,(0.30*M87)+(0.15*N87)+(0.15*O87)+(0.15*P87)+(0.05*Q87)+(0.10*R87)+(0.10*S87)+(0.05*T87)+(0.05*U87)+AA87-SUM(V87:Z87)))</x:f>
      </x:c>
      <x:c r="AC87" s="81" t="str">
        <x:f>IF(G87&lt;&gt;"eligible","excluded",IF(AB87&gt;=0.75,"overall_high_signal",IF(O87&gt;=0.75,"transformation_object",IF(OR(P87&gt;=0.75,Q87&gt;=0.75),"handoff_timer",IF(R87&gt;=0.75,"sync_governance",IF(T87&gt;=0.75,"pf_olc_risk","score_pool"))))))</x:f>
        <x:v>excluded</x:v>
      </x:c>
      <x:c r="AD87" s="81" t="str"/>
      <x:c r="AE87" s="81" t="str"/>
      <x:c r="AF87" s="81" t="str"/>
      <x:c r="AG87" s="81" t="str"/>
      <x:c r="AH87" s="81" t="str"/>
      <x:c r="AI87" s="81" t="str"/>
      <x:c r="AJ87" s="81" t="str"/>
      <x:c r="AK87" s="81" t="str">
        <x:f>IF(OR(G87="",G87="eligible"),"No","Sí")</x:f>
        <x:v>No</x:v>
      </x:c>
      <x:c r="AL87" s="81" t="str"/>
    </x:row>
    <x:row r="88" ht="15" hidden="0" customHeight="1">
      <x:c r="A88" s="81" t="str"/>
      <x:c r="B88" s="81" t="str"/>
      <x:c r="C88" s="81" t="str"/>
      <x:c r="D88" s="81" t="str"/>
      <x:c r="E88" s="81" t="str"/>
      <x:c r="F88" s="81" t="str"/>
      <x:c r="G88" s="81" t="str"/>
      <x:c r="H88" s="81" t="str"/>
      <x:c r="I88" s="82" t="str"/>
      <x:c r="J88" s="82" t="str"/>
      <x:c r="K88" s="82" t="str"/>
      <x:c r="L88" s="82" t="str"/>
      <x:c r="M88" s="82" t="e">
        <x:f>IF(COUNTA(I88:L88)=0,"",AVERAGE(I88:L88))</x:f>
      </x:c>
      <x:c r="N88" s="82" t="str"/>
      <x:c r="O88" s="82" t="str"/>
      <x:c r="P88" s="82" t="str"/>
      <x:c r="Q88" s="82" t="str"/>
      <x:c r="R88" s="82" t="str"/>
      <x:c r="S88" s="82" t="str"/>
      <x:c r="T88" s="82" t="str"/>
      <x:c r="U88" s="82" t="str"/>
      <x:c r="V88" s="82" t="str"/>
      <x:c r="W88" s="82" t="str"/>
      <x:c r="X88" s="82" t="str"/>
      <x:c r="Y88" s="82" t="str"/>
      <x:c r="Z88" s="82" t="str"/>
      <x:c r="AA88" s="82" t="str"/>
      <x:c r="AB88" s="82" t="str">
        <x:f>IF(G88&lt;&gt;"eligible","",MAX(0,(0.30*M88)+(0.15*N88)+(0.15*O88)+(0.15*P88)+(0.05*Q88)+(0.10*R88)+(0.10*S88)+(0.05*T88)+(0.05*U88)+AA88-SUM(V88:Z88)))</x:f>
      </x:c>
      <x:c r="AC88" s="81" t="str">
        <x:f>IF(G88&lt;&gt;"eligible","excluded",IF(AB88&gt;=0.75,"overall_high_signal",IF(O88&gt;=0.75,"transformation_object",IF(OR(P88&gt;=0.75,Q88&gt;=0.75),"handoff_timer",IF(R88&gt;=0.75,"sync_governance",IF(T88&gt;=0.75,"pf_olc_risk","score_pool"))))))</x:f>
        <x:v>excluded</x:v>
      </x:c>
      <x:c r="AD88" s="81" t="str"/>
      <x:c r="AE88" s="81" t="str"/>
      <x:c r="AF88" s="81" t="str"/>
      <x:c r="AG88" s="81" t="str"/>
      <x:c r="AH88" s="81" t="str"/>
      <x:c r="AI88" s="81" t="str"/>
      <x:c r="AJ88" s="81" t="str"/>
      <x:c r="AK88" s="81" t="str">
        <x:f>IF(OR(G88="",G88="eligible"),"No","Sí")</x:f>
        <x:v>No</x:v>
      </x:c>
      <x:c r="AL88" s="81" t="str"/>
    </x:row>
    <x:row r="89" ht="15" hidden="0" customHeight="1">
      <x:c r="A89" s="81" t="str"/>
      <x:c r="B89" s="81" t="str"/>
      <x:c r="C89" s="81" t="str"/>
      <x:c r="D89" s="81" t="str"/>
      <x:c r="E89" s="81" t="str"/>
      <x:c r="F89" s="81" t="str"/>
      <x:c r="G89" s="81" t="str"/>
      <x:c r="H89" s="81" t="str"/>
      <x:c r="I89" s="82" t="str"/>
      <x:c r="J89" s="82" t="str"/>
      <x:c r="K89" s="82" t="str"/>
      <x:c r="L89" s="82" t="str"/>
      <x:c r="M89" s="82" t="e">
        <x:f>IF(COUNTA(I89:L89)=0,"",AVERAGE(I89:L89))</x:f>
      </x:c>
      <x:c r="N89" s="82" t="str"/>
      <x:c r="O89" s="82" t="str"/>
      <x:c r="P89" s="82" t="str"/>
      <x:c r="Q89" s="82" t="str"/>
      <x:c r="R89" s="82" t="str"/>
      <x:c r="S89" s="82" t="str"/>
      <x:c r="T89" s="82" t="str"/>
      <x:c r="U89" s="82" t="str"/>
      <x:c r="V89" s="82" t="str"/>
      <x:c r="W89" s="82" t="str"/>
      <x:c r="X89" s="82" t="str"/>
      <x:c r="Y89" s="82" t="str"/>
      <x:c r="Z89" s="82" t="str"/>
      <x:c r="AA89" s="82" t="str"/>
      <x:c r="AB89" s="82" t="str">
        <x:f>IF(G89&lt;&gt;"eligible","",MAX(0,(0.30*M89)+(0.15*N89)+(0.15*O89)+(0.15*P89)+(0.05*Q89)+(0.10*R89)+(0.10*S89)+(0.05*T89)+(0.05*U89)+AA89-SUM(V89:Z89)))</x:f>
      </x:c>
      <x:c r="AC89" s="81" t="str">
        <x:f>IF(G89&lt;&gt;"eligible","excluded",IF(AB89&gt;=0.75,"overall_high_signal",IF(O89&gt;=0.75,"transformation_object",IF(OR(P89&gt;=0.75,Q89&gt;=0.75),"handoff_timer",IF(R89&gt;=0.75,"sync_governance",IF(T89&gt;=0.75,"pf_olc_risk","score_pool"))))))</x:f>
        <x:v>excluded</x:v>
      </x:c>
      <x:c r="AD89" s="81" t="str"/>
      <x:c r="AE89" s="81" t="str"/>
      <x:c r="AF89" s="81" t="str"/>
      <x:c r="AG89" s="81" t="str"/>
      <x:c r="AH89" s="81" t="str"/>
      <x:c r="AI89" s="81" t="str"/>
      <x:c r="AJ89" s="81" t="str"/>
      <x:c r="AK89" s="81" t="str">
        <x:f>IF(OR(G89="",G89="eligible"),"No","Sí")</x:f>
        <x:v>No</x:v>
      </x:c>
      <x:c r="AL89" s="81" t="str"/>
    </x:row>
    <x:row r="90" ht="15" hidden="0" customHeight="1">
      <x:c r="A90" s="81" t="str"/>
      <x:c r="B90" s="81" t="str"/>
      <x:c r="C90" s="81" t="str"/>
      <x:c r="D90" s="81" t="str"/>
      <x:c r="E90" s="81" t="str"/>
      <x:c r="F90" s="81" t="str"/>
      <x:c r="G90" s="81" t="str"/>
      <x:c r="H90" s="81" t="str"/>
      <x:c r="I90" s="82" t="str"/>
      <x:c r="J90" s="82" t="str"/>
      <x:c r="K90" s="82" t="str"/>
      <x:c r="L90" s="82" t="str"/>
      <x:c r="M90" s="82" t="e">
        <x:f>IF(COUNTA(I90:L90)=0,"",AVERAGE(I90:L90))</x:f>
      </x:c>
      <x:c r="N90" s="82" t="str"/>
      <x:c r="O90" s="82" t="str"/>
      <x:c r="P90" s="82" t="str"/>
      <x:c r="Q90" s="82" t="str"/>
      <x:c r="R90" s="82" t="str"/>
      <x:c r="S90" s="82" t="str"/>
      <x:c r="T90" s="82" t="str"/>
      <x:c r="U90" s="82" t="str"/>
      <x:c r="V90" s="82" t="str"/>
      <x:c r="W90" s="82" t="str"/>
      <x:c r="X90" s="82" t="str"/>
      <x:c r="Y90" s="82" t="str"/>
      <x:c r="Z90" s="82" t="str"/>
      <x:c r="AA90" s="82" t="str"/>
      <x:c r="AB90" s="82" t="str">
        <x:f>IF(G90&lt;&gt;"eligible","",MAX(0,(0.30*M90)+(0.15*N90)+(0.15*O90)+(0.15*P90)+(0.05*Q90)+(0.10*R90)+(0.10*S90)+(0.05*T90)+(0.05*U90)+AA90-SUM(V90:Z90)))</x:f>
      </x:c>
      <x:c r="AC90" s="81" t="str">
        <x:f>IF(G90&lt;&gt;"eligible","excluded",IF(AB90&gt;=0.75,"overall_high_signal",IF(O90&gt;=0.75,"transformation_object",IF(OR(P90&gt;=0.75,Q90&gt;=0.75),"handoff_timer",IF(R90&gt;=0.75,"sync_governance",IF(T90&gt;=0.75,"pf_olc_risk","score_pool"))))))</x:f>
        <x:v>excluded</x:v>
      </x:c>
      <x:c r="AD90" s="81" t="str"/>
      <x:c r="AE90" s="81" t="str"/>
      <x:c r="AF90" s="81" t="str"/>
      <x:c r="AG90" s="81" t="str"/>
      <x:c r="AH90" s="81" t="str"/>
      <x:c r="AI90" s="81" t="str"/>
      <x:c r="AJ90" s="81" t="str"/>
      <x:c r="AK90" s="81" t="str">
        <x:f>IF(OR(G90="",G90="eligible"),"No","Sí")</x:f>
        <x:v>No</x:v>
      </x:c>
      <x:c r="AL90" s="81" t="str"/>
    </x:row>
    <x:row r="91" ht="15" hidden="0" customHeight="1">
      <x:c r="A91" s="81" t="str"/>
      <x:c r="B91" s="81" t="str"/>
      <x:c r="C91" s="81" t="str"/>
      <x:c r="D91" s="81" t="str"/>
      <x:c r="E91" s="81" t="str"/>
      <x:c r="F91" s="81" t="str"/>
      <x:c r="G91" s="81" t="str"/>
      <x:c r="H91" s="81" t="str"/>
      <x:c r="I91" s="82" t="str"/>
      <x:c r="J91" s="82" t="str"/>
      <x:c r="K91" s="82" t="str"/>
      <x:c r="L91" s="82" t="str"/>
      <x:c r="M91" s="82" t="e">
        <x:f>IF(COUNTA(I91:L91)=0,"",AVERAGE(I91:L91))</x:f>
      </x:c>
      <x:c r="N91" s="82" t="str"/>
      <x:c r="O91" s="82" t="str"/>
      <x:c r="P91" s="82" t="str"/>
      <x:c r="Q91" s="82" t="str"/>
      <x:c r="R91" s="82" t="str"/>
      <x:c r="S91" s="82" t="str"/>
      <x:c r="T91" s="82" t="str"/>
      <x:c r="U91" s="82" t="str"/>
      <x:c r="V91" s="82" t="str"/>
      <x:c r="W91" s="82" t="str"/>
      <x:c r="X91" s="82" t="str"/>
      <x:c r="Y91" s="82" t="str"/>
      <x:c r="Z91" s="82" t="str"/>
      <x:c r="AA91" s="82" t="str"/>
      <x:c r="AB91" s="82" t="str">
        <x:f>IF(G91&lt;&gt;"eligible","",MAX(0,(0.30*M91)+(0.15*N91)+(0.15*O91)+(0.15*P91)+(0.05*Q91)+(0.10*R91)+(0.10*S91)+(0.05*T91)+(0.05*U91)+AA91-SUM(V91:Z91)))</x:f>
      </x:c>
      <x:c r="AC91" s="81" t="str">
        <x:f>IF(G91&lt;&gt;"eligible","excluded",IF(AB91&gt;=0.75,"overall_high_signal",IF(O91&gt;=0.75,"transformation_object",IF(OR(P91&gt;=0.75,Q91&gt;=0.75),"handoff_timer",IF(R91&gt;=0.75,"sync_governance",IF(T91&gt;=0.75,"pf_olc_risk","score_pool"))))))</x:f>
        <x:v>excluded</x:v>
      </x:c>
      <x:c r="AD91" s="81" t="str"/>
      <x:c r="AE91" s="81" t="str"/>
      <x:c r="AF91" s="81" t="str"/>
      <x:c r="AG91" s="81" t="str"/>
      <x:c r="AH91" s="81" t="str"/>
      <x:c r="AI91" s="81" t="str"/>
      <x:c r="AJ91" s="81" t="str"/>
      <x:c r="AK91" s="81" t="str">
        <x:f>IF(OR(G91="",G91="eligible"),"No","Sí")</x:f>
        <x:v>No</x:v>
      </x:c>
      <x:c r="AL91" s="81" t="str"/>
    </x:row>
    <x:row r="92" ht="15" hidden="0" customHeight="1">
      <x:c r="A92" s="81" t="str"/>
      <x:c r="B92" s="81" t="str"/>
      <x:c r="C92" s="81" t="str"/>
      <x:c r="D92" s="81" t="str"/>
      <x:c r="E92" s="81" t="str"/>
      <x:c r="F92" s="81" t="str"/>
      <x:c r="G92" s="81" t="str"/>
      <x:c r="H92" s="81" t="str"/>
      <x:c r="I92" s="82" t="str"/>
      <x:c r="J92" s="82" t="str"/>
      <x:c r="K92" s="82" t="str"/>
      <x:c r="L92" s="82" t="str"/>
      <x:c r="M92" s="82" t="e">
        <x:f>IF(COUNTA(I92:L92)=0,"",AVERAGE(I92:L92))</x:f>
      </x:c>
      <x:c r="N92" s="82" t="str"/>
      <x:c r="O92" s="82" t="str"/>
      <x:c r="P92" s="82" t="str"/>
      <x:c r="Q92" s="82" t="str"/>
      <x:c r="R92" s="82" t="str"/>
      <x:c r="S92" s="82" t="str"/>
      <x:c r="T92" s="82" t="str"/>
      <x:c r="U92" s="82" t="str"/>
      <x:c r="V92" s="82" t="str"/>
      <x:c r="W92" s="82" t="str"/>
      <x:c r="X92" s="82" t="str"/>
      <x:c r="Y92" s="82" t="str"/>
      <x:c r="Z92" s="82" t="str"/>
      <x:c r="AA92" s="82" t="str"/>
      <x:c r="AB92" s="82" t="str">
        <x:f>IF(G92&lt;&gt;"eligible","",MAX(0,(0.30*M92)+(0.15*N92)+(0.15*O92)+(0.15*P92)+(0.05*Q92)+(0.10*R92)+(0.10*S92)+(0.05*T92)+(0.05*U92)+AA92-SUM(V92:Z92)))</x:f>
      </x:c>
      <x:c r="AC92" s="81" t="str">
        <x:f>IF(G92&lt;&gt;"eligible","excluded",IF(AB92&gt;=0.75,"overall_high_signal",IF(O92&gt;=0.75,"transformation_object",IF(OR(P92&gt;=0.75,Q92&gt;=0.75),"handoff_timer",IF(R92&gt;=0.75,"sync_governance",IF(T92&gt;=0.75,"pf_olc_risk","score_pool"))))))</x:f>
        <x:v>excluded</x:v>
      </x:c>
      <x:c r="AD92" s="81" t="str"/>
      <x:c r="AE92" s="81" t="str"/>
      <x:c r="AF92" s="81" t="str"/>
      <x:c r="AG92" s="81" t="str"/>
      <x:c r="AH92" s="81" t="str"/>
      <x:c r="AI92" s="81" t="str"/>
      <x:c r="AJ92" s="81" t="str"/>
      <x:c r="AK92" s="81" t="str">
        <x:f>IF(OR(G92="",G92="eligible"),"No","Sí")</x:f>
        <x:v>No</x:v>
      </x:c>
      <x:c r="AL92" s="81" t="str"/>
    </x:row>
    <x:row r="93" ht="15" hidden="0" customHeight="1">
      <x:c r="A93" s="81" t="str"/>
      <x:c r="B93" s="81" t="str"/>
      <x:c r="C93" s="81" t="str"/>
      <x:c r="D93" s="81" t="str"/>
      <x:c r="E93" s="81" t="str"/>
      <x:c r="F93" s="81" t="str"/>
      <x:c r="G93" s="81" t="str"/>
      <x:c r="H93" s="81" t="str"/>
      <x:c r="I93" s="82" t="str"/>
      <x:c r="J93" s="82" t="str"/>
      <x:c r="K93" s="82" t="str"/>
      <x:c r="L93" s="82" t="str"/>
      <x:c r="M93" s="82" t="e">
        <x:f>IF(COUNTA(I93:L93)=0,"",AVERAGE(I93:L93))</x:f>
      </x:c>
      <x:c r="N93" s="82" t="str"/>
      <x:c r="O93" s="82" t="str"/>
      <x:c r="P93" s="82" t="str"/>
      <x:c r="Q93" s="82" t="str"/>
      <x:c r="R93" s="82" t="str"/>
      <x:c r="S93" s="82" t="str"/>
      <x:c r="T93" s="82" t="str"/>
      <x:c r="U93" s="82" t="str"/>
      <x:c r="V93" s="82" t="str"/>
      <x:c r="W93" s="82" t="str"/>
      <x:c r="X93" s="82" t="str"/>
      <x:c r="Y93" s="82" t="str"/>
      <x:c r="Z93" s="82" t="str"/>
      <x:c r="AA93" s="82" t="str"/>
      <x:c r="AB93" s="82" t="str">
        <x:f>IF(G93&lt;&gt;"eligible","",MAX(0,(0.30*M93)+(0.15*N93)+(0.15*O93)+(0.15*P93)+(0.05*Q93)+(0.10*R93)+(0.10*S93)+(0.05*T93)+(0.05*U93)+AA93-SUM(V93:Z93)))</x:f>
      </x:c>
      <x:c r="AC93" s="81" t="str">
        <x:f>IF(G93&lt;&gt;"eligible","excluded",IF(AB93&gt;=0.75,"overall_high_signal",IF(O93&gt;=0.75,"transformation_object",IF(OR(P93&gt;=0.75,Q93&gt;=0.75),"handoff_timer",IF(R93&gt;=0.75,"sync_governance",IF(T93&gt;=0.75,"pf_olc_risk","score_pool"))))))</x:f>
        <x:v>excluded</x:v>
      </x:c>
      <x:c r="AD93" s="81" t="str"/>
      <x:c r="AE93" s="81" t="str"/>
      <x:c r="AF93" s="81" t="str"/>
      <x:c r="AG93" s="81" t="str"/>
      <x:c r="AH93" s="81" t="str"/>
      <x:c r="AI93" s="81" t="str"/>
      <x:c r="AJ93" s="81" t="str"/>
      <x:c r="AK93" s="81" t="str">
        <x:f>IF(OR(G93="",G93="eligible"),"No","Sí")</x:f>
        <x:v>No</x:v>
      </x:c>
      <x:c r="AL93" s="81" t="str"/>
    </x:row>
    <x:row r="94" ht="15" hidden="0" customHeight="1">
      <x:c r="A94" s="81" t="str"/>
      <x:c r="B94" s="81" t="str"/>
      <x:c r="C94" s="81" t="str"/>
      <x:c r="D94" s="81" t="str"/>
      <x:c r="E94" s="81" t="str"/>
      <x:c r="F94" s="81" t="str"/>
      <x:c r="G94" s="81" t="str"/>
      <x:c r="H94" s="81" t="str"/>
      <x:c r="I94" s="82" t="str"/>
      <x:c r="J94" s="82" t="str"/>
      <x:c r="K94" s="82" t="str"/>
      <x:c r="L94" s="82" t="str"/>
      <x:c r="M94" s="82" t="e">
        <x:f>IF(COUNTA(I94:L94)=0,"",AVERAGE(I94:L94))</x:f>
      </x:c>
      <x:c r="N94" s="82" t="str"/>
      <x:c r="O94" s="82" t="str"/>
      <x:c r="P94" s="82" t="str"/>
      <x:c r="Q94" s="82" t="str"/>
      <x:c r="R94" s="82" t="str"/>
      <x:c r="S94" s="82" t="str"/>
      <x:c r="T94" s="82" t="str"/>
      <x:c r="U94" s="82" t="str"/>
      <x:c r="V94" s="82" t="str"/>
      <x:c r="W94" s="82" t="str"/>
      <x:c r="X94" s="82" t="str"/>
      <x:c r="Y94" s="82" t="str"/>
      <x:c r="Z94" s="82" t="str"/>
      <x:c r="AA94" s="82" t="str"/>
      <x:c r="AB94" s="82" t="str">
        <x:f>IF(G94&lt;&gt;"eligible","",MAX(0,(0.30*M94)+(0.15*N94)+(0.15*O94)+(0.15*P94)+(0.05*Q94)+(0.10*R94)+(0.10*S94)+(0.05*T94)+(0.05*U94)+AA94-SUM(V94:Z94)))</x:f>
      </x:c>
      <x:c r="AC94" s="81" t="str">
        <x:f>IF(G94&lt;&gt;"eligible","excluded",IF(AB94&gt;=0.75,"overall_high_signal",IF(O94&gt;=0.75,"transformation_object",IF(OR(P94&gt;=0.75,Q94&gt;=0.75),"handoff_timer",IF(R94&gt;=0.75,"sync_governance",IF(T94&gt;=0.75,"pf_olc_risk","score_pool"))))))</x:f>
        <x:v>excluded</x:v>
      </x:c>
      <x:c r="AD94" s="81" t="str"/>
      <x:c r="AE94" s="81" t="str"/>
      <x:c r="AF94" s="81" t="str"/>
      <x:c r="AG94" s="81" t="str"/>
      <x:c r="AH94" s="81" t="str"/>
      <x:c r="AI94" s="81" t="str"/>
      <x:c r="AJ94" s="81" t="str"/>
      <x:c r="AK94" s="81" t="str">
        <x:f>IF(OR(G94="",G94="eligible"),"No","Sí")</x:f>
        <x:v>No</x:v>
      </x:c>
      <x:c r="AL94" s="81" t="str"/>
    </x:row>
    <x:row r="95" ht="15" hidden="0" customHeight="1">
      <x:c r="A95" s="81" t="str"/>
      <x:c r="B95" s="81" t="str"/>
      <x:c r="C95" s="81" t="str"/>
      <x:c r="D95" s="81" t="str"/>
      <x:c r="E95" s="81" t="str"/>
      <x:c r="F95" s="81" t="str"/>
      <x:c r="G95" s="81" t="str"/>
      <x:c r="H95" s="81" t="str"/>
      <x:c r="I95" s="82" t="str"/>
      <x:c r="J95" s="82" t="str"/>
      <x:c r="K95" s="82" t="str"/>
      <x:c r="L95" s="82" t="str"/>
      <x:c r="M95" s="82" t="e">
        <x:f>IF(COUNTA(I95:L95)=0,"",AVERAGE(I95:L95))</x:f>
      </x:c>
      <x:c r="N95" s="82" t="str"/>
      <x:c r="O95" s="82" t="str"/>
      <x:c r="P95" s="82" t="str"/>
      <x:c r="Q95" s="82" t="str"/>
      <x:c r="R95" s="82" t="str"/>
      <x:c r="S95" s="82" t="str"/>
      <x:c r="T95" s="82" t="str"/>
      <x:c r="U95" s="82" t="str"/>
      <x:c r="V95" s="82" t="str"/>
      <x:c r="W95" s="82" t="str"/>
      <x:c r="X95" s="82" t="str"/>
      <x:c r="Y95" s="82" t="str"/>
      <x:c r="Z95" s="82" t="str"/>
      <x:c r="AA95" s="82" t="str"/>
      <x:c r="AB95" s="82" t="str">
        <x:f>IF(G95&lt;&gt;"eligible","",MAX(0,(0.30*M95)+(0.15*N95)+(0.15*O95)+(0.15*P95)+(0.05*Q95)+(0.10*R95)+(0.10*S95)+(0.05*T95)+(0.05*U95)+AA95-SUM(V95:Z95)))</x:f>
      </x:c>
      <x:c r="AC95" s="81" t="str">
        <x:f>IF(G95&lt;&gt;"eligible","excluded",IF(AB95&gt;=0.75,"overall_high_signal",IF(O95&gt;=0.75,"transformation_object",IF(OR(P95&gt;=0.75,Q95&gt;=0.75),"handoff_timer",IF(R95&gt;=0.75,"sync_governance",IF(T95&gt;=0.75,"pf_olc_risk","score_pool"))))))</x:f>
        <x:v>excluded</x:v>
      </x:c>
      <x:c r="AD95" s="81" t="str"/>
      <x:c r="AE95" s="81" t="str"/>
      <x:c r="AF95" s="81" t="str"/>
      <x:c r="AG95" s="81" t="str"/>
      <x:c r="AH95" s="81" t="str"/>
      <x:c r="AI95" s="81" t="str"/>
      <x:c r="AJ95" s="81" t="str"/>
      <x:c r="AK95" s="81" t="str">
        <x:f>IF(OR(G95="",G95="eligible"),"No","Sí")</x:f>
        <x:v>No</x:v>
      </x:c>
      <x:c r="AL95" s="81" t="str"/>
    </x:row>
    <x:row r="96" ht="15" hidden="0" customHeight="1">
      <x:c r="A96" s="81" t="str"/>
      <x:c r="B96" s="81" t="str"/>
      <x:c r="C96" s="81" t="str"/>
      <x:c r="D96" s="81" t="str"/>
      <x:c r="E96" s="81" t="str"/>
      <x:c r="F96" s="81" t="str"/>
      <x:c r="G96" s="81" t="str"/>
      <x:c r="H96" s="81" t="str"/>
      <x:c r="I96" s="82" t="str"/>
      <x:c r="J96" s="82" t="str"/>
      <x:c r="K96" s="82" t="str"/>
      <x:c r="L96" s="82" t="str"/>
      <x:c r="M96" s="82" t="e">
        <x:f>IF(COUNTA(I96:L96)=0,"",AVERAGE(I96:L96))</x:f>
      </x:c>
      <x:c r="N96" s="82" t="str"/>
      <x:c r="O96" s="82" t="str"/>
      <x:c r="P96" s="82" t="str"/>
      <x:c r="Q96" s="82" t="str"/>
      <x:c r="R96" s="82" t="str"/>
      <x:c r="S96" s="82" t="str"/>
      <x:c r="T96" s="82" t="str"/>
      <x:c r="U96" s="82" t="str"/>
      <x:c r="V96" s="82" t="str"/>
      <x:c r="W96" s="82" t="str"/>
      <x:c r="X96" s="82" t="str"/>
      <x:c r="Y96" s="82" t="str"/>
      <x:c r="Z96" s="82" t="str"/>
      <x:c r="AA96" s="82" t="str"/>
      <x:c r="AB96" s="82" t="str">
        <x:f>IF(G96&lt;&gt;"eligible","",MAX(0,(0.30*M96)+(0.15*N96)+(0.15*O96)+(0.15*P96)+(0.05*Q96)+(0.10*R96)+(0.10*S96)+(0.05*T96)+(0.05*U96)+AA96-SUM(V96:Z96)))</x:f>
      </x:c>
      <x:c r="AC96" s="81" t="str">
        <x:f>IF(G96&lt;&gt;"eligible","excluded",IF(AB96&gt;=0.75,"overall_high_signal",IF(O96&gt;=0.75,"transformation_object",IF(OR(P96&gt;=0.75,Q96&gt;=0.75),"handoff_timer",IF(R96&gt;=0.75,"sync_governance",IF(T96&gt;=0.75,"pf_olc_risk","score_pool"))))))</x:f>
        <x:v>excluded</x:v>
      </x:c>
      <x:c r="AD96" s="81" t="str"/>
      <x:c r="AE96" s="81" t="str"/>
      <x:c r="AF96" s="81" t="str"/>
      <x:c r="AG96" s="81" t="str"/>
      <x:c r="AH96" s="81" t="str"/>
      <x:c r="AI96" s="81" t="str"/>
      <x:c r="AJ96" s="81" t="str"/>
      <x:c r="AK96" s="81" t="str">
        <x:f>IF(OR(G96="",G96="eligible"),"No","Sí")</x:f>
        <x:v>No</x:v>
      </x:c>
      <x:c r="AL96" s="81" t="str"/>
    </x:row>
    <x:row r="97" ht="15" hidden="0" customHeight="1">
      <x:c r="A97" s="81" t="str"/>
      <x:c r="B97" s="81" t="str"/>
      <x:c r="C97" s="81" t="str"/>
      <x:c r="D97" s="81" t="str"/>
      <x:c r="E97" s="81" t="str"/>
      <x:c r="F97" s="81" t="str"/>
      <x:c r="G97" s="81" t="str"/>
      <x:c r="H97" s="81" t="str"/>
      <x:c r="I97" s="82" t="str"/>
      <x:c r="J97" s="82" t="str"/>
      <x:c r="K97" s="82" t="str"/>
      <x:c r="L97" s="82" t="str"/>
      <x:c r="M97" s="82" t="e">
        <x:f>IF(COUNTA(I97:L97)=0,"",AVERAGE(I97:L97))</x:f>
      </x:c>
      <x:c r="N97" s="82" t="str"/>
      <x:c r="O97" s="82" t="str"/>
      <x:c r="P97" s="82" t="str"/>
      <x:c r="Q97" s="82" t="str"/>
      <x:c r="R97" s="82" t="str"/>
      <x:c r="S97" s="82" t="str"/>
      <x:c r="T97" s="82" t="str"/>
      <x:c r="U97" s="82" t="str"/>
      <x:c r="V97" s="82" t="str"/>
      <x:c r="W97" s="82" t="str"/>
      <x:c r="X97" s="82" t="str"/>
      <x:c r="Y97" s="82" t="str"/>
      <x:c r="Z97" s="82" t="str"/>
      <x:c r="AA97" s="82" t="str"/>
      <x:c r="AB97" s="82" t="str">
        <x:f>IF(G97&lt;&gt;"eligible","",MAX(0,(0.30*M97)+(0.15*N97)+(0.15*O97)+(0.15*P97)+(0.05*Q97)+(0.10*R97)+(0.10*S97)+(0.05*T97)+(0.05*U97)+AA97-SUM(V97:Z97)))</x:f>
      </x:c>
      <x:c r="AC97" s="81" t="str">
        <x:f>IF(G97&lt;&gt;"eligible","excluded",IF(AB97&gt;=0.75,"overall_high_signal",IF(O97&gt;=0.75,"transformation_object",IF(OR(P97&gt;=0.75,Q97&gt;=0.75),"handoff_timer",IF(R97&gt;=0.75,"sync_governance",IF(T97&gt;=0.75,"pf_olc_risk","score_pool"))))))</x:f>
        <x:v>excluded</x:v>
      </x:c>
      <x:c r="AD97" s="81" t="str"/>
      <x:c r="AE97" s="81" t="str"/>
      <x:c r="AF97" s="81" t="str"/>
      <x:c r="AG97" s="81" t="str"/>
      <x:c r="AH97" s="81" t="str"/>
      <x:c r="AI97" s="81" t="str"/>
      <x:c r="AJ97" s="81" t="str"/>
      <x:c r="AK97" s="81" t="str">
        <x:f>IF(OR(G97="",G97="eligible"),"No","Sí")</x:f>
        <x:v>No</x:v>
      </x:c>
      <x:c r="AL97" s="81" t="str"/>
    </x:row>
    <x:row r="98" ht="15" hidden="0" customHeight="1">
      <x:c r="A98" s="81" t="str"/>
      <x:c r="B98" s="81" t="str"/>
      <x:c r="C98" s="81" t="str"/>
      <x:c r="D98" s="81" t="str"/>
      <x:c r="E98" s="81" t="str"/>
      <x:c r="F98" s="81" t="str"/>
      <x:c r="G98" s="81" t="str"/>
      <x:c r="H98" s="81" t="str"/>
      <x:c r="I98" s="82" t="str"/>
      <x:c r="J98" s="82" t="str"/>
      <x:c r="K98" s="82" t="str"/>
      <x:c r="L98" s="82" t="str"/>
      <x:c r="M98" s="82" t="e">
        <x:f>IF(COUNTA(I98:L98)=0,"",AVERAGE(I98:L98))</x:f>
      </x:c>
      <x:c r="N98" s="82" t="str"/>
      <x:c r="O98" s="82" t="str"/>
      <x:c r="P98" s="82" t="str"/>
      <x:c r="Q98" s="82" t="str"/>
      <x:c r="R98" s="82" t="str"/>
      <x:c r="S98" s="82" t="str"/>
      <x:c r="T98" s="82" t="str"/>
      <x:c r="U98" s="82" t="str"/>
      <x:c r="V98" s="82" t="str"/>
      <x:c r="W98" s="82" t="str"/>
      <x:c r="X98" s="82" t="str"/>
      <x:c r="Y98" s="82" t="str"/>
      <x:c r="Z98" s="82" t="str"/>
      <x:c r="AA98" s="82" t="str"/>
      <x:c r="AB98" s="82" t="str">
        <x:f>IF(G98&lt;&gt;"eligible","",MAX(0,(0.30*M98)+(0.15*N98)+(0.15*O98)+(0.15*P98)+(0.05*Q98)+(0.10*R98)+(0.10*S98)+(0.05*T98)+(0.05*U98)+AA98-SUM(V98:Z98)))</x:f>
      </x:c>
      <x:c r="AC98" s="81" t="str">
        <x:f>IF(G98&lt;&gt;"eligible","excluded",IF(AB98&gt;=0.75,"overall_high_signal",IF(O98&gt;=0.75,"transformation_object",IF(OR(P98&gt;=0.75,Q98&gt;=0.75),"handoff_timer",IF(R98&gt;=0.75,"sync_governance",IF(T98&gt;=0.75,"pf_olc_risk","score_pool"))))))</x:f>
        <x:v>excluded</x:v>
      </x:c>
      <x:c r="AD98" s="81" t="str"/>
      <x:c r="AE98" s="81" t="str"/>
      <x:c r="AF98" s="81" t="str"/>
      <x:c r="AG98" s="81" t="str"/>
      <x:c r="AH98" s="81" t="str"/>
      <x:c r="AI98" s="81" t="str"/>
      <x:c r="AJ98" s="81" t="str"/>
      <x:c r="AK98" s="81" t="str">
        <x:f>IF(OR(G98="",G98="eligible"),"No","Sí")</x:f>
        <x:v>No</x:v>
      </x:c>
      <x:c r="AL98" s="81" t="str"/>
    </x:row>
    <x:row r="99" ht="15" hidden="0" customHeight="1">
      <x:c r="A99" s="81" t="str"/>
      <x:c r="B99" s="81" t="str"/>
      <x:c r="C99" s="81" t="str"/>
      <x:c r="D99" s="81" t="str"/>
      <x:c r="E99" s="81" t="str"/>
      <x:c r="F99" s="81" t="str"/>
      <x:c r="G99" s="81" t="str"/>
      <x:c r="H99" s="81" t="str"/>
      <x:c r="I99" s="82" t="str"/>
      <x:c r="J99" s="82" t="str"/>
      <x:c r="K99" s="82" t="str"/>
      <x:c r="L99" s="82" t="str"/>
      <x:c r="M99" s="82" t="e">
        <x:f>IF(COUNTA(I99:L99)=0,"",AVERAGE(I99:L99))</x:f>
      </x:c>
      <x:c r="N99" s="82" t="str"/>
      <x:c r="O99" s="82" t="str"/>
      <x:c r="P99" s="82" t="str"/>
      <x:c r="Q99" s="82" t="str"/>
      <x:c r="R99" s="82" t="str"/>
      <x:c r="S99" s="82" t="str"/>
      <x:c r="T99" s="82" t="str"/>
      <x:c r="U99" s="82" t="str"/>
      <x:c r="V99" s="82" t="str"/>
      <x:c r="W99" s="82" t="str"/>
      <x:c r="X99" s="82" t="str"/>
      <x:c r="Y99" s="82" t="str"/>
      <x:c r="Z99" s="82" t="str"/>
      <x:c r="AA99" s="82" t="str"/>
      <x:c r="AB99" s="82" t="str">
        <x:f>IF(G99&lt;&gt;"eligible","",MAX(0,(0.30*M99)+(0.15*N99)+(0.15*O99)+(0.15*P99)+(0.05*Q99)+(0.10*R99)+(0.10*S99)+(0.05*T99)+(0.05*U99)+AA99-SUM(V99:Z99)))</x:f>
      </x:c>
      <x:c r="AC99" s="81" t="str">
        <x:f>IF(G99&lt;&gt;"eligible","excluded",IF(AB99&gt;=0.75,"overall_high_signal",IF(O99&gt;=0.75,"transformation_object",IF(OR(P99&gt;=0.75,Q99&gt;=0.75),"handoff_timer",IF(R99&gt;=0.75,"sync_governance",IF(T99&gt;=0.75,"pf_olc_risk","score_pool"))))))</x:f>
        <x:v>excluded</x:v>
      </x:c>
      <x:c r="AD99" s="81" t="str"/>
      <x:c r="AE99" s="81" t="str"/>
      <x:c r="AF99" s="81" t="str"/>
      <x:c r="AG99" s="81" t="str"/>
      <x:c r="AH99" s="81" t="str"/>
      <x:c r="AI99" s="81" t="str"/>
      <x:c r="AJ99" s="81" t="str"/>
      <x:c r="AK99" s="81" t="str">
        <x:f>IF(OR(G99="",G99="eligible"),"No","Sí")</x:f>
        <x:v>No</x:v>
      </x:c>
      <x:c r="AL99" s="81" t="str"/>
    </x:row>
    <x:row r="100" ht="15" hidden="0" customHeight="1">
      <x:c r="A100" s="81" t="str"/>
      <x:c r="B100" s="81" t="str"/>
      <x:c r="C100" s="81" t="str"/>
      <x:c r="D100" s="81" t="str"/>
      <x:c r="E100" s="81" t="str"/>
      <x:c r="F100" s="81" t="str"/>
      <x:c r="G100" s="81" t="str"/>
      <x:c r="H100" s="81" t="str"/>
      <x:c r="I100" s="82" t="str"/>
      <x:c r="J100" s="82" t="str"/>
      <x:c r="K100" s="82" t="str"/>
      <x:c r="L100" s="82" t="str"/>
      <x:c r="M100" s="82" t="e">
        <x:f>IF(COUNTA(I100:L100)=0,"",AVERAGE(I100:L100))</x:f>
      </x:c>
      <x:c r="N100" s="82" t="str"/>
      <x:c r="O100" s="82" t="str"/>
      <x:c r="P100" s="82" t="str"/>
      <x:c r="Q100" s="82" t="str"/>
      <x:c r="R100" s="82" t="str"/>
      <x:c r="S100" s="82" t="str"/>
      <x:c r="T100" s="82" t="str"/>
      <x:c r="U100" s="82" t="str"/>
      <x:c r="V100" s="82" t="str"/>
      <x:c r="W100" s="82" t="str"/>
      <x:c r="X100" s="82" t="str"/>
      <x:c r="Y100" s="82" t="str"/>
      <x:c r="Z100" s="82" t="str"/>
      <x:c r="AA100" s="82" t="str"/>
      <x:c r="AB100" s="82" t="str">
        <x:f>IF(G100&lt;&gt;"eligible","",MAX(0,(0.30*M100)+(0.15*N100)+(0.15*O100)+(0.15*P100)+(0.05*Q100)+(0.10*R100)+(0.10*S100)+(0.05*T100)+(0.05*U100)+AA100-SUM(V100:Z100)))</x:f>
      </x:c>
      <x:c r="AC100" s="81" t="str">
        <x:f>IF(G100&lt;&gt;"eligible","excluded",IF(AB100&gt;=0.75,"overall_high_signal",IF(O100&gt;=0.75,"transformation_object",IF(OR(P100&gt;=0.75,Q100&gt;=0.75),"handoff_timer",IF(R100&gt;=0.75,"sync_governance",IF(T100&gt;=0.75,"pf_olc_risk","score_pool"))))))</x:f>
        <x:v>excluded</x:v>
      </x:c>
      <x:c r="AD100" s="81" t="str"/>
      <x:c r="AE100" s="81" t="str"/>
      <x:c r="AF100" s="81" t="str"/>
      <x:c r="AG100" s="81" t="str"/>
      <x:c r="AH100" s="81" t="str"/>
      <x:c r="AI100" s="81" t="str"/>
      <x:c r="AJ100" s="81" t="str"/>
      <x:c r="AK100" s="81" t="str">
        <x:f>IF(OR(G100="",G100="eligible"),"No","Sí")</x:f>
        <x:v>No</x:v>
      </x:c>
      <x:c r="AL100" s="81" t="str"/>
    </x:row>
    <x:row r="101" ht="15" hidden="0" customHeight="1">
      <x:c r="A101" s="81" t="str"/>
      <x:c r="B101" s="81" t="str"/>
      <x:c r="C101" s="81" t="str"/>
      <x:c r="D101" s="81" t="str"/>
      <x:c r="E101" s="81" t="str"/>
      <x:c r="F101" s="81" t="str"/>
      <x:c r="G101" s="81" t="str"/>
      <x:c r="H101" s="81" t="str"/>
      <x:c r="I101" s="82" t="str"/>
      <x:c r="J101" s="82" t="str"/>
      <x:c r="K101" s="82" t="str"/>
      <x:c r="L101" s="82" t="str"/>
      <x:c r="M101" s="82" t="e">
        <x:f>IF(COUNTA(I101:L101)=0,"",AVERAGE(I101:L101))</x:f>
      </x:c>
      <x:c r="N101" s="82" t="str"/>
      <x:c r="O101" s="82" t="str"/>
      <x:c r="P101" s="82" t="str"/>
      <x:c r="Q101" s="82" t="str"/>
      <x:c r="R101" s="82" t="str"/>
      <x:c r="S101" s="82" t="str"/>
      <x:c r="T101" s="82" t="str"/>
      <x:c r="U101" s="82" t="str"/>
      <x:c r="V101" s="82" t="str"/>
      <x:c r="W101" s="82" t="str"/>
      <x:c r="X101" s="82" t="str"/>
      <x:c r="Y101" s="82" t="str"/>
      <x:c r="Z101" s="82" t="str"/>
      <x:c r="AA101" s="82" t="str"/>
      <x:c r="AB101" s="82" t="str">
        <x:f>IF(G101&lt;&gt;"eligible","",MAX(0,(0.30*M101)+(0.15*N101)+(0.15*O101)+(0.15*P101)+(0.05*Q101)+(0.10*R101)+(0.10*S101)+(0.05*T101)+(0.05*U101)+AA101-SUM(V101:Z101)))</x:f>
      </x:c>
      <x:c r="AC101" s="81" t="str">
        <x:f>IF(G101&lt;&gt;"eligible","excluded",IF(AB101&gt;=0.75,"overall_high_signal",IF(O101&gt;=0.75,"transformation_object",IF(OR(P101&gt;=0.75,Q101&gt;=0.75),"handoff_timer",IF(R101&gt;=0.75,"sync_governance",IF(T101&gt;=0.75,"pf_olc_risk","score_pool"))))))</x:f>
        <x:v>excluded</x:v>
      </x:c>
      <x:c r="AD101" s="81" t="str"/>
      <x:c r="AE101" s="81" t="str"/>
      <x:c r="AF101" s="81" t="str"/>
      <x:c r="AG101" s="81" t="str"/>
      <x:c r="AH101" s="81" t="str"/>
      <x:c r="AI101" s="81" t="str"/>
      <x:c r="AJ101" s="81" t="str"/>
      <x:c r="AK101" s="81" t="str">
        <x:f>IF(OR(G101="",G101="eligible"),"No","Sí")</x:f>
        <x:v>No</x:v>
      </x:c>
      <x:c r="AL101" s="81" t="str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70" hidden="0" customWidth="1"/>
    <x:col min="5" max="5" width="16" hidden="0" customWidth="1"/>
    <x:col min="6" max="6" width="26" hidden="0" customWidth="1"/>
    <x:col min="7" max="7" width="42" hidden="0" customWidth="1"/>
    <x:col min="8" max="8" width="80" hidden="0" customWidth="1"/>
    <x:col min="9" max="9" width="32" hidden="0" customWidth="1"/>
    <x:col min="10" max="10" width="50" hidden="0" customWidth="1"/>
  </x:cols>
  <x:sheetData>
    <x:row r="1" ht="15" hidden="0" customHeight="1">
      <x:c r="A1" s="90" t="str">
        <x:v>flattenedIndex</x:v>
      </x:c>
      <x:c r="B1" s="90" t="str">
        <x:v>responsibility</x:v>
      </x:c>
      <x:c r="C1" s="90" t="str">
        <x:v>activity</x:v>
      </x:c>
      <x:c r="D1" s="90" t="str">
        <x:v>activityTitle</x:v>
      </x:c>
      <x:c r="E1" s="90" t="str">
        <x:v>expectedSelection</x:v>
      </x:c>
      <x:c r="F1" s="90" t="str">
        <x:v>preferredSlot</x:v>
      </x:c>
      <x:c r="G1" s="90" t="str">
        <x:v>reasonCode</x:v>
      </x:c>
      <x:c r="H1" s="90" t="str">
        <x:v>why</x:v>
      </x:c>
      <x:c r="I1" s="90" t="str">
        <x:v>contextStatusIfNotSelected</x:v>
      </x:c>
      <x:c r="J1" s="90" t="str">
        <x:v>notes</x:v>
      </x:c>
    </x:row>
    <x:row r="2" ht="15" hidden="0" customHeight="1">
      <x:c r="A2" s="81" t="n">
        <x:v>0</x:v>
      </x:c>
      <x:c r="B2" s="81" t="str">
        <x:v>R1</x:v>
      </x:c>
      <x:c r="C2" s="81" t="str">
        <x:v>A1</x:v>
      </x:c>
      <x:c r="D2" s="81" t="str">
        <x:v>Actualizo el Manual de Normas de Costeo basándome en los cambios fiscales y precios de insumos para entregar un documento de criterios vigentes al equipo de presupuestos.</x:v>
      </x:c>
      <x:c r="E2" s="81" t="str">
        <x:v>No</x:v>
      </x:c>
      <x:c r="F2" s="81" t="str">
        <x:v>context</x:v>
      </x:c>
      <x:c r="G2" s="81" t="str">
        <x:v>not_selected_context_lower_signal</x:v>
      </x:c>
      <x:c r="H2" s="81" t="str">
        <x:v>Normativa/contextual; útil como criterio, pero menor señal PF/OLC que actividades de presupuesto, pagos y sincronización.</x:v>
      </x:c>
      <x:c r="I2" s="81" t="str">
        <x:v>context_normative</x:v>
      </x:c>
      <x:c r="J2" s="81" t="str">
        <x:v>Promover si Runtime detecta conflicto de criterios.</x:v>
      </x:c>
    </x:row>
    <x:row r="3" ht="15" hidden="0" customHeight="1">
      <x:c r="A3" s="81" t="n">
        <x:v>1</x:v>
      </x:c>
      <x:c r="B3" s="81" t="str">
        <x:v>R1</x:v>
      </x:c>
      <x:c r="C3" s="81" t="str">
        <x:v>A2</x:v>
      </x:c>
      <x:c r="D3" s="81" t="str">
        <x:v>Concilio el inventario de activos fijos siguiendo el calendario trimestral para actualizar los atributos de depreciación y ubicación en el sistema central.</x:v>
      </x:c>
      <x:c r="E3" s="81" t="str">
        <x:v>No</x:v>
      </x:c>
      <x:c r="F3" s="81" t="str">
        <x:v>context</x:v>
      </x:c>
      <x:c r="G3" s="81" t="str">
        <x:v>not_selected_context_lower_signal</x:v>
      </x:c>
      <x:c r="H3" s="81" t="str">
        <x:v>Buena señal OLC de activos, pero línea lateral frente al ciclo proyecto-presupuesto-erogación.</x:v>
      </x:c>
      <x:c r="I3" s="81" t="str">
        <x:v>context_specialized</x:v>
      </x:c>
      <x:c r="J3" s="81" t="str">
        <x:v>Promover si foco del diagnóstico es activos.</x:v>
      </x:c>
    </x:row>
    <x:row r="4" ht="15" hidden="0" customHeight="1">
      <x:c r="A4" s="81" t="n">
        <x:v>2</x:v>
      </x:c>
      <x:c r="B4" s="81" t="str">
        <x:v>R1</x:v>
      </x:c>
      <x:c r="C4" s="81" t="str">
        <x:v>A3</x:v>
      </x:c>
      <x:c r="D4" s="81" t="str">
        <x:v>Solicito los códigos de Unidad de Negocio a partir de la aprobación del proyecto para dar de alta la identidad oficial del proyecto en el ERP Oracle.</x:v>
      </x:c>
      <x:c r="E4" s="81" t="str">
        <x:v>Sí</x:v>
      </x:c>
      <x:c r="F4" s="81" t="str">
        <x:v>identity_object</x:v>
      </x:c>
      <x:c r="G4" s="81" t="str">
        <x:v>selected_for_transformation_object_signal</x:v>
      </x:c>
      <x:c r="H4" s="81" t="str">
        <x:v>Crea identidad oficial del proyecto en ERP; objeto institucional y nacimiento de ciclo de vida.</x:v>
      </x:c>
      <x:c r="I4" s="81" t="str">
        <x:v>primary</x:v>
      </x:c>
      <x:c r="J4" s="81" t="str">
        <x:v>Ancla MoC/OLC y PM.</x:v>
      </x:c>
    </x:row>
    <x:row r="5" ht="15" hidden="0" customHeight="1">
      <x:c r="A5" s="81" t="n">
        <x:v>3</x:v>
      </x:c>
      <x:c r="B5" s="81" t="str">
        <x:v>R1</x:v>
      </x:c>
      <x:c r="C5" s="81" t="str">
        <x:v>A4</x:v>
      </x:c>
      <x:c r="D5" s="81" t="str">
        <x:v>Habilito el módulo de proyectos en Oracle configurando los permisos de visibilidad para permitir la captura operativa por parte de los residentes de obra.</x:v>
      </x:c>
      <x:c r="E5" s="81" t="str">
        <x:v>No</x:v>
      </x:c>
      <x:c r="F5" s="81" t="str">
        <x:v>context</x:v>
      </x:c>
      <x:c r="G5" s="81" t="str">
        <x:v>not_selected_context_lower_signal</x:v>
      </x:c>
      <x:c r="H5" s="81" t="str">
        <x:v>Alta señal de soporte/permiso, pero mejor como contexto o promoción si R1-A3 revela fricción ERP.</x:v>
      </x:c>
      <x:c r="I5" s="81" t="str">
        <x:v>context_support</x:v>
      </x:c>
      <x:c r="J5" s="81" t="str">
        <x:v>Promover si aparece soporte oculto o bloqueo de captura.</x:v>
      </x:c>
    </x:row>
    <x:row r="6" ht="15" hidden="0" customHeight="1">
      <x:c r="A6" s="81" t="n">
        <x:v>4</x:v>
      </x:c>
      <x:c r="B6" s="81" t="str">
        <x:v>R2</x:v>
      </x:c>
      <x:c r="C6" s="81" t="str">
        <x:v>A1</x:v>
      </x:c>
      <x:c r="D6" s="81" t="str">
        <x:v>Cuantifico los materiales del proyecto arquitectónico final aplicando criterios técnicos de volumetría para generar la explosión de insumos detallada.</x:v>
      </x:c>
      <x:c r="E6" s="81" t="str">
        <x:v>Sí</x:v>
      </x:c>
      <x:c r="F6" s="81" t="str">
        <x:v>transformation_object</x:v>
      </x:c>
      <x:c r="G6" s="81" t="str">
        <x:v>selected_for_transformation_object_signal</x:v>
      </x:c>
      <x:c r="H6" s="81" t="str">
        <x:v>Transforma proyecto arquitectónico en explosión de insumos; fuerte MoC/OLC y PF técnico.</x:v>
      </x:c>
      <x:c r="I6" s="81" t="str">
        <x:v>primary</x:v>
      </x:c>
      <x:c r="J6" s="81" t="str">
        <x:v>No debe quedar fuera sin razón fuerte.</x:v>
      </x:c>
    </x:row>
    <x:row r="7" ht="15" hidden="0" customHeight="1">
      <x:c r="A7" s="81" t="n">
        <x:v>5</x:v>
      </x:c>
      <x:c r="B7" s="81" t="str">
        <x:v>R2</x:v>
      </x:c>
      <x:c r="C7" s="81" t="str">
        <x:v>A2</x:v>
      </x:c>
      <x:c r="D7" s="81" t="str">
        <x:v>Integro los paquetes de licitación técnica consolidando la información de cuantificación para enviar solicitudes de cotización comparables a los contratistas.</x:v>
      </x:c>
      <x:c r="E7" s="81" t="str">
        <x:v>No</x:v>
      </x:c>
      <x:c r="F7" s="81" t="str">
        <x:v>context</x:v>
      </x:c>
      <x:c r="G7" s="81" t="str">
        <x:v>not_selected_context_lower_signal</x:v>
      </x:c>
      <x:c r="H7" s="81" t="str">
        <x:v>Buen handoff a contratistas; puede quedar como contexto porque cotizaciones y comparativos cubren mejor la cadena.</x:v>
      </x:c>
      <x:c r="I7" s="81" t="str">
        <x:v>context_handoff</x:v>
      </x:c>
      <x:c r="J7" s="81" t="str">
        <x:v>Promover si las cotizaciones no son comparables.</x:v>
      </x:c>
    </x:row>
    <x:row r="8" ht="15" hidden="0" customHeight="1">
      <x:c r="A8" s="81" t="n">
        <x:v>6</x:v>
      </x:c>
      <x:c r="B8" s="81" t="str">
        <x:v>R2</x:v>
      </x:c>
      <x:c r="C8" s="81" t="str">
        <x:v>A3</x:v>
      </x:c>
      <x:c r="D8" s="81" t="str">
        <x:v>Valido el cronograma de suministros analizando el programa de obra para informar al área de compras las fechas críticas de necesidad de materiales.</x:v>
      </x:c>
      <x:c r="E8" s="81" t="str">
        <x:v>No</x:v>
      </x:c>
      <x:c r="F8" s="81" t="str">
        <x:v>context</x:v>
      </x:c>
      <x:c r="G8" s="81" t="str">
        <x:v>not_selected_context_lower_signal</x:v>
      </x:c>
      <x:c r="H8" s="81" t="str">
        <x:v>Buena señal temporal; queda bajo cotizaciones/fecha compromiso y protocolización si no hay cupo.</x:v>
      </x:c>
      <x:c r="I8" s="81" t="str">
        <x:v>context_timer</x:v>
      </x:c>
      <x:c r="J8" s="81" t="str">
        <x:v>Promover si hay bloqueos por fechas críticas.</x:v>
      </x:c>
    </x:row>
    <x:row r="9" ht="15" hidden="0" customHeight="1">
      <x:c r="A9" s="81" t="n">
        <x:v>7</x:v>
      </x:c>
      <x:c r="B9" s="81" t="str">
        <x:v>R2</x:v>
      </x:c>
      <x:c r="C9" s="81" t="str">
        <x:v>A4</x:v>
      </x:c>
      <x:c r="D9" s="81" t="str">
        <x:v>Gestiono las cotizaciones de proveedores notificando formalmente la fecha compromiso para obtener propuestas recibidas con compromiso de entrega.</x:v>
      </x:c>
      <x:c r="E9" s="81" t="str">
        <x:v>Sí</x:v>
      </x:c>
      <x:c r="F9" s="81" t="str">
        <x:v>handoff_timer</x:v>
      </x:c>
      <x:c r="G9" s="81" t="str">
        <x:v>selected_for_handoff_timer_signal</x:v>
      </x:c>
      <x:c r="H9" s="81" t="str">
        <x:v>Proveedor externo, fecha compromiso, espera de propuestas y compromiso de entrega; protege Process State/timer.</x:v>
      </x:c>
      <x:c r="I9" s="81" t="str">
        <x:v>primary</x:v>
      </x:c>
      <x:c r="J9" s="81" t="str">
        <x:v>Debe recibir handoff/timer boost.</x:v>
      </x:c>
    </x:row>
    <x:row r="10" ht="15" hidden="0" customHeight="1">
      <x:c r="A10" s="81" t="n">
        <x:v>8</x:v>
      </x:c>
      <x:c r="B10" s="81" t="str">
        <x:v>R2</x:v>
      </x:c>
      <x:c r="C10" s="81" t="str">
        <x:v>A5</x:v>
      </x:c>
      <x:c r="D10" s="81" t="str">
        <x:v>Elaboro los cuadros comparativos negociando técnica y económicamente con los proveedores para emitir una recomendación de adjudicación consistente con el presupuesto.</x:v>
      </x:c>
      <x:c r="E10" s="81" t="str">
        <x:v>Sí</x:v>
      </x:c>
      <x:c r="F10" s="81" t="str">
        <x:v>decision_comparison</x:v>
      </x:c>
      <x:c r="G10" s="81" t="str">
        <x:v>selected_for_high_architectural_signal</x:v>
      </x:c>
      <x:c r="H10" s="81" t="str">
        <x:v>Comparación, negociación, criterios técnicos/económicos, recomendación y adjudicación; alta densidad PM/MoC/PF.</x:v>
      </x:c>
      <x:c r="I10" s="81" t="str">
        <x:v>primary</x:v>
      </x:c>
      <x:c r="J10" s="81" t="str">
        <x:v>Seleccionada por señal conjunta.</x:v>
      </x:c>
    </x:row>
    <x:row r="11" ht="15" hidden="0" customHeight="1">
      <x:c r="A11" s="81" t="n">
        <x:v>9</x:v>
      </x:c>
      <x:c r="B11" s="81" t="str">
        <x:v>R2</x:v>
      </x:c>
      <x:c r="C11" s="81" t="str">
        <x:v>A6</x:v>
      </x:c>
      <x:c r="D11" s="81" t="str">
        <x:v>Integro las matrices de precios unitarios (APU) procesando las cotizaciones de mercado para estructurar la base técnica del presupuesto maestro.</x:v>
      </x:c>
      <x:c r="E11" s="81" t="str">
        <x:v>Sí</x:v>
      </x:c>
      <x:c r="F11" s="81" t="str">
        <x:v>transformation_object</x:v>
      </x:c>
      <x:c r="G11" s="81" t="str">
        <x:v>selected_for_transformation_object_signal</x:v>
      </x:c>
      <x:c r="H11" s="81" t="str">
        <x:v>APU, cotizaciones, mercado y presupuesto maestro son objetos conceptuales fuertes; núcleo de ingeniería de costos.</x:v>
      </x:c>
      <x:c r="I11" s="81" t="str">
        <x:v>primary</x:v>
      </x:c>
      <x:c r="J11" s="81" t="str">
        <x:v>No debe ser desplazada por actividades más laterales.</x:v>
      </x:c>
    </x:row>
    <x:row r="12" ht="15" hidden="0" customHeight="1">
      <x:c r="A12" s="81" t="n">
        <x:v>10</x:v>
      </x:c>
      <x:c r="B12" s="81" t="str">
        <x:v>R2</x:v>
      </x:c>
      <x:c r="C12" s="81" t="str">
        <x:v>A7</x:v>
      </x:c>
      <x:c r="D12" s="81" t="str">
        <x:v>Elaboro el Px para el Site Development Proposal recabando los formatos del proveedor para formalizar la solicitud de expansión en el sistema SDG.</x:v>
      </x:c>
      <x:c r="E12" s="81" t="str">
        <x:v>No</x:v>
      </x:c>
      <x:c r="F12" s="81" t="str">
        <x:v>exploratory/context</x:v>
      </x:c>
      <x:c r="G12" s="81" t="str">
        <x:v>not_selected_lateral_or_over_specific</x:v>
      </x:c>
      <x:c r="H12" s="81" t="str">
        <x:v>Actividad demasiado específica de herramienta/caso; puede ser exploratoria si SDG/Px es crítico, pero no debe desplazar APU/estimaciones/protocolización.</x:v>
      </x:c>
      <x:c r="I12" s="81" t="str">
        <x:v>context_over_specific</x:v>
      </x:c>
      <x:c r="J12" s="81" t="str">
        <x:v>Aplicar overlySpecificToolPenalty.</x:v>
      </x:c>
    </x:row>
    <x:row r="13" ht="15" hidden="0" customHeight="1">
      <x:c r="A13" s="81" t="n">
        <x:v>11</x:v>
      </x:c>
      <x:c r="B13" s="81" t="str">
        <x:v>R3</x:v>
      </x:c>
      <x:c r="C13" s="81" t="str">
        <x:v>A1</x:v>
      </x:c>
      <x:c r="D13" s="81" t="str">
        <x:v>Analizo la proyección mensual de erogaciones comparando el gasto real contra Oracle para generar reportes de desviaciones con análisis de causa raíz.</x:v>
      </x:c>
      <x:c r="E13" s="81" t="str">
        <x:v>Sí</x:v>
      </x:c>
      <x:c r="F13" s="81" t="str">
        <x:v>friction_exception</x:v>
      </x:c>
      <x:c r="G13" s="81" t="str">
        <x:v>selected_for_friction_exception_signal</x:v>
      </x:c>
      <x:c r="H13" s="81" t="str">
        <x:v>Control, desviación, causa raíz, Oracle vs realidad; alta señal de consistencia y retroalimentación.</x:v>
      </x:c>
      <x:c r="I13" s="81" t="str">
        <x:v>primary</x:v>
      </x:c>
      <x:c r="J13" s="81" t="str">
        <x:v>Seleccionada.</x:v>
      </x:c>
    </x:row>
    <x:row r="14" ht="15" hidden="0" customHeight="1">
      <x:c r="A14" s="81" t="n">
        <x:v>12</x:v>
      </x:c>
      <x:c r="B14" s="81" t="str">
        <x:v>R3</x:v>
      </x:c>
      <x:c r="C14" s="81" t="str">
        <x:v>A2</x:v>
      </x:c>
      <x:c r="D14" s="81" t="str">
        <x:v>Presento el presupuesto final ante la Dirección General siguiendo el protocolo de revisión para obtener el documento con validez legal de ejecución.</x:v>
      </x:c>
      <x:c r="E14" s="81" t="str">
        <x:v>No</x:v>
      </x:c>
      <x:c r="F14" s="81" t="str">
        <x:v>context_governance</x:v>
      </x:c>
      <x:c r="G14" s="81" t="str">
        <x:v>not_selected_context_lower_signal</x:v>
      </x:c>
      <x:c r="H14" s="81" t="str">
        <x:v>Importante formalmente, pero protocolización transversal revela mejor sincronización y bloqueos.</x:v>
      </x:c>
      <x:c r="I14" s="81" t="str">
        <x:v>context_governance</x:v>
      </x:c>
      <x:c r="J14" s="81" t="str">
        <x:v>Promover si DG es gate principal.</x:v>
      </x:c>
    </x:row>
    <x:row r="15" ht="15" hidden="0" customHeight="1">
      <x:c r="A15" s="81" t="n">
        <x:v>13</x:v>
      </x:c>
      <x:c r="B15" s="81" t="str">
        <x:v>R3</x:v>
      </x:c>
      <x:c r="C15" s="81" t="str">
        <x:v>A3</x:v>
      </x:c>
      <x:c r="D15" s="81" t="str">
        <x:v>Verifico la carga del presupuesto en Oracle comparando el sistema contra el documento firmado para habilitar el control presupuestal automático.</x:v>
      </x:c>
      <x:c r="E15" s="81" t="str">
        <x:v>No</x:v>
      </x:c>
      <x:c r="F15" s="81" t="str">
        <x:v>context_system_check</x:v>
      </x:c>
      <x:c r="G15" s="81" t="str">
        <x:v>not_selected_context_lower_signal</x:v>
      </x:c>
      <x:c r="H15" s="81" t="str">
        <x:v>Buena señal sistema-documento; queda como respaldo frente a erogaciones/estimaciones/protocolización.</x:v>
      </x:c>
      <x:c r="I15" s="81" t="str">
        <x:v>context_system</x:v>
      </x:c>
      <x:c r="J15" s="81" t="str">
        <x:v>Promover si hay inconsistencias Oracle-documento.</x:v>
      </x:c>
    </x:row>
    <x:row r="16" ht="15" hidden="0" customHeight="1">
      <x:c r="A16" s="81" t="n">
        <x:v>14</x:v>
      </x:c>
      <x:c r="B16" s="81" t="str">
        <x:v>R3</x:v>
      </x:c>
      <x:c r="C16" s="81" t="str">
        <x:v>A4</x:v>
      </x:c>
      <x:c r="D16" s="81" t="str">
        <x:v>Valido las estimaciones de obra revisando el avance físico contra el contrato para autorizar la recepción y pago de facturas en el sistema.</x:v>
      </x:c>
      <x:c r="E16" s="81" t="str">
        <x:v>Sí</x:v>
      </x:c>
      <x:c r="F16" s="81" t="str">
        <x:v>pf_olc_risk</x:v>
      </x:c>
      <x:c r="G16" s="81" t="str">
        <x:v>selected_for_pf_olc_risk_signal</x:v>
      </x:c>
      <x:c r="H16" s="81" t="str">
        <x:v>Estimación, avance físico, contrato, recepción, pago, factura y autorización: máxima señal PF↔OLC.</x:v>
      </x:c>
      <x:c r="I16" s="81" t="str">
        <x:v>primary</x:v>
      </x:c>
      <x:c r="J16" s="81" t="str">
        <x:v>Omisión crítica si queda fuera.</x:v>
      </x:c>
    </x:row>
    <x:row r="17" ht="15" hidden="0" customHeight="1">
      <x:c r="A17" s="81" t="n">
        <x:v>15</x:v>
      </x:c>
      <x:c r="B17" s="81" t="str">
        <x:v>R3</x:v>
      </x:c>
      <x:c r="C17" s="81" t="str">
        <x:v>A5</x:v>
      </x:c>
      <x:c r="D17" s="81" t="str">
        <x:v>Elaboro las órdenes de compra vinculando la cotización negociada en el sistema para cerrar el ciclo de compromiso financiero con el proveedor.</x:v>
      </x:c>
      <x:c r="E17" s="81" t="str">
        <x:v>No</x:v>
      </x:c>
      <x:c r="F17" s="81" t="str">
        <x:v>replacement</x:v>
      </x:c>
      <x:c r="G17" s="81" t="str">
        <x:v>not_selected_context_lower_signal</x:v>
      </x:c>
      <x:c r="H17" s="81" t="str">
        <x:v>Muy buena actividad y primer reemplazo; puede entrar si se prioriza compromiso financiero sobre cotizaciones.</x:v>
      </x:c>
      <x:c r="I17" s="81" t="str">
        <x:v>context_replacement</x:v>
      </x:c>
      <x:c r="J17" s="81" t="str">
        <x:v>Primer reemplazo válido.</x:v>
      </x:c>
    </x:row>
    <x:row r="18" ht="15" hidden="0" customHeight="1">
      <x:c r="A18" s="81" t="n">
        <x:v>16</x:v>
      </x:c>
      <x:c r="B18" s="81" t="str">
        <x:v>R3</x:v>
      </x:c>
      <x:c r="C18" s="81" t="str">
        <x:v>A6</x:v>
      </x:c>
      <x:c r="D18" s="81" t="str">
        <x:v>Protocolizo el presupuesto recabando las firmas de Contraloría, Operaciones y Finanzas para asegurar la alineación transversal antes de la carga final.</x:v>
      </x:c>
      <x:c r="E18" s="81" t="str">
        <x:v>Sí</x:v>
      </x:c>
      <x:c r="F18" s="81" t="str">
        <x:v>sync_governance</x:v>
      </x:c>
      <x:c r="G18" s="81" t="str">
        <x:v>selected_for_governance_synchronization_signal</x:v>
      </x:c>
      <x:c r="H18" s="81" t="str">
        <x:v>Firmas transversales, espera, bloqueo, Parallel Sync, autoridad cruzada y control final.</x:v>
      </x:c>
      <x:c r="I18" s="81" t="str">
        <x:v>primary</x:v>
      </x:c>
      <x:c r="J18" s="81" t="str">
        <x:v>No debe ser desplazada por simple balance.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60" hidden="0" customWidth="1"/>
    <x:col min="4" max="4" width="60" hidden="0" customWidth="1"/>
  </x:cols>
  <x:sheetData>
    <x:row r="1" ht="15" hidden="0" customHeight="1">
      <x:c r="A1" s="90" t="str">
        <x:v>Componente</x:v>
      </x:c>
      <x:c r="B1" s="90" t="str">
        <x:v>Regla implementable</x:v>
      </x:c>
      <x:c r="C1" s="90" t="str">
        <x:v>Señal de falla</x:v>
      </x:c>
      <x:c r="D1" s="90" t="str">
        <x:v>Corrección en código</x:v>
      </x:c>
    </x:row>
    <x:row r="2" ht="15" hidden="0" customHeight="1">
      <x:c r="A2" s="81" t="str">
        <x:v>ActivityEvaluationSelector</x:v>
      </x:c>
      <x:c r="B2" s="81" t="str">
        <x:v>Debe implementar PRIMARY_ACTIVITY_SELECTION_V1_3 como política de selección bajo incertidumbre.</x:v>
      </x:c>
      <x:c r="C2" s="81" t="str">
        <x:v>La traza dice V1_2 pero razona solo por structural score + responsibility balance.</x:v>
      </x:c>
      <x:c r="D2" s="81" t="str">
        <x:v>Separar scoring, slotting, balance y reason generation.</x:v>
      </x:c>
    </x:row>
    <x:row r="3" ht="15" hidden="0" customHeight="1">
      <x:c r="A3" s="81" t="str">
        <x:v>rankActivities</x:v>
      </x:c>
      <x:c r="B3" s="81" t="str">
        <x:v>Debe calcular señales PM/MoC/PF/OLC y boosts especializados.</x:v>
      </x:c>
      <x:c r="C3" s="81" t="str">
        <x:v>Actividades de APU, estimaciones, protocolización o cotizaciones quedan fuera sin razón específica.</x:v>
      </x:c>
      <x:c r="D3" s="81" t="str">
        <x:v>Agregar signal extractors y finalSelectionScore.</x:v>
      </x:c>
    </x:row>
    <x:row r="4" ht="15" hidden="0" customHeight="1">
      <x:c r="A4" s="81" t="str">
        <x:v>selectPrimaryActivities</x:v>
      </x:c>
      <x:c r="B4" s="81" t="str">
        <x:v>Debe aplicar special_slot_policy después de gates y antes de completar top 8.</x:v>
      </x:c>
      <x:c r="C4" s="81" t="str">
        <x:v>Top 8 plano o balanceado por responsabilidad.</x:v>
      </x:c>
      <x:c r="D4" s="81" t="str">
        <x:v>Implementar slots 1-8 y deduplicación.</x:v>
      </x:c>
    </x:row>
    <x:row r="5" ht="15" hidden="0" customHeight="1">
      <x:c r="A5" s="81" t="str">
        <x:v>responsibilityBalance</x:v>
      </x:c>
      <x:c r="B5" s="81" t="str">
        <x:v>Debe ser tiebreaker o ajuste pequeño.</x:v>
      </x:c>
      <x:c r="C5" s="81" t="str">
        <x:v>Selecciona actividades inferiores para balancear responsabilidad.</x:v>
      </x:c>
      <x:c r="D5" s="81" t="str">
        <x:v>Capar ajuste y bloquear si desplaza señales críticas.</x:v>
      </x:c>
    </x:row>
    <x:row r="6" ht="15" hidden="0" customHeight="1">
      <x:c r="A6" s="81" t="str">
        <x:v>selectionReason</x:v>
      </x:c>
      <x:c r="B6" s="81" t="str">
        <x:v>Debe generar reason code específico por actividad.</x:v>
      </x:c>
      <x:c r="C6" s="81" t="str">
        <x:v>Razón genérica repetida en todas las seleccionadas.</x:v>
      </x:c>
      <x:c r="D6" s="81" t="str">
        <x:v>Usar Reason_Codes_v1_3.</x:v>
      </x:c>
    </x:row>
    <x:row r="7" ht="15" hidden="0" customHeight="1">
      <x:c r="A7" s="81" t="str">
        <x:v>trace/debug</x:v>
      </x:c>
      <x:c r="B7" s="81" t="str">
        <x:v>Debe exponer component scores por actividad, slot, penalties y reason.</x:v>
      </x:c>
      <x:c r="C7" s="81" t="str">
        <x:v>Solo muestra ranking decimal y razón genérica.</x:v>
      </x:c>
      <x:c r="D7" s="81" t="str">
        <x:v>Agregar trace fields para QA.</x:v>
      </x:c>
    </x:row>
    <x:row r="8" ht="15" hidden="0" customHeight="1">
      <x:c r="A8" s="81" t="str">
        <x:v>Significado runtime</x:v>
      </x:c>
      <x:c r="B8" s="81" t="str">
        <x:v>Debe recibir primaryActivities seleccionadas y ejecutar Runtime 40/20 por actividad.</x:v>
      </x:c>
      <x:c r="C8" s="81" t="str">
        <x:v>Pide al usuario seleccionar 8 o diagnostica antes de Runtime.</x:v>
      </x:c>
      <x:c r="D8" s="81" t="str">
        <x:v>Mantener selección interna EVE y UI de confirmación.</x:v>
      </x:c>
    </x:row>
    <x:row r="9" ht="15" hidden="0" customHeight="1">
      <x:c r="A9" s="81" t="str">
        <x:v>B0 prefill</x:v>
      </x:c>
      <x:c r="B9" s="81" t="str">
        <x:v>Prefill desde WorkMap debe conservar estado inferred/context hasta confirmación.</x:v>
      </x:c>
      <x:c r="C9" s="81" t="str">
        <x:v>Se guarda como captured evidence sin confirmación.</x:v>
      </x:c>
      <x:c r="D9" s="81" t="str">
        <x:v>Marcar epistemic_status y confirmation_policy.</x:v>
      </x:c>
    </x:row>
  </x:sheetData>
  <x:pageMargins left="0.7" right="0.7" top="0.75" bottom="0.75" header="0.3" footer="0.3"/>
</x:worksheet>
</file>